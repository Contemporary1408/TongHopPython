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420" windowWidth="14940" windowHeight="8925"/>
  </bookViews>
  <sheets>
    <sheet name="gc" sheetId="2" r:id="rId1"/>
    <sheet name="Zvf51" sheetId="3" r:id="rId2"/>
    <sheet name="fp" sheetId="4" r:id="rId3"/>
    <sheet name="Sheet1" sheetId="5" r:id="rId4"/>
  </sheets>
  <definedNames>
    <definedName name="_xlnm._FilterDatabase" localSheetId="2" hidden="1">fp!$A$4:$AC$127</definedName>
    <definedName name="_xlnm._FilterDatabase" localSheetId="1" hidden="1">Zvf51!$A$1:$AU$165</definedName>
  </definedNames>
  <calcPr calcId="145621"/>
</workbook>
</file>

<file path=xl/calcChain.xml><?xml version="1.0" encoding="utf-8"?>
<calcChain xmlns="http://schemas.openxmlformats.org/spreadsheetml/2006/main">
  <c r="P6" i="2" l="1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5" i="2"/>
  <c r="W157" i="4"/>
  <c r="X157" i="4"/>
  <c r="Y157" i="4"/>
  <c r="Z157" i="4"/>
  <c r="AA157" i="4"/>
  <c r="V157" i="4"/>
  <c r="L157" i="4"/>
  <c r="K157" i="4"/>
  <c r="J157" i="4"/>
  <c r="I157" i="4"/>
  <c r="H157" i="4"/>
  <c r="G157" i="4"/>
  <c r="F157" i="4"/>
  <c r="E157" i="4"/>
  <c r="Z146" i="4"/>
  <c r="Z150" i="4"/>
  <c r="Z154" i="4"/>
  <c r="Y146" i="4"/>
  <c r="Y147" i="4"/>
  <c r="Y150" i="4"/>
  <c r="Y151" i="4"/>
  <c r="Y154" i="4"/>
  <c r="Y155" i="4"/>
  <c r="X147" i="4"/>
  <c r="X148" i="4"/>
  <c r="X151" i="4"/>
  <c r="X152" i="4"/>
  <c r="X155" i="4"/>
  <c r="X156" i="4"/>
  <c r="V146" i="4"/>
  <c r="V150" i="4"/>
  <c r="V154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AA146" i="4" s="1"/>
  <c r="T147" i="4"/>
  <c r="AA147" i="4" s="1"/>
  <c r="T148" i="4"/>
  <c r="AA148" i="4" s="1"/>
  <c r="T149" i="4"/>
  <c r="AA149" i="4" s="1"/>
  <c r="T150" i="4"/>
  <c r="AA150" i="4" s="1"/>
  <c r="T151" i="4"/>
  <c r="AA151" i="4" s="1"/>
  <c r="T152" i="4"/>
  <c r="AA152" i="4" s="1"/>
  <c r="T153" i="4"/>
  <c r="AA153" i="4" s="1"/>
  <c r="T154" i="4"/>
  <c r="AA154" i="4" s="1"/>
  <c r="T155" i="4"/>
  <c r="AA155" i="4" s="1"/>
  <c r="T156" i="4"/>
  <c r="AA156" i="4" s="1"/>
  <c r="T5" i="4"/>
  <c r="T157" i="4" s="1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Z147" i="4" s="1"/>
  <c r="S148" i="4"/>
  <c r="Z148" i="4" s="1"/>
  <c r="S149" i="4"/>
  <c r="Z149" i="4" s="1"/>
  <c r="S150" i="4"/>
  <c r="S151" i="4"/>
  <c r="Z151" i="4" s="1"/>
  <c r="S152" i="4"/>
  <c r="Z152" i="4" s="1"/>
  <c r="S153" i="4"/>
  <c r="Z153" i="4" s="1"/>
  <c r="S154" i="4"/>
  <c r="S155" i="4"/>
  <c r="Z155" i="4" s="1"/>
  <c r="S156" i="4"/>
  <c r="Z156" i="4" s="1"/>
  <c r="S5" i="4"/>
  <c r="S157" i="4" s="1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Y148" i="4" s="1"/>
  <c r="R149" i="4"/>
  <c r="Y149" i="4" s="1"/>
  <c r="R150" i="4"/>
  <c r="R151" i="4"/>
  <c r="R152" i="4"/>
  <c r="Y152" i="4" s="1"/>
  <c r="R153" i="4"/>
  <c r="Y153" i="4" s="1"/>
  <c r="R154" i="4"/>
  <c r="R155" i="4"/>
  <c r="R156" i="4"/>
  <c r="Y156" i="4" s="1"/>
  <c r="R5" i="4"/>
  <c r="R157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X146" i="4" s="1"/>
  <c r="Q147" i="4"/>
  <c r="Q148" i="4"/>
  <c r="Q149" i="4"/>
  <c r="X149" i="4" s="1"/>
  <c r="Q150" i="4"/>
  <c r="X150" i="4" s="1"/>
  <c r="Q151" i="4"/>
  <c r="Q152" i="4"/>
  <c r="Q153" i="4"/>
  <c r="X153" i="4" s="1"/>
  <c r="Q154" i="4"/>
  <c r="X154" i="4" s="1"/>
  <c r="Q155" i="4"/>
  <c r="Q156" i="4"/>
  <c r="Q5" i="4"/>
  <c r="Q157" i="4" s="1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W146" i="4" s="1"/>
  <c r="P147" i="4"/>
  <c r="W147" i="4" s="1"/>
  <c r="P148" i="4"/>
  <c r="W148" i="4" s="1"/>
  <c r="P149" i="4"/>
  <c r="W149" i="4" s="1"/>
  <c r="P150" i="4"/>
  <c r="W150" i="4" s="1"/>
  <c r="P151" i="4"/>
  <c r="W151" i="4" s="1"/>
  <c r="P152" i="4"/>
  <c r="W152" i="4" s="1"/>
  <c r="P153" i="4"/>
  <c r="W153" i="4" s="1"/>
  <c r="P154" i="4"/>
  <c r="W154" i="4" s="1"/>
  <c r="P155" i="4"/>
  <c r="W155" i="4" s="1"/>
  <c r="P156" i="4"/>
  <c r="W156" i="4" s="1"/>
  <c r="P5" i="4"/>
  <c r="P157" i="4" s="1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V147" i="4" s="1"/>
  <c r="O148" i="4"/>
  <c r="V148" i="4" s="1"/>
  <c r="O149" i="4"/>
  <c r="V149" i="4" s="1"/>
  <c r="O150" i="4"/>
  <c r="O151" i="4"/>
  <c r="V151" i="4" s="1"/>
  <c r="O152" i="4"/>
  <c r="V152" i="4" s="1"/>
  <c r="O153" i="4"/>
  <c r="V153" i="4" s="1"/>
  <c r="O154" i="4"/>
  <c r="O155" i="4"/>
  <c r="V155" i="4" s="1"/>
  <c r="O156" i="4"/>
  <c r="V156" i="4" s="1"/>
  <c r="O5" i="4"/>
  <c r="O157" i="4" s="1"/>
  <c r="V69" i="2"/>
  <c r="W69" i="2"/>
  <c r="Q69" i="2"/>
  <c r="R69" i="2"/>
  <c r="L69" i="2"/>
  <c r="K69" i="2"/>
  <c r="J69" i="2"/>
  <c r="I69" i="2"/>
  <c r="H69" i="2"/>
  <c r="G69" i="2"/>
  <c r="F69" i="2"/>
  <c r="E69" i="2"/>
  <c r="P69" i="2" l="1"/>
  <c r="O69" i="2"/>
  <c r="R66" i="2"/>
  <c r="W66" i="2" s="1"/>
  <c r="R67" i="2"/>
  <c r="W67" i="2" s="1"/>
  <c r="R68" i="2"/>
  <c r="W68" i="2" s="1"/>
  <c r="R70" i="2"/>
  <c r="W70" i="2" s="1"/>
  <c r="R71" i="2"/>
  <c r="W71" i="2" s="1"/>
  <c r="R72" i="2"/>
  <c r="W72" i="2" s="1"/>
  <c r="R73" i="2"/>
  <c r="W73" i="2" s="1"/>
  <c r="R74" i="2"/>
  <c r="W74" i="2" s="1"/>
  <c r="R75" i="2"/>
  <c r="W75" i="2" s="1"/>
  <c r="Q66" i="2"/>
  <c r="V66" i="2" s="1"/>
  <c r="Q67" i="2"/>
  <c r="V67" i="2" s="1"/>
  <c r="Q68" i="2"/>
  <c r="V68" i="2" s="1"/>
  <c r="Q70" i="2"/>
  <c r="V70" i="2" s="1"/>
  <c r="Q71" i="2"/>
  <c r="V71" i="2" s="1"/>
  <c r="Q72" i="2"/>
  <c r="V72" i="2" s="1"/>
  <c r="Q73" i="2"/>
  <c r="V73" i="2" s="1"/>
  <c r="Q74" i="2"/>
  <c r="V74" i="2" s="1"/>
  <c r="Q75" i="2"/>
  <c r="V75" i="2" s="1"/>
  <c r="U66" i="2"/>
  <c r="U67" i="2"/>
  <c r="U68" i="2"/>
  <c r="P70" i="2"/>
  <c r="U70" i="2" s="1"/>
  <c r="P71" i="2"/>
  <c r="U71" i="2" s="1"/>
  <c r="P72" i="2"/>
  <c r="U72" i="2" s="1"/>
  <c r="P73" i="2"/>
  <c r="U73" i="2" s="1"/>
  <c r="P74" i="2"/>
  <c r="U74" i="2" s="1"/>
  <c r="P75" i="2"/>
  <c r="U75" i="2" s="1"/>
  <c r="T66" i="2"/>
  <c r="T67" i="2"/>
  <c r="T68" i="2"/>
  <c r="O70" i="2"/>
  <c r="T70" i="2" s="1"/>
  <c r="O71" i="2"/>
  <c r="T71" i="2" s="1"/>
  <c r="O72" i="2"/>
  <c r="T72" i="2" s="1"/>
  <c r="O73" i="2"/>
  <c r="T73" i="2" s="1"/>
  <c r="O74" i="2"/>
  <c r="T74" i="2" s="1"/>
  <c r="O75" i="2"/>
  <c r="T75" i="2" s="1"/>
  <c r="AA143" i="4"/>
  <c r="AA144" i="4"/>
  <c r="AA145" i="4"/>
  <c r="Z143" i="4"/>
  <c r="Z144" i="4"/>
  <c r="Z145" i="4"/>
  <c r="Y143" i="4"/>
  <c r="Y144" i="4"/>
  <c r="Y145" i="4"/>
  <c r="X144" i="4"/>
  <c r="X145" i="4"/>
  <c r="W143" i="4"/>
  <c r="W144" i="4"/>
  <c r="W145" i="4"/>
  <c r="V143" i="4"/>
  <c r="V144" i="4"/>
  <c r="V145" i="4"/>
  <c r="AA139" i="4" l="1"/>
  <c r="AA140" i="4"/>
  <c r="AA141" i="4"/>
  <c r="AA142" i="4"/>
  <c r="Z139" i="4"/>
  <c r="Z140" i="4"/>
  <c r="Z141" i="4"/>
  <c r="Z142" i="4"/>
  <c r="Y139" i="4"/>
  <c r="Y140" i="4"/>
  <c r="Y141" i="4"/>
  <c r="Y142" i="4"/>
  <c r="X139" i="4"/>
  <c r="X140" i="4"/>
  <c r="X141" i="4"/>
  <c r="X142" i="4"/>
  <c r="X143" i="4"/>
  <c r="W139" i="4"/>
  <c r="W140" i="4"/>
  <c r="W141" i="4"/>
  <c r="W142" i="4"/>
  <c r="V139" i="4"/>
  <c r="V140" i="4"/>
  <c r="V141" i="4"/>
  <c r="V142" i="4"/>
  <c r="U44" i="2"/>
  <c r="U45" i="2"/>
  <c r="U48" i="2"/>
  <c r="U49" i="2"/>
  <c r="U52" i="2"/>
  <c r="U53" i="2"/>
  <c r="U56" i="2"/>
  <c r="U57" i="2"/>
  <c r="U60" i="2"/>
  <c r="U61" i="2"/>
  <c r="U64" i="2"/>
  <c r="U65" i="2"/>
  <c r="T46" i="2"/>
  <c r="T47" i="2"/>
  <c r="T48" i="2"/>
  <c r="T50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U46" i="2"/>
  <c r="U47" i="2"/>
  <c r="U50" i="2"/>
  <c r="U51" i="2"/>
  <c r="U54" i="2"/>
  <c r="U55" i="2"/>
  <c r="U58" i="2"/>
  <c r="U59" i="2"/>
  <c r="U62" i="2"/>
  <c r="U63" i="2"/>
  <c r="T49" i="2"/>
  <c r="T51" i="2"/>
  <c r="R44" i="2"/>
  <c r="R45" i="2"/>
  <c r="R46" i="2"/>
  <c r="W46" i="2" s="1"/>
  <c r="R47" i="2"/>
  <c r="W47" i="2" s="1"/>
  <c r="R48" i="2"/>
  <c r="W48" i="2" s="1"/>
  <c r="R49" i="2"/>
  <c r="W49" i="2" s="1"/>
  <c r="R50" i="2"/>
  <c r="W50" i="2" s="1"/>
  <c r="R51" i="2"/>
  <c r="W51" i="2" s="1"/>
  <c r="R52" i="2"/>
  <c r="W52" i="2" s="1"/>
  <c r="R53" i="2"/>
  <c r="W53" i="2" s="1"/>
  <c r="R54" i="2"/>
  <c r="W54" i="2" s="1"/>
  <c r="R55" i="2"/>
  <c r="W55" i="2" s="1"/>
  <c r="R56" i="2"/>
  <c r="W56" i="2" s="1"/>
  <c r="R57" i="2"/>
  <c r="W57" i="2" s="1"/>
  <c r="R58" i="2"/>
  <c r="W58" i="2" s="1"/>
  <c r="R59" i="2"/>
  <c r="W59" i="2" s="1"/>
  <c r="R60" i="2"/>
  <c r="W60" i="2" s="1"/>
  <c r="R61" i="2"/>
  <c r="W61" i="2" s="1"/>
  <c r="R62" i="2"/>
  <c r="W62" i="2" s="1"/>
  <c r="R63" i="2"/>
  <c r="W63" i="2" s="1"/>
  <c r="R64" i="2"/>
  <c r="W64" i="2" s="1"/>
  <c r="R65" i="2"/>
  <c r="W65" i="2" s="1"/>
  <c r="Q44" i="2"/>
  <c r="Q45" i="2"/>
  <c r="Q46" i="2"/>
  <c r="V46" i="2" s="1"/>
  <c r="Q47" i="2"/>
  <c r="V47" i="2" s="1"/>
  <c r="Q48" i="2"/>
  <c r="V48" i="2" s="1"/>
  <c r="Q49" i="2"/>
  <c r="V49" i="2" s="1"/>
  <c r="Q50" i="2"/>
  <c r="V50" i="2" s="1"/>
  <c r="Q51" i="2"/>
  <c r="V51" i="2" s="1"/>
  <c r="Q52" i="2"/>
  <c r="V52" i="2" s="1"/>
  <c r="Q53" i="2"/>
  <c r="V53" i="2" s="1"/>
  <c r="Q54" i="2"/>
  <c r="V54" i="2" s="1"/>
  <c r="Q55" i="2"/>
  <c r="V55" i="2" s="1"/>
  <c r="Q56" i="2"/>
  <c r="V56" i="2" s="1"/>
  <c r="Q57" i="2"/>
  <c r="V57" i="2" s="1"/>
  <c r="Q58" i="2"/>
  <c r="V58" i="2" s="1"/>
  <c r="Q59" i="2"/>
  <c r="V59" i="2" s="1"/>
  <c r="Q60" i="2"/>
  <c r="V60" i="2" s="1"/>
  <c r="Q61" i="2"/>
  <c r="V61" i="2" s="1"/>
  <c r="Q62" i="2"/>
  <c r="V62" i="2" s="1"/>
  <c r="Q63" i="2"/>
  <c r="V63" i="2" s="1"/>
  <c r="Q64" i="2"/>
  <c r="V64" i="2" s="1"/>
  <c r="Q65" i="2"/>
  <c r="V65" i="2" s="1"/>
  <c r="X128" i="4" l="1"/>
  <c r="Y128" i="4"/>
  <c r="AA128" i="4"/>
  <c r="V129" i="4"/>
  <c r="W129" i="4"/>
  <c r="Z129" i="4"/>
  <c r="AA129" i="4"/>
  <c r="W130" i="4"/>
  <c r="X130" i="4"/>
  <c r="Y130" i="4"/>
  <c r="V131" i="4"/>
  <c r="W131" i="4"/>
  <c r="Y131" i="4"/>
  <c r="Z131" i="4"/>
  <c r="AA131" i="4"/>
  <c r="X132" i="4"/>
  <c r="Y132" i="4"/>
  <c r="AA132" i="4"/>
  <c r="V133" i="4"/>
  <c r="W133" i="4"/>
  <c r="Z133" i="4"/>
  <c r="AA133" i="4"/>
  <c r="W134" i="4"/>
  <c r="X134" i="4"/>
  <c r="Y134" i="4"/>
  <c r="V135" i="4"/>
  <c r="W135" i="4"/>
  <c r="Y135" i="4"/>
  <c r="Z135" i="4"/>
  <c r="AA135" i="4"/>
  <c r="X136" i="4"/>
  <c r="Y136" i="4"/>
  <c r="AA136" i="4"/>
  <c r="V137" i="4"/>
  <c r="W137" i="4"/>
  <c r="X137" i="4"/>
  <c r="Y137" i="4"/>
  <c r="Z137" i="4"/>
  <c r="AA137" i="4"/>
  <c r="V138" i="4"/>
  <c r="W138" i="4"/>
  <c r="X138" i="4"/>
  <c r="Y138" i="4"/>
  <c r="Z138" i="4"/>
  <c r="AA138" i="4"/>
  <c r="V128" i="4"/>
  <c r="W128" i="4"/>
  <c r="Z128" i="4"/>
  <c r="X129" i="4"/>
  <c r="Y129" i="4"/>
  <c r="V130" i="4"/>
  <c r="Z130" i="4"/>
  <c r="AA130" i="4"/>
  <c r="X131" i="4"/>
  <c r="V132" i="4"/>
  <c r="W132" i="4"/>
  <c r="Z132" i="4"/>
  <c r="X133" i="4"/>
  <c r="Y133" i="4"/>
  <c r="V134" i="4"/>
  <c r="Z134" i="4"/>
  <c r="AA134" i="4"/>
  <c r="X135" i="4"/>
  <c r="V136" i="4"/>
  <c r="W136" i="4"/>
  <c r="Z136" i="4"/>
  <c r="T38" i="2" l="1"/>
  <c r="U38" i="2"/>
  <c r="T39" i="2"/>
  <c r="U39" i="2"/>
  <c r="T40" i="2"/>
  <c r="U40" i="2"/>
  <c r="T41" i="2"/>
  <c r="U41" i="2"/>
  <c r="T42" i="2"/>
  <c r="U42" i="2"/>
  <c r="T43" i="2"/>
  <c r="U43" i="2"/>
  <c r="T44" i="2"/>
  <c r="T45" i="2"/>
  <c r="Q38" i="2"/>
  <c r="V38" i="2" s="1"/>
  <c r="R38" i="2"/>
  <c r="W38" i="2" s="1"/>
  <c r="Q39" i="2"/>
  <c r="V39" i="2" s="1"/>
  <c r="R39" i="2"/>
  <c r="W39" i="2" s="1"/>
  <c r="Q40" i="2"/>
  <c r="V40" i="2" s="1"/>
  <c r="R40" i="2"/>
  <c r="W40" i="2" s="1"/>
  <c r="Q41" i="2"/>
  <c r="V41" i="2" s="1"/>
  <c r="R41" i="2"/>
  <c r="W41" i="2" s="1"/>
  <c r="Q42" i="2"/>
  <c r="V42" i="2" s="1"/>
  <c r="R42" i="2"/>
  <c r="W42" i="2" s="1"/>
  <c r="Q43" i="2"/>
  <c r="V43" i="2" s="1"/>
  <c r="R43" i="2"/>
  <c r="W43" i="2" s="1"/>
  <c r="V44" i="2"/>
  <c r="W44" i="2"/>
  <c r="V45" i="2"/>
  <c r="W45" i="2"/>
  <c r="V119" i="4" l="1"/>
  <c r="W119" i="4"/>
  <c r="X119" i="4"/>
  <c r="Y119" i="4"/>
  <c r="Z119" i="4"/>
  <c r="AA119" i="4"/>
  <c r="V120" i="4"/>
  <c r="W120" i="4"/>
  <c r="X120" i="4"/>
  <c r="Y120" i="4"/>
  <c r="Z120" i="4"/>
  <c r="AA120" i="4"/>
  <c r="V121" i="4"/>
  <c r="W121" i="4"/>
  <c r="X121" i="4"/>
  <c r="Y121" i="4"/>
  <c r="Z121" i="4"/>
  <c r="AA121" i="4"/>
  <c r="V122" i="4"/>
  <c r="W122" i="4"/>
  <c r="X122" i="4"/>
  <c r="Y122" i="4"/>
  <c r="Z122" i="4"/>
  <c r="AA122" i="4"/>
  <c r="V123" i="4"/>
  <c r="W123" i="4"/>
  <c r="X123" i="4"/>
  <c r="Y123" i="4"/>
  <c r="Z123" i="4"/>
  <c r="AA123" i="4"/>
  <c r="V124" i="4"/>
  <c r="W124" i="4"/>
  <c r="X124" i="4"/>
  <c r="Y124" i="4"/>
  <c r="Z124" i="4"/>
  <c r="AA124" i="4"/>
  <c r="V125" i="4"/>
  <c r="W125" i="4"/>
  <c r="X125" i="4"/>
  <c r="Y125" i="4"/>
  <c r="Z125" i="4"/>
  <c r="AA125" i="4"/>
  <c r="V126" i="4"/>
  <c r="W126" i="4"/>
  <c r="X126" i="4"/>
  <c r="Y126" i="4"/>
  <c r="Z126" i="4"/>
  <c r="AA126" i="4"/>
  <c r="V127" i="4"/>
  <c r="W127" i="4"/>
  <c r="X127" i="4"/>
  <c r="Y127" i="4"/>
  <c r="Z127" i="4"/>
  <c r="AA127" i="4"/>
  <c r="V6" i="4" l="1"/>
  <c r="W6" i="4"/>
  <c r="X6" i="4"/>
  <c r="Y6" i="4"/>
  <c r="Z6" i="4"/>
  <c r="AA6" i="4"/>
  <c r="V7" i="4"/>
  <c r="W7" i="4"/>
  <c r="X7" i="4"/>
  <c r="Y7" i="4"/>
  <c r="Z7" i="4"/>
  <c r="AA7" i="4"/>
  <c r="V8" i="4"/>
  <c r="W8" i="4"/>
  <c r="X8" i="4"/>
  <c r="Y8" i="4"/>
  <c r="Z8" i="4"/>
  <c r="AA8" i="4"/>
  <c r="V9" i="4"/>
  <c r="W9" i="4"/>
  <c r="X9" i="4"/>
  <c r="Y9" i="4"/>
  <c r="Z9" i="4"/>
  <c r="AA9" i="4"/>
  <c r="V10" i="4"/>
  <c r="W10" i="4"/>
  <c r="X10" i="4"/>
  <c r="Y10" i="4"/>
  <c r="Z10" i="4"/>
  <c r="AA10" i="4"/>
  <c r="V11" i="4"/>
  <c r="W11" i="4"/>
  <c r="X11" i="4"/>
  <c r="Y11" i="4"/>
  <c r="Z11" i="4"/>
  <c r="AA11" i="4"/>
  <c r="V12" i="4"/>
  <c r="W12" i="4"/>
  <c r="X12" i="4"/>
  <c r="Y12" i="4"/>
  <c r="Z12" i="4"/>
  <c r="AA12" i="4"/>
  <c r="V13" i="4"/>
  <c r="W13" i="4"/>
  <c r="X13" i="4"/>
  <c r="Y13" i="4"/>
  <c r="Z13" i="4"/>
  <c r="AA13" i="4"/>
  <c r="V14" i="4"/>
  <c r="W14" i="4"/>
  <c r="Y14" i="4"/>
  <c r="Z14" i="4"/>
  <c r="AA14" i="4"/>
  <c r="V15" i="4"/>
  <c r="W15" i="4"/>
  <c r="X15" i="4"/>
  <c r="Y15" i="4"/>
  <c r="Z15" i="4"/>
  <c r="AA15" i="4"/>
  <c r="V16" i="4"/>
  <c r="W16" i="4"/>
  <c r="X16" i="4"/>
  <c r="Y16" i="4"/>
  <c r="Z16" i="4"/>
  <c r="AA16" i="4"/>
  <c r="V17" i="4"/>
  <c r="W17" i="4"/>
  <c r="X17" i="4"/>
  <c r="Y17" i="4"/>
  <c r="Z17" i="4"/>
  <c r="AA17" i="4"/>
  <c r="V18" i="4"/>
  <c r="W18" i="4"/>
  <c r="X18" i="4"/>
  <c r="Y18" i="4"/>
  <c r="Z18" i="4"/>
  <c r="AA18" i="4"/>
  <c r="V19" i="4"/>
  <c r="W19" i="4"/>
  <c r="X19" i="4"/>
  <c r="Y19" i="4"/>
  <c r="Z19" i="4"/>
  <c r="AA19" i="4"/>
  <c r="V20" i="4"/>
  <c r="W20" i="4"/>
  <c r="X20" i="4"/>
  <c r="Y20" i="4"/>
  <c r="Z20" i="4"/>
  <c r="AA20" i="4"/>
  <c r="V21" i="4"/>
  <c r="W21" i="4"/>
  <c r="X21" i="4"/>
  <c r="Y21" i="4"/>
  <c r="Z21" i="4"/>
  <c r="AA21" i="4"/>
  <c r="V22" i="4"/>
  <c r="W22" i="4"/>
  <c r="X22" i="4"/>
  <c r="Y22" i="4"/>
  <c r="Z22" i="4"/>
  <c r="AA22" i="4"/>
  <c r="V23" i="4"/>
  <c r="W23" i="4"/>
  <c r="X23" i="4"/>
  <c r="Y23" i="4"/>
  <c r="Z23" i="4"/>
  <c r="AA23" i="4"/>
  <c r="V24" i="4"/>
  <c r="W24" i="4"/>
  <c r="X24" i="4"/>
  <c r="Y24" i="4"/>
  <c r="Z24" i="4"/>
  <c r="AA24" i="4"/>
  <c r="V25" i="4"/>
  <c r="W25" i="4"/>
  <c r="X25" i="4"/>
  <c r="Y25" i="4"/>
  <c r="Z25" i="4"/>
  <c r="AA25" i="4"/>
  <c r="V26" i="4"/>
  <c r="W26" i="4"/>
  <c r="X26" i="4"/>
  <c r="Y26" i="4"/>
  <c r="Z26" i="4"/>
  <c r="AA26" i="4"/>
  <c r="V27" i="4"/>
  <c r="W27" i="4"/>
  <c r="X27" i="4"/>
  <c r="Y27" i="4"/>
  <c r="Z27" i="4"/>
  <c r="AA27" i="4"/>
  <c r="V28" i="4"/>
  <c r="W28" i="4"/>
  <c r="X28" i="4"/>
  <c r="Y28" i="4"/>
  <c r="Z28" i="4"/>
  <c r="AA28" i="4"/>
  <c r="V29" i="4"/>
  <c r="W29" i="4"/>
  <c r="X29" i="4"/>
  <c r="Y29" i="4"/>
  <c r="Z29" i="4"/>
  <c r="AA29" i="4"/>
  <c r="V30" i="4"/>
  <c r="W30" i="4"/>
  <c r="X30" i="4"/>
  <c r="Y30" i="4"/>
  <c r="Z30" i="4"/>
  <c r="AA30" i="4"/>
  <c r="V31" i="4"/>
  <c r="W31" i="4"/>
  <c r="X31" i="4"/>
  <c r="Y31" i="4"/>
  <c r="Z31" i="4"/>
  <c r="AA31" i="4"/>
  <c r="V32" i="4"/>
  <c r="W32" i="4"/>
  <c r="X32" i="4"/>
  <c r="Y32" i="4"/>
  <c r="Z32" i="4"/>
  <c r="AA32" i="4"/>
  <c r="V33" i="4"/>
  <c r="W33" i="4"/>
  <c r="X33" i="4"/>
  <c r="Y33" i="4"/>
  <c r="Z33" i="4"/>
  <c r="AA33" i="4"/>
  <c r="V34" i="4"/>
  <c r="W34" i="4"/>
  <c r="X34" i="4"/>
  <c r="Y34" i="4"/>
  <c r="Z34" i="4"/>
  <c r="AA34" i="4"/>
  <c r="V35" i="4"/>
  <c r="W35" i="4"/>
  <c r="X35" i="4"/>
  <c r="Y35" i="4"/>
  <c r="Z35" i="4"/>
  <c r="AA35" i="4"/>
  <c r="V36" i="4"/>
  <c r="W36" i="4"/>
  <c r="X36" i="4"/>
  <c r="Y36" i="4"/>
  <c r="Z36" i="4"/>
  <c r="AA36" i="4"/>
  <c r="V37" i="4"/>
  <c r="W37" i="4"/>
  <c r="X37" i="4"/>
  <c r="Y37" i="4"/>
  <c r="Z37" i="4"/>
  <c r="AA37" i="4"/>
  <c r="V38" i="4"/>
  <c r="W38" i="4"/>
  <c r="X38" i="4"/>
  <c r="Y38" i="4"/>
  <c r="Z38" i="4"/>
  <c r="AA38" i="4"/>
  <c r="V39" i="4"/>
  <c r="W39" i="4"/>
  <c r="X39" i="4"/>
  <c r="Y39" i="4"/>
  <c r="Z39" i="4"/>
  <c r="AA39" i="4"/>
  <c r="V40" i="4"/>
  <c r="W40" i="4"/>
  <c r="X40" i="4"/>
  <c r="Y40" i="4"/>
  <c r="Z40" i="4"/>
  <c r="AA40" i="4"/>
  <c r="V41" i="4"/>
  <c r="W41" i="4"/>
  <c r="X41" i="4"/>
  <c r="Y41" i="4"/>
  <c r="Z41" i="4"/>
  <c r="AA41" i="4"/>
  <c r="V42" i="4"/>
  <c r="W42" i="4"/>
  <c r="X42" i="4"/>
  <c r="Y42" i="4"/>
  <c r="Z42" i="4"/>
  <c r="AA42" i="4"/>
  <c r="V43" i="4"/>
  <c r="W43" i="4"/>
  <c r="X43" i="4"/>
  <c r="Y43" i="4"/>
  <c r="Z43" i="4"/>
  <c r="AA43" i="4"/>
  <c r="V44" i="4"/>
  <c r="W44" i="4"/>
  <c r="X44" i="4"/>
  <c r="Y44" i="4"/>
  <c r="Z44" i="4"/>
  <c r="AA44" i="4"/>
  <c r="V45" i="4"/>
  <c r="W45" i="4"/>
  <c r="X45" i="4"/>
  <c r="Y45" i="4"/>
  <c r="Z45" i="4"/>
  <c r="AA45" i="4"/>
  <c r="V46" i="4"/>
  <c r="W46" i="4"/>
  <c r="X46" i="4"/>
  <c r="Y46" i="4"/>
  <c r="Z46" i="4"/>
  <c r="AA46" i="4"/>
  <c r="V47" i="4"/>
  <c r="W47" i="4"/>
  <c r="X47" i="4"/>
  <c r="Y47" i="4"/>
  <c r="Z47" i="4"/>
  <c r="AA47" i="4"/>
  <c r="V48" i="4"/>
  <c r="W48" i="4"/>
  <c r="X48" i="4"/>
  <c r="Y48" i="4"/>
  <c r="Z48" i="4"/>
  <c r="AA48" i="4"/>
  <c r="V49" i="4"/>
  <c r="W49" i="4"/>
  <c r="X49" i="4"/>
  <c r="Y49" i="4"/>
  <c r="Z49" i="4"/>
  <c r="AA49" i="4"/>
  <c r="V50" i="4"/>
  <c r="W50" i="4"/>
  <c r="X50" i="4"/>
  <c r="Y50" i="4"/>
  <c r="Z50" i="4"/>
  <c r="AA50" i="4"/>
  <c r="V51" i="4"/>
  <c r="W51" i="4"/>
  <c r="X51" i="4"/>
  <c r="Y51" i="4"/>
  <c r="Z51" i="4"/>
  <c r="AA51" i="4"/>
  <c r="V52" i="4"/>
  <c r="W52" i="4"/>
  <c r="X52" i="4"/>
  <c r="Y52" i="4"/>
  <c r="Z52" i="4"/>
  <c r="AA52" i="4"/>
  <c r="V53" i="4"/>
  <c r="W53" i="4"/>
  <c r="X53" i="4"/>
  <c r="Y53" i="4"/>
  <c r="Z53" i="4"/>
  <c r="AA53" i="4"/>
  <c r="V54" i="4"/>
  <c r="W54" i="4"/>
  <c r="X54" i="4"/>
  <c r="Y54" i="4"/>
  <c r="Z54" i="4"/>
  <c r="AA54" i="4"/>
  <c r="V55" i="4"/>
  <c r="W55" i="4"/>
  <c r="X55" i="4"/>
  <c r="Y55" i="4"/>
  <c r="Z55" i="4"/>
  <c r="AA55" i="4"/>
  <c r="V56" i="4"/>
  <c r="W56" i="4"/>
  <c r="X56" i="4"/>
  <c r="Y56" i="4"/>
  <c r="Z56" i="4"/>
  <c r="AA56" i="4"/>
  <c r="V57" i="4"/>
  <c r="W57" i="4"/>
  <c r="X57" i="4"/>
  <c r="Y57" i="4"/>
  <c r="Z57" i="4"/>
  <c r="AA57" i="4"/>
  <c r="V58" i="4"/>
  <c r="W58" i="4"/>
  <c r="X58" i="4"/>
  <c r="Y58" i="4"/>
  <c r="Z58" i="4"/>
  <c r="AA58" i="4"/>
  <c r="V59" i="4"/>
  <c r="W59" i="4"/>
  <c r="X59" i="4"/>
  <c r="Y59" i="4"/>
  <c r="Z59" i="4"/>
  <c r="AA59" i="4"/>
  <c r="V60" i="4"/>
  <c r="W60" i="4"/>
  <c r="X60" i="4"/>
  <c r="Y60" i="4"/>
  <c r="Z60" i="4"/>
  <c r="AA60" i="4"/>
  <c r="V61" i="4"/>
  <c r="W61" i="4"/>
  <c r="X61" i="4"/>
  <c r="Y61" i="4"/>
  <c r="Z61" i="4"/>
  <c r="AA61" i="4"/>
  <c r="V62" i="4"/>
  <c r="W62" i="4"/>
  <c r="X62" i="4"/>
  <c r="Y62" i="4"/>
  <c r="Z62" i="4"/>
  <c r="AA62" i="4"/>
  <c r="V63" i="4"/>
  <c r="W63" i="4"/>
  <c r="X63" i="4"/>
  <c r="Y63" i="4"/>
  <c r="Z63" i="4"/>
  <c r="AA63" i="4"/>
  <c r="V64" i="4"/>
  <c r="W64" i="4"/>
  <c r="X64" i="4"/>
  <c r="Y64" i="4"/>
  <c r="Z64" i="4"/>
  <c r="AA64" i="4"/>
  <c r="V65" i="4"/>
  <c r="W65" i="4"/>
  <c r="X65" i="4"/>
  <c r="Y65" i="4"/>
  <c r="Z65" i="4"/>
  <c r="AA65" i="4"/>
  <c r="V66" i="4"/>
  <c r="W66" i="4"/>
  <c r="X66" i="4"/>
  <c r="Y66" i="4"/>
  <c r="Z66" i="4"/>
  <c r="AA66" i="4"/>
  <c r="V67" i="4"/>
  <c r="W67" i="4"/>
  <c r="X67" i="4"/>
  <c r="Y67" i="4"/>
  <c r="Z67" i="4"/>
  <c r="AA67" i="4"/>
  <c r="V68" i="4"/>
  <c r="W68" i="4"/>
  <c r="X68" i="4"/>
  <c r="Y68" i="4"/>
  <c r="Z68" i="4"/>
  <c r="AA68" i="4"/>
  <c r="V69" i="4"/>
  <c r="W69" i="4"/>
  <c r="X69" i="4"/>
  <c r="Y69" i="4"/>
  <c r="Z69" i="4"/>
  <c r="AA69" i="4"/>
  <c r="V70" i="4"/>
  <c r="W70" i="4"/>
  <c r="X70" i="4"/>
  <c r="Y70" i="4"/>
  <c r="Z70" i="4"/>
  <c r="AA70" i="4"/>
  <c r="V71" i="4"/>
  <c r="W71" i="4"/>
  <c r="X71" i="4"/>
  <c r="Y71" i="4"/>
  <c r="Z71" i="4"/>
  <c r="AA71" i="4"/>
  <c r="V72" i="4"/>
  <c r="W72" i="4"/>
  <c r="X72" i="4"/>
  <c r="Y72" i="4"/>
  <c r="Z72" i="4"/>
  <c r="AA72" i="4"/>
  <c r="V73" i="4"/>
  <c r="W73" i="4"/>
  <c r="X73" i="4"/>
  <c r="Y73" i="4"/>
  <c r="Z73" i="4"/>
  <c r="AA73" i="4"/>
  <c r="V74" i="4"/>
  <c r="W74" i="4"/>
  <c r="X74" i="4"/>
  <c r="Y74" i="4"/>
  <c r="Z74" i="4"/>
  <c r="AA74" i="4"/>
  <c r="V75" i="4"/>
  <c r="W75" i="4"/>
  <c r="X75" i="4"/>
  <c r="Y75" i="4"/>
  <c r="Z75" i="4"/>
  <c r="AA75" i="4"/>
  <c r="V76" i="4"/>
  <c r="W76" i="4"/>
  <c r="X76" i="4"/>
  <c r="Y76" i="4"/>
  <c r="Z76" i="4"/>
  <c r="AA76" i="4"/>
  <c r="V77" i="4"/>
  <c r="W77" i="4"/>
  <c r="X77" i="4"/>
  <c r="Y77" i="4"/>
  <c r="Z77" i="4"/>
  <c r="AA77" i="4"/>
  <c r="V78" i="4"/>
  <c r="W78" i="4"/>
  <c r="X78" i="4"/>
  <c r="Y78" i="4"/>
  <c r="Z78" i="4"/>
  <c r="AA78" i="4"/>
  <c r="V79" i="4"/>
  <c r="W79" i="4"/>
  <c r="X79" i="4"/>
  <c r="Y79" i="4"/>
  <c r="Z79" i="4"/>
  <c r="AA79" i="4"/>
  <c r="V80" i="4"/>
  <c r="W80" i="4"/>
  <c r="X80" i="4"/>
  <c r="Y80" i="4"/>
  <c r="Z80" i="4"/>
  <c r="AA80" i="4"/>
  <c r="V81" i="4"/>
  <c r="W81" i="4"/>
  <c r="X81" i="4"/>
  <c r="Y81" i="4"/>
  <c r="Z81" i="4"/>
  <c r="AA81" i="4"/>
  <c r="V82" i="4"/>
  <c r="W82" i="4"/>
  <c r="X82" i="4"/>
  <c r="Y82" i="4"/>
  <c r="Z82" i="4"/>
  <c r="AA82" i="4"/>
  <c r="V83" i="4"/>
  <c r="W83" i="4"/>
  <c r="X83" i="4"/>
  <c r="Y83" i="4"/>
  <c r="Z83" i="4"/>
  <c r="AA83" i="4"/>
  <c r="V84" i="4"/>
  <c r="W84" i="4"/>
  <c r="X84" i="4"/>
  <c r="Y84" i="4"/>
  <c r="Z84" i="4"/>
  <c r="AA84" i="4"/>
  <c r="V85" i="4"/>
  <c r="W85" i="4"/>
  <c r="X85" i="4"/>
  <c r="Y85" i="4"/>
  <c r="Z85" i="4"/>
  <c r="AA85" i="4"/>
  <c r="V86" i="4"/>
  <c r="W86" i="4"/>
  <c r="X86" i="4"/>
  <c r="Y86" i="4"/>
  <c r="Z86" i="4"/>
  <c r="AA86" i="4"/>
  <c r="V87" i="4"/>
  <c r="W87" i="4"/>
  <c r="X87" i="4"/>
  <c r="Y87" i="4"/>
  <c r="Z87" i="4"/>
  <c r="AA87" i="4"/>
  <c r="V88" i="4"/>
  <c r="W88" i="4"/>
  <c r="X88" i="4"/>
  <c r="Y88" i="4"/>
  <c r="Z88" i="4"/>
  <c r="AA88" i="4"/>
  <c r="V89" i="4"/>
  <c r="W89" i="4"/>
  <c r="X89" i="4"/>
  <c r="Y89" i="4"/>
  <c r="Z89" i="4"/>
  <c r="AA89" i="4"/>
  <c r="V90" i="4"/>
  <c r="W90" i="4"/>
  <c r="X90" i="4"/>
  <c r="Y90" i="4"/>
  <c r="Z90" i="4"/>
  <c r="AA90" i="4"/>
  <c r="V91" i="4"/>
  <c r="W91" i="4"/>
  <c r="X91" i="4"/>
  <c r="Y91" i="4"/>
  <c r="Z91" i="4"/>
  <c r="AA91" i="4"/>
  <c r="V92" i="4"/>
  <c r="W92" i="4"/>
  <c r="X92" i="4"/>
  <c r="Y92" i="4"/>
  <c r="Z92" i="4"/>
  <c r="AA92" i="4"/>
  <c r="V93" i="4"/>
  <c r="W93" i="4"/>
  <c r="X93" i="4"/>
  <c r="Y93" i="4"/>
  <c r="Z93" i="4"/>
  <c r="AA93" i="4"/>
  <c r="V94" i="4"/>
  <c r="W94" i="4"/>
  <c r="X94" i="4"/>
  <c r="Y94" i="4"/>
  <c r="Z94" i="4"/>
  <c r="AA94" i="4"/>
  <c r="V95" i="4"/>
  <c r="W95" i="4"/>
  <c r="X95" i="4"/>
  <c r="Y95" i="4"/>
  <c r="Z95" i="4"/>
  <c r="AA95" i="4"/>
  <c r="V96" i="4"/>
  <c r="W96" i="4"/>
  <c r="X96" i="4"/>
  <c r="Y96" i="4"/>
  <c r="Z96" i="4"/>
  <c r="AA96" i="4"/>
  <c r="V97" i="4"/>
  <c r="W97" i="4"/>
  <c r="X97" i="4"/>
  <c r="Y97" i="4"/>
  <c r="Z97" i="4"/>
  <c r="AA97" i="4"/>
  <c r="V98" i="4"/>
  <c r="W98" i="4"/>
  <c r="X98" i="4"/>
  <c r="Y98" i="4"/>
  <c r="Z98" i="4"/>
  <c r="AA98" i="4"/>
  <c r="V99" i="4"/>
  <c r="W99" i="4"/>
  <c r="X99" i="4"/>
  <c r="Y99" i="4"/>
  <c r="Z99" i="4"/>
  <c r="AA99" i="4"/>
  <c r="V100" i="4"/>
  <c r="W100" i="4"/>
  <c r="X100" i="4"/>
  <c r="Y100" i="4"/>
  <c r="Z100" i="4"/>
  <c r="AA100" i="4"/>
  <c r="V101" i="4"/>
  <c r="W101" i="4"/>
  <c r="X101" i="4"/>
  <c r="Y101" i="4"/>
  <c r="Z101" i="4"/>
  <c r="AA101" i="4"/>
  <c r="V102" i="4"/>
  <c r="W102" i="4"/>
  <c r="X102" i="4"/>
  <c r="Y102" i="4"/>
  <c r="Z102" i="4"/>
  <c r="AA102" i="4"/>
  <c r="V103" i="4"/>
  <c r="W103" i="4"/>
  <c r="X103" i="4"/>
  <c r="Y103" i="4"/>
  <c r="Z103" i="4"/>
  <c r="AA103" i="4"/>
  <c r="V104" i="4"/>
  <c r="W104" i="4"/>
  <c r="X104" i="4"/>
  <c r="Y104" i="4"/>
  <c r="Z104" i="4"/>
  <c r="AA104" i="4"/>
  <c r="V105" i="4"/>
  <c r="W105" i="4"/>
  <c r="X105" i="4"/>
  <c r="Y105" i="4"/>
  <c r="Z105" i="4"/>
  <c r="AA105" i="4"/>
  <c r="V106" i="4"/>
  <c r="W106" i="4"/>
  <c r="X106" i="4"/>
  <c r="Y106" i="4"/>
  <c r="Z106" i="4"/>
  <c r="AA106" i="4"/>
  <c r="V107" i="4"/>
  <c r="W107" i="4"/>
  <c r="X107" i="4"/>
  <c r="Y107" i="4"/>
  <c r="Z107" i="4"/>
  <c r="AA107" i="4"/>
  <c r="V108" i="4"/>
  <c r="W108" i="4"/>
  <c r="X108" i="4"/>
  <c r="Y108" i="4"/>
  <c r="Z108" i="4"/>
  <c r="AA108" i="4"/>
  <c r="V109" i="4"/>
  <c r="W109" i="4"/>
  <c r="X109" i="4"/>
  <c r="Y109" i="4"/>
  <c r="Z109" i="4"/>
  <c r="AA109" i="4"/>
  <c r="V110" i="4"/>
  <c r="W110" i="4"/>
  <c r="X110" i="4"/>
  <c r="Y110" i="4"/>
  <c r="Z110" i="4"/>
  <c r="AA110" i="4"/>
  <c r="V111" i="4"/>
  <c r="W111" i="4"/>
  <c r="X111" i="4"/>
  <c r="Y111" i="4"/>
  <c r="Z111" i="4"/>
  <c r="AA111" i="4"/>
  <c r="V112" i="4"/>
  <c r="W112" i="4"/>
  <c r="X112" i="4"/>
  <c r="Y112" i="4"/>
  <c r="Z112" i="4"/>
  <c r="AA112" i="4"/>
  <c r="V113" i="4"/>
  <c r="W113" i="4"/>
  <c r="X113" i="4"/>
  <c r="Y113" i="4"/>
  <c r="Z113" i="4"/>
  <c r="AA113" i="4"/>
  <c r="V114" i="4"/>
  <c r="W114" i="4"/>
  <c r="X114" i="4"/>
  <c r="Y114" i="4"/>
  <c r="Z114" i="4"/>
  <c r="AA114" i="4"/>
  <c r="V115" i="4"/>
  <c r="W115" i="4"/>
  <c r="X115" i="4"/>
  <c r="Y115" i="4"/>
  <c r="Z115" i="4"/>
  <c r="AA115" i="4"/>
  <c r="V116" i="4"/>
  <c r="W116" i="4"/>
  <c r="X116" i="4"/>
  <c r="Y116" i="4"/>
  <c r="Z116" i="4"/>
  <c r="AA116" i="4"/>
  <c r="V117" i="4"/>
  <c r="W117" i="4"/>
  <c r="X117" i="4"/>
  <c r="Y117" i="4"/>
  <c r="Z117" i="4"/>
  <c r="AA117" i="4"/>
  <c r="V118" i="4"/>
  <c r="W118" i="4"/>
  <c r="X118" i="4"/>
  <c r="Y118" i="4"/>
  <c r="Z118" i="4"/>
  <c r="AA118" i="4"/>
  <c r="T6" i="2"/>
  <c r="U6" i="2"/>
  <c r="Q6" i="2"/>
  <c r="R6" i="2"/>
  <c r="U7" i="2"/>
  <c r="Q7" i="2"/>
  <c r="V7" i="2" s="1"/>
  <c r="R7" i="2"/>
  <c r="W7" i="2" s="1"/>
  <c r="T8" i="2"/>
  <c r="U8" i="2"/>
  <c r="Q8" i="2"/>
  <c r="V8" i="2" s="1"/>
  <c r="R8" i="2"/>
  <c r="W8" i="2" s="1"/>
  <c r="T9" i="2"/>
  <c r="U9" i="2"/>
  <c r="Q9" i="2"/>
  <c r="V9" i="2" s="1"/>
  <c r="R9" i="2"/>
  <c r="W9" i="2" s="1"/>
  <c r="T10" i="2"/>
  <c r="U10" i="2"/>
  <c r="Q10" i="2"/>
  <c r="V10" i="2" s="1"/>
  <c r="R10" i="2"/>
  <c r="W10" i="2" s="1"/>
  <c r="T11" i="2"/>
  <c r="U11" i="2"/>
  <c r="Q11" i="2"/>
  <c r="V11" i="2" s="1"/>
  <c r="R11" i="2"/>
  <c r="W11" i="2" s="1"/>
  <c r="T12" i="2"/>
  <c r="U12" i="2"/>
  <c r="Q12" i="2"/>
  <c r="V12" i="2" s="1"/>
  <c r="R12" i="2"/>
  <c r="W12" i="2" s="1"/>
  <c r="T13" i="2"/>
  <c r="U13" i="2"/>
  <c r="Q13" i="2"/>
  <c r="V13" i="2" s="1"/>
  <c r="R13" i="2"/>
  <c r="W13" i="2" s="1"/>
  <c r="T14" i="2"/>
  <c r="U14" i="2"/>
  <c r="Q14" i="2"/>
  <c r="V14" i="2" s="1"/>
  <c r="R14" i="2"/>
  <c r="W14" i="2" s="1"/>
  <c r="T15" i="2"/>
  <c r="U15" i="2"/>
  <c r="Q15" i="2"/>
  <c r="V15" i="2" s="1"/>
  <c r="R15" i="2"/>
  <c r="W15" i="2" s="1"/>
  <c r="T16" i="2"/>
  <c r="U16" i="2"/>
  <c r="Q16" i="2"/>
  <c r="V16" i="2" s="1"/>
  <c r="R16" i="2"/>
  <c r="W16" i="2" s="1"/>
  <c r="T17" i="2"/>
  <c r="U17" i="2"/>
  <c r="Q17" i="2"/>
  <c r="V17" i="2" s="1"/>
  <c r="R17" i="2"/>
  <c r="W17" i="2" s="1"/>
  <c r="T18" i="2"/>
  <c r="U18" i="2"/>
  <c r="Q18" i="2"/>
  <c r="V18" i="2" s="1"/>
  <c r="R18" i="2"/>
  <c r="W18" i="2" s="1"/>
  <c r="T19" i="2"/>
  <c r="U19" i="2"/>
  <c r="Q19" i="2"/>
  <c r="V19" i="2" s="1"/>
  <c r="R19" i="2"/>
  <c r="W19" i="2" s="1"/>
  <c r="T20" i="2"/>
  <c r="U20" i="2"/>
  <c r="Q20" i="2"/>
  <c r="V20" i="2" s="1"/>
  <c r="R20" i="2"/>
  <c r="W20" i="2" s="1"/>
  <c r="T21" i="2"/>
  <c r="U21" i="2"/>
  <c r="Q21" i="2"/>
  <c r="V21" i="2" s="1"/>
  <c r="R21" i="2"/>
  <c r="W21" i="2" s="1"/>
  <c r="T22" i="2"/>
  <c r="U22" i="2"/>
  <c r="Q22" i="2"/>
  <c r="V22" i="2" s="1"/>
  <c r="R22" i="2"/>
  <c r="W22" i="2" s="1"/>
  <c r="T23" i="2"/>
  <c r="U23" i="2"/>
  <c r="Q23" i="2"/>
  <c r="V23" i="2" s="1"/>
  <c r="R23" i="2"/>
  <c r="W23" i="2" s="1"/>
  <c r="T24" i="2"/>
  <c r="U24" i="2"/>
  <c r="Q24" i="2"/>
  <c r="V24" i="2" s="1"/>
  <c r="R24" i="2"/>
  <c r="W24" i="2" s="1"/>
  <c r="T25" i="2"/>
  <c r="U25" i="2"/>
  <c r="Q25" i="2"/>
  <c r="V25" i="2" s="1"/>
  <c r="R25" i="2"/>
  <c r="W25" i="2" s="1"/>
  <c r="T26" i="2"/>
  <c r="U26" i="2"/>
  <c r="Q26" i="2"/>
  <c r="V26" i="2" s="1"/>
  <c r="R26" i="2"/>
  <c r="W26" i="2" s="1"/>
  <c r="T27" i="2"/>
  <c r="U27" i="2"/>
  <c r="Q27" i="2"/>
  <c r="V27" i="2" s="1"/>
  <c r="R27" i="2"/>
  <c r="W27" i="2" s="1"/>
  <c r="U28" i="2"/>
  <c r="Q28" i="2"/>
  <c r="V28" i="2" s="1"/>
  <c r="R28" i="2"/>
  <c r="W28" i="2" s="1"/>
  <c r="T29" i="2"/>
  <c r="U29" i="2"/>
  <c r="Q29" i="2"/>
  <c r="V29" i="2" s="1"/>
  <c r="R29" i="2"/>
  <c r="W29" i="2" s="1"/>
  <c r="T30" i="2"/>
  <c r="U30" i="2"/>
  <c r="Q30" i="2"/>
  <c r="V30" i="2" s="1"/>
  <c r="R30" i="2"/>
  <c r="W30" i="2" s="1"/>
  <c r="T31" i="2"/>
  <c r="U31" i="2"/>
  <c r="Q31" i="2"/>
  <c r="V31" i="2" s="1"/>
  <c r="R31" i="2"/>
  <c r="W31" i="2" s="1"/>
  <c r="T32" i="2"/>
  <c r="U32" i="2"/>
  <c r="Q32" i="2"/>
  <c r="V32" i="2" s="1"/>
  <c r="R32" i="2"/>
  <c r="W32" i="2" s="1"/>
  <c r="T33" i="2"/>
  <c r="U33" i="2"/>
  <c r="Q33" i="2"/>
  <c r="V33" i="2" s="1"/>
  <c r="R33" i="2"/>
  <c r="W33" i="2" s="1"/>
  <c r="T34" i="2"/>
  <c r="U34" i="2"/>
  <c r="Q34" i="2"/>
  <c r="V34" i="2" s="1"/>
  <c r="R34" i="2"/>
  <c r="W34" i="2" s="1"/>
  <c r="T35" i="2"/>
  <c r="U35" i="2"/>
  <c r="Q35" i="2"/>
  <c r="V35" i="2" s="1"/>
  <c r="R35" i="2"/>
  <c r="W35" i="2" s="1"/>
  <c r="T36" i="2"/>
  <c r="U36" i="2"/>
  <c r="Q36" i="2"/>
  <c r="V36" i="2" s="1"/>
  <c r="R36" i="2"/>
  <c r="W36" i="2" s="1"/>
  <c r="T37" i="2"/>
  <c r="U37" i="2"/>
  <c r="Q37" i="2"/>
  <c r="V37" i="2" s="1"/>
  <c r="R37" i="2"/>
  <c r="W37" i="2" s="1"/>
  <c r="V6" i="2"/>
  <c r="W6" i="2"/>
  <c r="T7" i="2"/>
  <c r="T28" i="2"/>
  <c r="X14" i="4" l="1"/>
  <c r="AA5" i="4" l="1"/>
  <c r="Z5" i="4"/>
  <c r="Y5" i="4"/>
  <c r="X5" i="4"/>
  <c r="W5" i="4"/>
  <c r="V5" i="4"/>
  <c r="T5" i="2"/>
  <c r="T69" i="2" s="1"/>
  <c r="R5" i="2"/>
  <c r="Q5" i="2"/>
  <c r="W5" i="2" l="1"/>
  <c r="U5" i="2"/>
  <c r="U69" i="2" s="1"/>
  <c r="V5" i="2"/>
</calcChain>
</file>

<file path=xl/sharedStrings.xml><?xml version="1.0" encoding="utf-8"?>
<sst xmlns="http://schemas.openxmlformats.org/spreadsheetml/2006/main" count="1374" uniqueCount="606">
  <si>
    <t>STT
(No.)</t>
  </si>
  <si>
    <t>Mã số 
(Material Code)</t>
  </si>
  <si>
    <t>Mặt hàng 
(Description)</t>
  </si>
  <si>
    <t>Đơn Vị (Base Unit)</t>
  </si>
  <si>
    <t>Tồn đầu (Opening)</t>
  </si>
  <si>
    <t>Nhập (Receipt)</t>
  </si>
  <si>
    <t>Xuất (Issue)</t>
  </si>
  <si>
    <t>Tồn cuối (Closing)</t>
  </si>
  <si>
    <t>Ms_Code</t>
  </si>
  <si>
    <t>Số lượng
(Quantity)</t>
  </si>
  <si>
    <t>Giá trị
(Amount)</t>
  </si>
  <si>
    <t>A</t>
  </si>
  <si>
    <t>B</t>
  </si>
  <si>
    <t>C</t>
  </si>
  <si>
    <t>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</si>
  <si>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</si>
  <si>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</si>
  <si>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</si>
  <si>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</si>
  <si>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</si>
  <si>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</si>
  <si>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</si>
  <si>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</si>
  <si>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</si>
  <si>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PSR0V01S3</t>
  </si>
  <si>
    <t>PSR0V01S(PSR82H175/65R14SPCZ_P2PVA)</t>
  </si>
  <si>
    <t>PC</t>
  </si>
  <si>
    <t>PSR0V02P3</t>
  </si>
  <si>
    <t>PSR095HP205/65 R15   XLBAR3Z _QP3VA</t>
  </si>
  <si>
    <t>PSR0V02S3</t>
  </si>
  <si>
    <t>Lốp xe cao su hiệu Supercat-PSR0V02S(PSR082H175/70R13SPCZ)</t>
  </si>
  <si>
    <t>PSR0V03F3</t>
  </si>
  <si>
    <t>Lốp xe cao su hiệu Firestone -PSR0V03F(PSR079T165/65R14MLHK2Z)</t>
  </si>
  <si>
    <t>PSR0V03P3</t>
  </si>
  <si>
    <t>PSR0V03P_BJTVA_95V 215/60 R16_BAR3Z</t>
  </si>
  <si>
    <t>PSR0V03S3</t>
  </si>
  <si>
    <t>PSR 86H 186/65 R14 SPCZ</t>
  </si>
  <si>
    <t>PSR0V04F3</t>
  </si>
  <si>
    <t>Lốp xe cao su hiệu Firestone -PSR0V04F(PSR082H185/60R14MLHK2Z)</t>
  </si>
  <si>
    <t>PSR0V04S3</t>
  </si>
  <si>
    <t>PSR0V04S 195/60R15</t>
  </si>
  <si>
    <t>PSR0V0523</t>
  </si>
  <si>
    <t>Lốp xe cao su hiệu Bridgestone-PSR0V0523(091H 205/55R16 EL64Z)</t>
  </si>
  <si>
    <t>PCS</t>
  </si>
  <si>
    <t>PSR0V0533</t>
  </si>
  <si>
    <t>PSR0V053(PSR91H195/65R15_EL64Z_NKSVA)</t>
  </si>
  <si>
    <t>PSR0V0543</t>
  </si>
  <si>
    <t>Lốp xe cao su hiệu Bridgestone-PSR0V0543(092V 205/60R16 EL64Z)</t>
  </si>
  <si>
    <t>PSR0V0553</t>
  </si>
  <si>
    <t>PSR0V055(PSR94H205/65R15EL64Z_MMMVA)</t>
  </si>
  <si>
    <t>PSR0V0563</t>
  </si>
  <si>
    <t>PSR0V056(PSR95V215/60R16EL64Z_HHHVA)</t>
  </si>
  <si>
    <t>PSR0V05F3</t>
  </si>
  <si>
    <t>Lốp xe cao su hiệu Firestone -PSR0V05F(PSR077T165/65R13MLHK2Z)</t>
  </si>
  <si>
    <t>PSR0V05S3</t>
  </si>
  <si>
    <t>PSR 091H 195/65 R15 SPCZ</t>
  </si>
  <si>
    <t>PSR0V06F3</t>
  </si>
  <si>
    <t>PSR0V06F (75T 155/65 R14_MLHK2Z_MK5VA</t>
  </si>
  <si>
    <t>PSR0V07F3</t>
  </si>
  <si>
    <t>PSR75T 155/70 R13 MLHK2Z</t>
  </si>
  <si>
    <t>PSR0V07S3</t>
  </si>
  <si>
    <t>Lốp xe cao su-PSR095V 215/60R16 SPCZ</t>
  </si>
  <si>
    <t>PSR0V0893</t>
  </si>
  <si>
    <t>Lốp xe cao su-PSR091V 205/55R16 MY02FZ</t>
  </si>
  <si>
    <t>PSR0V08F3</t>
  </si>
  <si>
    <t>PSR0V08F 155/80R13</t>
  </si>
  <si>
    <t>PSR0V0913</t>
  </si>
  <si>
    <t>Lốp xe cao su hiệu Bridgestone-PSR0V0913(085V 195/55 R15 MY02FZ)</t>
  </si>
  <si>
    <t>PSR0V0943</t>
  </si>
  <si>
    <t>PSR0V094(PSR94V 215/55R17_EL64Z_HQVZA)</t>
  </si>
  <si>
    <t>PSR0V0963</t>
  </si>
  <si>
    <t>PSR095V 215/50 R17   XLEL64Z _EQLZA</t>
  </si>
  <si>
    <t>PSR0V09F3</t>
  </si>
  <si>
    <t>PSR0V09F (81T 165/65 R15 MLHK2Z_EVAVA)</t>
  </si>
  <si>
    <t>PSR0V1033</t>
  </si>
  <si>
    <t>Lốp xe cao su- PSR091V215/45 R17 XLMY02FZ</t>
  </si>
  <si>
    <t>PSR0V10F3</t>
  </si>
  <si>
    <t>PSR0V10F(PSR79T165/70R13_MLHK2Z_DB6VA)</t>
  </si>
  <si>
    <t>PSR0V11F3</t>
  </si>
  <si>
    <t>Lốp xe cao su hiệu Firestone-PSR0V11F(PSR81T165/70R14MLHK2Z)</t>
  </si>
  <si>
    <t>PSR0V11S3</t>
  </si>
  <si>
    <t>PSR0V11S (88H185/65R15SPCZ)</t>
  </si>
  <si>
    <t>PSR0V12F3</t>
  </si>
  <si>
    <t>Lốp xe cao su hiệu Firestone -PSR0V12F(PSR082T175/65R14MLHK2Z)</t>
  </si>
  <si>
    <t>PSR0V13F3</t>
  </si>
  <si>
    <t>PSR0V13F(PSR86T175/65R14XLMLHK2Z_DCBVA)</t>
  </si>
  <si>
    <t>PSR0V14F3</t>
  </si>
  <si>
    <t>PSR0V14F (84T 175/65 R15_MLHK2Z_YNGVA)</t>
  </si>
  <si>
    <t>PSR0V15F3</t>
  </si>
  <si>
    <t>Lốp xe cao su hiệu Firestone-PSR0V15F(PSR082T175/70R13MLHK2Z)</t>
  </si>
  <si>
    <t>PSR0V16F3</t>
  </si>
  <si>
    <t>PSR0V16F 84T 175/70 R14_MLHK2Z_KENVA</t>
  </si>
  <si>
    <t>PSR0V17F3</t>
  </si>
  <si>
    <t>PSR0V17F (87T 175/70 R14_XLMLHK2Z_LANVA)</t>
  </si>
  <si>
    <t>PSR0V18F3</t>
  </si>
  <si>
    <t>PSR0V18F 88H 175/80 R14_MLHK2Z_GBAVA</t>
  </si>
  <si>
    <t>PSR0V21F3</t>
  </si>
  <si>
    <t>Lốp cao su hieu Firestone PSR0V21F(PSR86H185/65R14MLHK2Z)</t>
  </si>
  <si>
    <t>PSR0V22F3</t>
  </si>
  <si>
    <t>PSR0V22F 185/65R14</t>
  </si>
  <si>
    <t>PSR0V23F3</t>
  </si>
  <si>
    <t>Lốp xe cao su hiệu Firestone-PSR0V23F(PSR088T 185/65R15 MLHK2Z)</t>
  </si>
  <si>
    <t>PSR0V24F3</t>
  </si>
  <si>
    <t>PSR0V24F (PSR88T 185/70 R14_MLHK2Z_LLLVA)</t>
  </si>
  <si>
    <t>PSR0V26F3</t>
  </si>
  <si>
    <t>Lốp xe cao su hiệu Firestone_PSR0V26F(PSR95T195/65R15XLMLHK2Z)</t>
  </si>
  <si>
    <t>PSR0V48F3</t>
  </si>
  <si>
    <t>PRS96T 205/70R15 CHAMAZ</t>
  </si>
  <si>
    <t>PSR0V49F3</t>
  </si>
  <si>
    <t>PSR0V50F3</t>
  </si>
  <si>
    <t>PSR0V52F3</t>
  </si>
  <si>
    <t>PSR0V52F 225/60R16</t>
  </si>
  <si>
    <t>PSR0V53F3</t>
  </si>
  <si>
    <t>PSR0V53F 185/60R15</t>
  </si>
  <si>
    <t>PSR0V54F3</t>
  </si>
  <si>
    <t>Lốp xe cao su-PSR084H 175/65R15 CHAMBZ</t>
  </si>
  <si>
    <t>PSR0V57F3</t>
  </si>
  <si>
    <t>PSR 102H 235/60 R17 CHAMAZ</t>
  </si>
  <si>
    <t>PSR0V58F3</t>
  </si>
  <si>
    <t>PSR0V60F3</t>
  </si>
  <si>
    <t>PSR0V60F 205/60R16</t>
  </si>
  <si>
    <t>PSR0V62F3</t>
  </si>
  <si>
    <t>PSR 91H 205/55 R16 CHAMAZ</t>
  </si>
  <si>
    <t>PSR0V64F3</t>
  </si>
  <si>
    <t>Lốp xe cao su-PSR095V 215/60R16 CHAMAZ</t>
  </si>
  <si>
    <t>Tổng cộng (Total):</t>
  </si>
  <si>
    <t>Bravo convert</t>
  </si>
  <si>
    <t>SAP</t>
  </si>
  <si>
    <t>Var.</t>
  </si>
  <si>
    <t>MATERIAL NUMBER</t>
  </si>
  <si>
    <t>MATERIAL DESCRIPTION (SHORT TEXT)</t>
  </si>
  <si>
    <t>BASE UNIT OF MEASURE</t>
  </si>
  <si>
    <t>BALANCE B/F (QTY)</t>
  </si>
  <si>
    <t>SALES GOC B/F (QTY)</t>
  </si>
  <si>
    <t>GOODS RECEIPT (QTY)</t>
  </si>
  <si>
    <t>RETURN TO PRODUCTION (QTY)</t>
  </si>
  <si>
    <t>TOTAL BF (QTY) AND GR (QTY)</t>
  </si>
  <si>
    <t>SALES TO CUSTOMER (QTY)</t>
  </si>
  <si>
    <t>RETURN FROM CUSTOMER(QTY)</t>
  </si>
  <si>
    <t>STOCK TAKING INCREASE (QTY)</t>
  </si>
  <si>
    <t>STOCK TAKING DECREASE (QTY)</t>
  </si>
  <si>
    <t>SCRAP PROV.(QTY)</t>
  </si>
  <si>
    <t>SCRAP NOPROV.(QTY)</t>
  </si>
  <si>
    <t>ISSUED AS FOC (QTY)</t>
  </si>
  <si>
    <t>BALANCE C/F (QTY)</t>
  </si>
  <si>
    <t>SALES GOC C/F (QTY)</t>
  </si>
  <si>
    <t>COST OF GOODS MANUFACTURED</t>
  </si>
  <si>
    <t>PREDETERMINED COST</t>
  </si>
  <si>
    <t>MONTHLY MOVING AVERAGE COST</t>
  </si>
  <si>
    <t>GOODS RECEIPT (PREDETERMINED)</t>
  </si>
  <si>
    <t>RETURN TO PRODUCTION (PREDETERMINED)</t>
  </si>
  <si>
    <t>SALES TO CUSTOMER (PREDETERMINED)</t>
  </si>
  <si>
    <t>RETURN FROM CUSTOMER (PREDETERMINED)</t>
  </si>
  <si>
    <t>STOCK TAKING INCREASE (PREDETERMINED)</t>
  </si>
  <si>
    <t>STOCK TAKING DECREASE (PREDETERMINED)</t>
  </si>
  <si>
    <t>SCRAP PROV.(PREDETERMINED)</t>
  </si>
  <si>
    <t>SCRAP NOPROV.(PREDETERMINED)</t>
  </si>
  <si>
    <t>ISSUED AS FOC (PREDETERMINED)</t>
  </si>
  <si>
    <t>BALANCE B/F (AMOUNT)</t>
  </si>
  <si>
    <t>SALES GOC B/F (AMOUNT)</t>
  </si>
  <si>
    <t>GOODS RECEIPT (COGM)</t>
  </si>
  <si>
    <t>RECONCILIATION (AMOUNT)</t>
  </si>
  <si>
    <t>TOTAL BF (MMA) AND GR (COGM)</t>
  </si>
  <si>
    <t>SALES TO CUSTOMER (MMA)</t>
  </si>
  <si>
    <t>RETURN FROM CUSTOMER (ACTUAL COST)</t>
  </si>
  <si>
    <t>STOCK TAKING INCREASE (MMA)</t>
  </si>
  <si>
    <t>STOCK TAKING DECREASE (MMA)</t>
  </si>
  <si>
    <t>SCRAP PROV.(MMA)</t>
  </si>
  <si>
    <t>SCRAP NOPROV.(MMA)</t>
  </si>
  <si>
    <t>ISSUED AS FOC (MMA)</t>
  </si>
  <si>
    <t>BALANCE C/F (MMA)</t>
  </si>
  <si>
    <t>FRACTION ADJUSTMENT (AMOUNT)</t>
  </si>
  <si>
    <t>SALES GOC C/F (AMOUNT)</t>
  </si>
  <si>
    <t>GOODS RECEIPT (COGM - PREDETERMINED)</t>
  </si>
  <si>
    <t>SALES TO CUSTOMER (MMA - PREDETERMINED)</t>
  </si>
  <si>
    <t>RETURN FROM CUSTOMER(ACTUAL COST - PRE.)</t>
  </si>
  <si>
    <t>PSR0V0013</t>
  </si>
  <si>
    <t>073S 155/65 R13      NXTZ   T     D0VE</t>
  </si>
  <si>
    <t>T</t>
  </si>
  <si>
    <t>PSR0V0023</t>
  </si>
  <si>
    <t>075S 155/65 R14      NXTZ   T     D0VE</t>
  </si>
  <si>
    <t>PSR0V0033</t>
  </si>
  <si>
    <t>075S 145/80 R13      NXTZ   T     D0VE</t>
  </si>
  <si>
    <t>PSR0V0043</t>
  </si>
  <si>
    <t>082S 175/65 R14      NXTZ   T     D0VE</t>
  </si>
  <si>
    <t>PSR0V0053</t>
  </si>
  <si>
    <t>091S 195/65 R15      NXTZ   T     D0VE</t>
  </si>
  <si>
    <t>PSR0V0063</t>
  </si>
  <si>
    <t>081S 165/70 R14      NXTZ   T     D0VE</t>
  </si>
  <si>
    <t>PSR0V0073</t>
  </si>
  <si>
    <t>088S 185/65 R15      NXTZ   T     D0VE</t>
  </si>
  <si>
    <t>PSR0V0083</t>
  </si>
  <si>
    <t>084S 175/70 R14      NXTZ   T     D0VE</t>
  </si>
  <si>
    <t>PSR0V0093</t>
  </si>
  <si>
    <t>079S 155/80 R13      NXTZ   T     D0VE</t>
  </si>
  <si>
    <t>PSR0V0103</t>
  </si>
  <si>
    <t>088S 185/70 R14      NXTZ   T     D0VE</t>
  </si>
  <si>
    <t>PSR0V0123</t>
  </si>
  <si>
    <t>084H 185/60 R15      NXTZ   T     D0VE</t>
  </si>
  <si>
    <t>PSR0V0133</t>
  </si>
  <si>
    <t>091V 205/55 R16      NXTZ   T     D0VE</t>
  </si>
  <si>
    <t>PSR0V0143</t>
  </si>
  <si>
    <t>095H 215/60 R16      NXTZ   T     D0VE</t>
  </si>
  <si>
    <t>PSR0V0153</t>
  </si>
  <si>
    <t>086S 185/65 R14      NXTZ   T     D0VE</t>
  </si>
  <si>
    <t>PSR0V0163</t>
  </si>
  <si>
    <t>079S 165/70 R13      NXTZ   T     D0VE</t>
  </si>
  <si>
    <t>PSR0V01P3</t>
  </si>
  <si>
    <t>082H 175/65 R14     BAR3Z   T     AH03</t>
  </si>
  <si>
    <t>PSR0V01S</t>
  </si>
  <si>
    <t>PSR082H 175/65 R14 SPCZ</t>
  </si>
  <si>
    <t>082H 175/65 R14      SPCZ   T     CHV0</t>
  </si>
  <si>
    <t>PSR0V0203</t>
  </si>
  <si>
    <t>088H 185/70 R14      150EZ  T 5T##5DV0</t>
  </si>
  <si>
    <t>PSR0V0213</t>
  </si>
  <si>
    <t>091H 195/65 R15      150EZ  T 5T##5DV0</t>
  </si>
  <si>
    <t>PSR0V0223</t>
  </si>
  <si>
    <t>091H 195/70 R14      150EZ  T 5T##5DV0</t>
  </si>
  <si>
    <t>PSR0V0243</t>
  </si>
  <si>
    <t>082H 175/70 R13      150EZ  T 5T##5DV0</t>
  </si>
  <si>
    <t>PSR0V0253</t>
  </si>
  <si>
    <t>082V 195/50 R15     MY02FZ  T  T047NV0</t>
  </si>
  <si>
    <t>PSR0V0263</t>
  </si>
  <si>
    <t>085V 195/55 R15     MY02FZ  T  T047NV0</t>
  </si>
  <si>
    <t>PSR0V0283</t>
  </si>
  <si>
    <t>091V 195/65 R15     MY02Z   T  T047NV0</t>
  </si>
  <si>
    <t>PSR0V0293</t>
  </si>
  <si>
    <t>091V 205/55 R16     MY02FZ  T  T047NV0</t>
  </si>
  <si>
    <t>PSR0V02F3</t>
  </si>
  <si>
    <t>080T 175/65 R13     MLHK2Z  T 5   23V0</t>
  </si>
  <si>
    <t>095HP205/65 R15   XLBAR3Z   T     AH03</t>
  </si>
  <si>
    <t>082H 175/70 R13      SPCZ   T     CHV0</t>
  </si>
  <si>
    <t>PSR0V0333</t>
  </si>
  <si>
    <t>072V 165/55 R14      NXTZ   T     D0VE</t>
  </si>
  <si>
    <t>079T 165/65 R14     MLHK2Z  T 5   23V0</t>
  </si>
  <si>
    <t>095V 215/60 R16     BAR3Z   T     AH03</t>
  </si>
  <si>
    <t>086H 185/65 R14      SPCZ   T     CHV0</t>
  </si>
  <si>
    <t>PSR0V0403</t>
  </si>
  <si>
    <t>084S 175/65 R15      NXTZ   T     D0VE</t>
  </si>
  <si>
    <t>PSR0V0433</t>
  </si>
  <si>
    <t>092H 205/60 R16      NXTZ   T     D0VE</t>
  </si>
  <si>
    <t>PSR0V0453</t>
  </si>
  <si>
    <t>086H 185/65 R14     EP2HZ   T  T##X3V0</t>
  </si>
  <si>
    <t>PSR0V0463</t>
  </si>
  <si>
    <t>091V 195/65 R15     EP2HZ   T  TW4X3V0</t>
  </si>
  <si>
    <t>PSR0V0483</t>
  </si>
  <si>
    <t>095H 215/60 R16     EP2HZ   T 5TW45DV0</t>
  </si>
  <si>
    <t>082H 185/60 R14     MLHK2Z  T 5   23V0</t>
  </si>
  <si>
    <t>088H 195/60 R15      SPCZ   T     CHV0</t>
  </si>
  <si>
    <t>PSR0V0513</t>
  </si>
  <si>
    <t>094V 205/65 R15     EP2HZ   T  TW4X3V02A</t>
  </si>
  <si>
    <t>091H 205/55 R16     EL64Z   T U601A9V0</t>
  </si>
  <si>
    <t>PSR0V053</t>
  </si>
  <si>
    <t>PSR091H 195/65 R15 EL64Z</t>
  </si>
  <si>
    <t>091H 195/65 R15     EL64Z   T U601A9V0</t>
  </si>
  <si>
    <t>092V 205/60 R16     EL64Z   T U601A9V0</t>
  </si>
  <si>
    <t>PSR0V055</t>
  </si>
  <si>
    <t>PSR094H 205/65 R15 EL64Z</t>
  </si>
  <si>
    <t>094H 205/65 R15     EL64Z   T U601A9V0</t>
  </si>
  <si>
    <t>PSR0V056</t>
  </si>
  <si>
    <t>PSR095V 215/60 R16 EL64Z</t>
  </si>
  <si>
    <t>095V 215/60 R16     EL64Z   T U601A9V0</t>
  </si>
  <si>
    <t>PSR0V059</t>
  </si>
  <si>
    <t>PSR082H 175/65 R14 150EZ</t>
  </si>
  <si>
    <t>PSR0V0593</t>
  </si>
  <si>
    <t>082H 175/65 R14      150EZ  T 5T##5DV0</t>
  </si>
  <si>
    <t>077T 165/65 R13     MLHK2Z  T 5   23V0</t>
  </si>
  <si>
    <t>091H 195/65 R15      SPCZ   T     CHV0</t>
  </si>
  <si>
    <t>PSR0V0603</t>
  </si>
  <si>
    <t>084V 185/60 R15     EP2HCZ  T 5T##5DV0</t>
  </si>
  <si>
    <t>075T 155/65 R14     MLHK2Z  T 5   23V0</t>
  </si>
  <si>
    <t>PSR0V06S3</t>
  </si>
  <si>
    <t>095HP205/65 R15   XL SPCZ   T     CHV0</t>
  </si>
  <si>
    <t>075T 155/70 R13     MLHK2Z  T 5   23V0</t>
  </si>
  <si>
    <t>095V 215/60 R16      SPCZ   T     CHV0</t>
  </si>
  <si>
    <t>091V 205/55 R16     MY02FZ  T  T047NV0QR</t>
  </si>
  <si>
    <t>079T 155/80 R13     MLHK2Z  T 5   23V0</t>
  </si>
  <si>
    <t>PSR0V08S3</t>
  </si>
  <si>
    <t>086H 195/60 R14      SPCZ   T     CHV0VE</t>
  </si>
  <si>
    <t>085V 195/55 R15     MY02FZ  T  T047NV0QR</t>
  </si>
  <si>
    <t>094V 215/55 R17     EL64Z   T U601A9V0</t>
  </si>
  <si>
    <t>PSR0V0953</t>
  </si>
  <si>
    <t>099V 245/50 R17     EL64Z   T U601A9V0</t>
  </si>
  <si>
    <t>095V 215/50 R17   XLEL64Z   T U601A9V0</t>
  </si>
  <si>
    <t>PSR0V0993</t>
  </si>
  <si>
    <t>091H 195/65 R15      TECAZ  T     X0V0</t>
  </si>
  <si>
    <t>081T 165/65 R15     MLHK2Z  T 5   23V0</t>
  </si>
  <si>
    <t>PSR0V09S3</t>
  </si>
  <si>
    <t>082H 185/60 R14      SPCZ   T     CHV0</t>
  </si>
  <si>
    <t>PSR0V1003</t>
  </si>
  <si>
    <t>084H 175/70 R14      TECAZ  T  T##X1V0</t>
  </si>
  <si>
    <t>PSR0V1013</t>
  </si>
  <si>
    <t>088H 185/70 R14      TECAZ  T  T##X1V0</t>
  </si>
  <si>
    <t>091V 215/45 R17   XLMY02FZ  T 5T042CV0</t>
  </si>
  <si>
    <t>PSR0V1043</t>
  </si>
  <si>
    <t>091V 205/55 R16     EP30Z   T 5T##TDV0</t>
  </si>
  <si>
    <t>PSR0V1053</t>
  </si>
  <si>
    <t>094H 205/65 R15      150EZ  T 5T##2YV0</t>
  </si>
  <si>
    <t>PSR0V1093</t>
  </si>
  <si>
    <t>091V 195/65 R15     EP30Z   T 5   THV0</t>
  </si>
  <si>
    <t>PSR0V10F</t>
  </si>
  <si>
    <t>PSR079T 165/70 R13 MLHK2Z</t>
  </si>
  <si>
    <t>079T 165/70 R13     MLHK2Z  T 5   23V0</t>
  </si>
  <si>
    <t>PSR0V10S3</t>
  </si>
  <si>
    <t>089H 195/65 R14      SPCZ   T     CHV0</t>
  </si>
  <si>
    <t>PSR0V1123</t>
  </si>
  <si>
    <t>088H 185/65 R15      150EZ  T     L5V0</t>
  </si>
  <si>
    <t>PSR0V1133</t>
  </si>
  <si>
    <t>088H 185/70 R14      150EZ  T 5T##TEV0</t>
  </si>
  <si>
    <t>PSR0V1143</t>
  </si>
  <si>
    <t>091H 195/65 R15      150EZ  T 5T##TEV0</t>
  </si>
  <si>
    <t>PSR0V1163</t>
  </si>
  <si>
    <t>082H 175/70 R13      150EZ  T 5T##TEV0</t>
  </si>
  <si>
    <t>PSR0V1173</t>
  </si>
  <si>
    <t>082H 175/65 R14      150EZ  T 5T##TEV0</t>
  </si>
  <si>
    <t>081T 165/70 R14     MLHK2Z  T 5   23V0</t>
  </si>
  <si>
    <t>088H 185/65 R15      SPCZ   T     CHV0</t>
  </si>
  <si>
    <t>082T 175/65 R14     MLHK2Z  T 5   23V0</t>
  </si>
  <si>
    <t>086T 175/65 R14   XLMLHK2Z  T 5   23V0</t>
  </si>
  <si>
    <t>084T 175/65 R15     MLHK2Z  T 5   23V0</t>
  </si>
  <si>
    <t>082T 175/70 R13     MLHK2Z  T 5   23V0</t>
  </si>
  <si>
    <t>084T 175/70 R14     MLHK2Z  T 5   23V0</t>
  </si>
  <si>
    <t>088T 175/70 R14   XLMLHK2Z  T 5   23V0</t>
  </si>
  <si>
    <t>088H 175/80 R14     MLHK2Z  T 5   23V0</t>
  </si>
  <si>
    <t>PSR0V19F3</t>
  </si>
  <si>
    <t>088T 175/80 R14     MLHK2Z  T 5   23V0</t>
  </si>
  <si>
    <t>PSR0V20F3</t>
  </si>
  <si>
    <t>080H 185/55 R14     MLHK2Z  T 5   23V0</t>
  </si>
  <si>
    <t>PSR0V21F</t>
  </si>
  <si>
    <t>PSR086H 185/65 R14 MLHK2Z</t>
  </si>
  <si>
    <t>086H 185/65 R14     MLHK2Z  T 5   23V0</t>
  </si>
  <si>
    <t>086T 185/65 R14     MLHK2Z  T 5   23V0</t>
  </si>
  <si>
    <t>088T 185/65 R15     MLHK2Z  T 5   23V0</t>
  </si>
  <si>
    <t>088T 185/70 R14     MLHK2Z  T 5   23V0</t>
  </si>
  <si>
    <t>PSR0V25F</t>
  </si>
  <si>
    <t>PSR091T 195/65 R15 MLHK2Z</t>
  </si>
  <si>
    <t>PSR0V25F3</t>
  </si>
  <si>
    <t>091T 195/65 R15     MLHK2Z  T 5   23V0</t>
  </si>
  <si>
    <t>PSR0V26F</t>
  </si>
  <si>
    <t>PSR095T 195/65 R15 MLHK2Z</t>
  </si>
  <si>
    <t>095T 195/65 R15   XLMLHK2Z  T 5   23V0</t>
  </si>
  <si>
    <t>PSR0V27F3</t>
  </si>
  <si>
    <t>075S 145/80 R13     FR10AZ  T     D0V0FD</t>
  </si>
  <si>
    <t>PSR0V32F3</t>
  </si>
  <si>
    <t>081S 165/70 R14     FR10AZ  T     D0V0FD</t>
  </si>
  <si>
    <t>PSR0V33F3</t>
  </si>
  <si>
    <t>082S 175/65 R14     FR10AZ  T     D0V0FD</t>
  </si>
  <si>
    <t>PSR0V38F3</t>
  </si>
  <si>
    <t>088S 185/70 R14     FR10AZ  T     D0V0FD</t>
  </si>
  <si>
    <t>PSR0V39F3</t>
  </si>
  <si>
    <t>091S 195/65 R15     FR10Z   T     D0V0FD</t>
  </si>
  <si>
    <t>096T 205/70 R15     CHAMAZ  T U606A9V0</t>
  </si>
  <si>
    <t>PSR0V49F</t>
  </si>
  <si>
    <t>PSR088H 185/65 R15 CHAMBZ</t>
  </si>
  <si>
    <t>088H 185/65 R15     CHAMBZ  T U601A9V0</t>
  </si>
  <si>
    <t>088H 195/60 R15     CHAMBZ  T U601A9V0</t>
  </si>
  <si>
    <t>PSR0V51F3</t>
  </si>
  <si>
    <t>098T 215/65 R16     CHAMAZ  T U606A9V0</t>
  </si>
  <si>
    <t>098H 225/60 R16     CHAMAZ  T U601A9V0</t>
  </si>
  <si>
    <t>084T 185/60 R15     CHAMBZ  T U606A9V0</t>
  </si>
  <si>
    <t>084H 175/65 R15     CHAMBZ  T U601A9V0</t>
  </si>
  <si>
    <t>PSR0V55F3</t>
  </si>
  <si>
    <t>098T 215/70 R15     CHAMAZ  T U606A9V0</t>
  </si>
  <si>
    <t>PSR0V56F3</t>
  </si>
  <si>
    <t>102T 225/65 R17     CHAMAZ  T U606A9V0</t>
  </si>
  <si>
    <t>102H 235/60 R17     CHAMAZ  T U601A9V0</t>
  </si>
  <si>
    <t>091H 195/65 R15     CHAMBZ  T U601A9V0</t>
  </si>
  <si>
    <t>PSR0V59F3</t>
  </si>
  <si>
    <t>094H 205/65 R15     CHAMAZ  T U601A9V0</t>
  </si>
  <si>
    <t>092H 205/60 R16     CHAMAZ  T U601A9V0</t>
  </si>
  <si>
    <t>PSR0V61F3</t>
  </si>
  <si>
    <t>095T 215/60 R16     CHAMEZ  T U606A9V0</t>
  </si>
  <si>
    <t>091H 205/55 R16     CHAMAZ  T U601A9V0</t>
  </si>
  <si>
    <t>PSR0V63F3</t>
  </si>
  <si>
    <t>100H 225/65 R16     CHAMAZ  T U601A9V0</t>
  </si>
  <si>
    <t>095V 215/60 R16     CHAMAZ  T U601A9V0</t>
  </si>
  <si>
    <t>PSR0V66F3</t>
  </si>
  <si>
    <t>100T 235/60 R16     CHAMAZ  T U606A9V0</t>
  </si>
  <si>
    <t>PSR0V66F (100T 235/60 R16 CHAMAZ )</t>
  </si>
  <si>
    <t>PSR100H 225/65 R16 CHAMAZ</t>
  </si>
  <si>
    <t>Lốp xe cao su -PSR095T215/60 R16 CHAMEZ</t>
  </si>
  <si>
    <t>Lốp xe cao su-PSR094H 205/65R15 CHAMBZ</t>
  </si>
  <si>
    <t>PSR 102T 225/65 R17 CHAMAZ</t>
  </si>
  <si>
    <t>Lốp xe cao su hiệu Firestone_PSR0V25F(PSR91T195/65R15MLHK2Z)</t>
  </si>
  <si>
    <t>PSR0V20F (80H 185/55 R14_MLHK2Z_QQQVA)</t>
  </si>
  <si>
    <t>PSR088T 175/80 R14     MLHK2Z_SHTVA</t>
  </si>
  <si>
    <t>Lốp xe cao su hiệu Bridgestone-PSR0V1173 (082H 175/65R14 150EZ)</t>
  </si>
  <si>
    <t>Lốp xe cao su hiệu Bridgestone-PSR0V1163 (082H 175/70 R13 150EZ)</t>
  </si>
  <si>
    <t>Lốp xe cao su hiệu Bridgestone-PSR0V1143 (091H 195/65R15 150EZ)</t>
  </si>
  <si>
    <t>PSR0V113(088H 185/70 R14      150EZ)</t>
  </si>
  <si>
    <t>Lốp xe cao su hiệu Bridgestone-PSR0V1123 (088H 185/65R15 150EZ)</t>
  </si>
  <si>
    <t>PSR0V10S(89H 195/65 R14      SPCZ   T     CHV0)</t>
  </si>
  <si>
    <t>PSR0V109 (91V 195/65R15 EP30Z)</t>
  </si>
  <si>
    <t>Lốp xe cao su hiệu Bridgestone-PSR0V1013 (088H 185/70 R14 TECAZ)</t>
  </si>
  <si>
    <t>PSR 084H 175/70R14 TECAZ</t>
  </si>
  <si>
    <t>PSR0V09S (82H 185/60R14 SPCZ)</t>
  </si>
  <si>
    <t>PSR091H 195/65R15 TECAZ</t>
  </si>
  <si>
    <t>99V 245/50R17 EL64Z</t>
  </si>
  <si>
    <t>PSR0V08S (86H 195/60R14 SPCZ)</t>
  </si>
  <si>
    <t>PSR95H 205/65 R15 SPCZ</t>
  </si>
  <si>
    <t>PSR084V 185/60R15 EP2HCZ</t>
  </si>
  <si>
    <t>PSR0V051 94V 205/65 R15_EP2HZ_HKDVA</t>
  </si>
  <si>
    <t>PSR095H 215/60 R16     EP2HZ_BJTVA</t>
  </si>
  <si>
    <t>PSR086H 185/65 R14     EP2HZ_TBCVA</t>
  </si>
  <si>
    <t>PSR80T 175/65R13 MLHK2Z</t>
  </si>
  <si>
    <t>PSR0V0293 (091V 205/55 R16 MY02FZ)</t>
  </si>
  <si>
    <t>PSR0V026_MADVA_85V 195/50 R15_MY02FZ</t>
  </si>
  <si>
    <t>PSR0V025 (82V 195/50 R15_MY02FZ_KFCVA)</t>
  </si>
  <si>
    <t>PSR091H 195/70 R14      150EZ_GBAVA</t>
  </si>
  <si>
    <t>PSR0V020(PSR88H185/70R14150EZ_PPPVA)</t>
  </si>
  <si>
    <t>PSR082H 175/65 R14     BAR3Z_R2DVA</t>
  </si>
  <si>
    <t>PSR0V0193</t>
  </si>
  <si>
    <t>088H 185/65 R15      150EZ  T     X2V0</t>
  </si>
  <si>
    <t>PSR0V1073</t>
  </si>
  <si>
    <t>088H 185/65 R15      TEC5Z  T     YDV0</t>
  </si>
  <si>
    <t>PSR0V1083</t>
  </si>
  <si>
    <t>091H 195/65 R15      TEC5Z  T     YDV0</t>
  </si>
  <si>
    <t>PSR0V1193</t>
  </si>
  <si>
    <t>083S 165/80 R13      150EZ  T  T##L1V0</t>
  </si>
  <si>
    <t>PSR0V1203</t>
  </si>
  <si>
    <t>091S 185/80 R14      150EZ  T  T##L1V0</t>
  </si>
  <si>
    <t>PSR0V1223</t>
  </si>
  <si>
    <t>091V 205/55 R16     EP30Z   T 5TW4TDV0</t>
  </si>
  <si>
    <t>PSR0V1263</t>
  </si>
  <si>
    <t>095H 205/65 R16     EP15WZ  T 8381W6V090</t>
  </si>
  <si>
    <t>PSR0V67F3</t>
  </si>
  <si>
    <t>103T 235/65 R16     CHAMAZ  T U606A9V0</t>
  </si>
  <si>
    <t>PSR0V68F3</t>
  </si>
  <si>
    <t>091H 205/60 R15     CHAMAZ  T U601A9V0</t>
  </si>
  <si>
    <t>PSR0V69F3</t>
  </si>
  <si>
    <t>094H 215/60 R15     CHAMAZ  T U601A9V0</t>
  </si>
  <si>
    <t>PSR0V70F3</t>
  </si>
  <si>
    <t>093H 215/55 R16     CHAMAZ  T U601A9V0</t>
  </si>
  <si>
    <t>PSR0V71F3</t>
  </si>
  <si>
    <t>095H 205/65 R16     CHAMAZ  T U601A9V0</t>
  </si>
  <si>
    <t>PSR0V1073 (088H185/65 R15TEC5Z)</t>
  </si>
  <si>
    <t>PSR0V1083 (091H195/65 R15TEC5Z)</t>
  </si>
  <si>
    <t>PSR0V1203 (091S185/80 R14150EZ)</t>
  </si>
  <si>
    <t>PSR0V1223 091V205/55 R16EP30ZZ)</t>
  </si>
  <si>
    <t>PSR0V1263 (095H205/65 R16EP15WZ)</t>
  </si>
  <si>
    <t>PSR0V67F3 (103T235/65 R16   CHAMAZ)</t>
  </si>
  <si>
    <t>PSR0V68F 091H 205/60R15 CHAMAZ</t>
  </si>
  <si>
    <t>PSR0V69F  094H 215/60R15 CHAMAZ</t>
  </si>
  <si>
    <t>PSR0V70F 093H 215/55R16 CHAMAZ</t>
  </si>
  <si>
    <t>PSR0V71F3 (095H205/65 R16CHAMAZ)</t>
  </si>
  <si>
    <t>PSR0V1243</t>
  </si>
  <si>
    <t>091W 215/45 R17   XLEA03FZ  T 4TW1WCV0</t>
  </si>
  <si>
    <t>Lốp xe cao su hiệu Bridgestone-PSR0V124(091W 215/45R17 EA03FZ)</t>
  </si>
  <si>
    <t>PSR0V1063</t>
  </si>
  <si>
    <t>084H 175/70 R14      TEC5Z  T     YDV0</t>
  </si>
  <si>
    <t>PSR0V1233</t>
  </si>
  <si>
    <t>094V 215/55 R17     EP3AZ   T 5TW4TDV0</t>
  </si>
  <si>
    <t>PSR0V72F3</t>
  </si>
  <si>
    <t>094W 225/50 R17     FH50FZ  T UT41A9V0</t>
  </si>
  <si>
    <t>PSR0V73F3</t>
  </si>
  <si>
    <t>091W 215/45 R17   XLFH50FZ  T UT41A9V0</t>
  </si>
  <si>
    <t>Lốp xe cao su hiệu Bridgestone PSR0V1063 (084H 175/70 R14 TEC5Z)</t>
  </si>
  <si>
    <t>Lốp xe cao su hiệu Bridgestone PSR0V1233 (094V 215/55R17 EP3AZ)</t>
  </si>
  <si>
    <t>Lốp xe cao su hiệu BridgestonePSR0V72F3 (094W 225/50 R17 FH50FZ)</t>
  </si>
  <si>
    <t>Lốp xe cao su hiệu Bridgestone-PSR0V73F3(091W 215/45 R17 FH50FZ)</t>
  </si>
  <si>
    <t>PSR0V1183</t>
  </si>
  <si>
    <t>094H 205/65 R15      150EZ  T 5T##E0V0</t>
  </si>
  <si>
    <t>PSR0V13D3</t>
  </si>
  <si>
    <t>102V 225/65 R17     DTH1AZ  T     CEV0</t>
  </si>
  <si>
    <t>PSR0V25D3</t>
  </si>
  <si>
    <t>088H 185/65 R15     DTT2Z   T 5   23QJ</t>
  </si>
  <si>
    <t>PSR0V26D3</t>
  </si>
  <si>
    <t>082T 175/65 R14     DTT2Z   T 5   23QJ</t>
  </si>
  <si>
    <t>PSR0V88F3</t>
  </si>
  <si>
    <t>100T 225/65 R16     FSASZ   T U562A9V0</t>
  </si>
  <si>
    <t>Lốp xe cao su- PSR073S 155/65 R13 NXTZ</t>
  </si>
  <si>
    <t>Lốp xe cao su hiệu Bridgestone-PSR0V006(PSR081S165/70R14NXTZ)</t>
  </si>
  <si>
    <t>Lốp xe cao su- PSR0V1183 094H 205/65R15 150EZ</t>
  </si>
  <si>
    <t>Lốp xe cao su- PSR0V13D3 102V 225/65R17 DTH1AZ</t>
  </si>
  <si>
    <t>Lốp xe cao su- PSR0V25D3 088H 185/65R15 DTT2Z</t>
  </si>
  <si>
    <t>Lốp xe cao su- PSR0V26D3 082T 175/65R14 DTT2Z</t>
  </si>
  <si>
    <t>Lốp xe cao su- PSR0V88F3 100T 225/65 R16 FSASZ</t>
  </si>
  <si>
    <t>PSR0V12D3</t>
  </si>
  <si>
    <t>Lốp xe cao su -PSR0V12D (098H 215/65  R16 DTH1AZ)</t>
  </si>
  <si>
    <t>PSR0V14D3</t>
  </si>
  <si>
    <t>Lốp xe cao su-PSR0V14D (108V 235/65  R17 DTH1AZ)</t>
  </si>
  <si>
    <t>PSR0V15D3</t>
  </si>
  <si>
    <t>Lốp xe cao su-PSR0V15D (96H 215/60  R17 DTH1AZ)</t>
  </si>
  <si>
    <t>PSR0V16D3</t>
  </si>
  <si>
    <t>Lốp xe cao su-PSR0V16D (99V 225/60  R17 DTH1AZ)</t>
  </si>
  <si>
    <t>PSR0V78F3</t>
  </si>
  <si>
    <t>Lốp xe cao su-PSR0V78F (095W 235/40 R18 FH50FZ)</t>
  </si>
  <si>
    <t>PSR0V79F3</t>
  </si>
  <si>
    <t>Lốp xe cao su -PSR0V79F (092W 225/40 R18 FH50FZ)</t>
  </si>
  <si>
    <t>PSR0V80F3</t>
  </si>
  <si>
    <t>Lốp xe cao su-PSR0V80F (098T 225/60 R16 FSASZ)</t>
  </si>
  <si>
    <t>PSR0V83F3</t>
  </si>
  <si>
    <t>Lốp xe cao su-PSR0V83F (088T 185/65 R15 FSASZ)</t>
  </si>
  <si>
    <t>PSR0V87F3</t>
  </si>
  <si>
    <t>Lốp xe cao su-PSR0V87F (093T 215/55 R16 FSASZ)</t>
  </si>
  <si>
    <t>PSR0VB3F3</t>
  </si>
  <si>
    <t>Lốp xe cao su-PSR0VB3F (094V 205/55 R16 FRHAZ)</t>
  </si>
  <si>
    <t>098H 215/65 R16     DTH1AZ  T     CEV0</t>
  </si>
  <si>
    <t>108V 235/65 R17   XLDTH1AZ  T     CEV0</t>
  </si>
  <si>
    <t>096H 215/60 R17     DTH1AZ  T     CEV0</t>
  </si>
  <si>
    <t>099V 225/60 R17     DTH1AZ  T     CEV0</t>
  </si>
  <si>
    <t>095W 235/40 R18   XLFH50FZ  T UT41A9V0</t>
  </si>
  <si>
    <t>092W 225/40 R18   XLFH50FZ  T UT41A9V0</t>
  </si>
  <si>
    <t>098T 225/60 R16     FSASZ   T U562A9V0</t>
  </si>
  <si>
    <t>088T 185/65 R15     FSASZ   T U562A9V0</t>
  </si>
  <si>
    <t>PSR0V84F3</t>
  </si>
  <si>
    <t>098T 215/65 R16     FSASZ   T U562A9V0</t>
  </si>
  <si>
    <t>PSR0V85F3</t>
  </si>
  <si>
    <t>103T 235/65 R16     FSASZ   T U562A9V0</t>
  </si>
  <si>
    <t>093T 215/55 R16     FSASZ   T U562A9V0</t>
  </si>
  <si>
    <t>PSR0VA5F3</t>
  </si>
  <si>
    <t>091H 205/55 R16      FRHAZ  T 5   THV0</t>
  </si>
  <si>
    <t>PSR0VA6F3</t>
  </si>
  <si>
    <t>091V 205/55 R16      FRHAZ  T 5   THV0</t>
  </si>
  <si>
    <t>PSR0VA7F3</t>
  </si>
  <si>
    <t>091W 205/55 R16      FRHAZ  T 5   THV0</t>
  </si>
  <si>
    <t>094V 205/55 R16   XL FRHAZ  T 5   THV0</t>
  </si>
  <si>
    <t>PSR0V11D3</t>
  </si>
  <si>
    <t>100H 215/70 R16     DTH1AZ  T     CEV0</t>
  </si>
  <si>
    <t>PSR0V17D3</t>
  </si>
  <si>
    <t>102V 235/60 R17     DTH1AZ  T     CEV0</t>
  </si>
  <si>
    <t>PSR0V18D3</t>
  </si>
  <si>
    <t>103V 235/55 R17   XLDTH1AZ  T     CEV0</t>
  </si>
  <si>
    <t>PSR0V20D3</t>
  </si>
  <si>
    <t>107V 235/60 R18   XLDTH1AZ  T     CEV0</t>
  </si>
  <si>
    <t>PSR0V22D3</t>
  </si>
  <si>
    <t>098V 225/55 R18     DTH1AZ  T     CEV0</t>
  </si>
  <si>
    <t>PSR0V77F3</t>
  </si>
  <si>
    <t>097W 245/40 R18   XLFH50FZ  T UT41A9V0</t>
  </si>
  <si>
    <t>PSR0V81F3</t>
  </si>
  <si>
    <t>094T 205/65 R15     FSASZ   T U562A9V0</t>
  </si>
  <si>
    <t>PSR0V82F3</t>
  </si>
  <si>
    <t>098T 215/70 R15     FSASZ   T U562A9V0</t>
  </si>
  <si>
    <t>PSR0V86F3</t>
  </si>
  <si>
    <t>095T 205/65 R16     FSASZ   T U562A9V0</t>
  </si>
  <si>
    <t>PSR0V91F3</t>
  </si>
  <si>
    <t>087H 205/50 R16     FSASZ   T U562A9V0</t>
  </si>
  <si>
    <t>PSR0V92F3</t>
  </si>
  <si>
    <t>095T 215/60 R16     FSASZ   T U562A9V0</t>
  </si>
  <si>
    <t>Lốp xe cao su - PSR0V49F(088H 185/65R15 CHAMBZ)</t>
  </si>
  <si>
    <t>Lốp xe cao su - PSR0V50F3 (088H 195/60R15 CHAMBZ)</t>
  </si>
  <si>
    <t>Lốp xe cao su - PSR0V58F3 (091H 195/65R15 CHAMBZ)</t>
  </si>
  <si>
    <t>Lốp xe cao su - PSR0VA5F3 (091H 205/55 R16 FRHAZ)</t>
  </si>
  <si>
    <t>Lốp xe cao su - PSR0VA6F3 (091V 205/55 R16 FRHAZ)</t>
  </si>
  <si>
    <t>Lốp xe cao su - PSR0VA7F3 (091W 205/55 R16 FRHAZ)</t>
  </si>
  <si>
    <t>Lốp xe cao su - PSR0V11D3 (100H 215/70 R16 DTH1AZ)</t>
  </si>
  <si>
    <t>Lốp xe cao su- PSR0V17D3 102V 235/60 R17 DTH1AZ</t>
  </si>
  <si>
    <t>Lốp xe cao su - PSR0V18D3 (103V 235/55 R17 DTH1AZ)</t>
  </si>
  <si>
    <t>Lốp xe cao su - PSR0V20D3 (107W 235/60 R18 DTH1AZ)</t>
  </si>
  <si>
    <t>Lốp xe cao su - PSR0V22D3 (098V 225/55 R18 DTH1AZ)</t>
  </si>
  <si>
    <t>Lốp xe cao su - PSR0V51F3 (098T 215/65R16 CHAMAZ)</t>
  </si>
  <si>
    <t>Lốp xe cao su- PSR0V55F3 (098T 215/70R15 CHAMAZ)</t>
  </si>
  <si>
    <t>Lốp xe cao su - PSR0V81F3 (094T 205/65 R15 FSASZ)</t>
  </si>
  <si>
    <t>Lốp xe cao su - PSR0V85F3 (103T 235/65 R16 FSASZ)</t>
  </si>
  <si>
    <t>Lốp xe cao su - PSR0V86F3 (095T 205/65 R16 FSASZ)</t>
  </si>
  <si>
    <t>Lốp xe cao su - PSR0V91F3 (087H 205/50 R16 FSASZ)</t>
  </si>
  <si>
    <t>PSR0V19D3</t>
  </si>
  <si>
    <t>100V 225/60 R18     DTH1AZ  T     CEV0</t>
  </si>
  <si>
    <t>PSR0V23D3</t>
  </si>
  <si>
    <t>104V 235/55 R18   XLDTH1AZ  T     CEV0</t>
  </si>
  <si>
    <t>PSR0V75F3</t>
  </si>
  <si>
    <t>100W 245/45 R18   XLFH50FZ  T UT41A9V0</t>
  </si>
  <si>
    <t>PSR0V93F3</t>
  </si>
  <si>
    <t>091H 195/65 R15     FHASZ   T U481A9V0</t>
  </si>
  <si>
    <t>PSR0VA0F3</t>
  </si>
  <si>
    <t>084V 195/50 R16     FHASFZ  T U481A9V0</t>
  </si>
  <si>
    <t>Lốp xe cao su- PSR0V82F3 (098T 215/70  R15 FSASZ)</t>
  </si>
  <si>
    <t>Lốp xe cao su-PSR091S 195/65R15 NXTZ</t>
  </si>
  <si>
    <t>Lốp xe cao su hiệu Bridgestone-PSR0V012(PSR084H 185/60R15 NXTZ)</t>
  </si>
  <si>
    <t>PSR091V 195/65 R15     EP2HZ_YMJVA</t>
  </si>
  <si>
    <t>Lốp xe cao su-PSR0V19D3 100V 225/60R18 DTH1AZ</t>
  </si>
  <si>
    <t>Lốp xe cao su-PSR0V23D3 104V 235/55R18 DTH1AZ</t>
  </si>
  <si>
    <t>Lốp xe cao su-PSR0V93F3 091H 195/65 R15 FHASZ</t>
  </si>
  <si>
    <t>Lốp xe cao su-PSR0VA0F3 084V 195/50R16 FHASFZ</t>
  </si>
  <si>
    <t>PSR0V28D3</t>
  </si>
  <si>
    <t>091V 195/65 R15     DTT2Z   T 5   23QJ</t>
  </si>
  <si>
    <t>PSR0VA4F3</t>
  </si>
  <si>
    <t>095T 195/65 R15   XL FRHAZ  T 5   THV0</t>
  </si>
  <si>
    <t>Lốp xe cao su- PSR0V28D3 091V 195/65R15 DTT2Z</t>
  </si>
  <si>
    <t>Lốp xe cao su- PSR0V77F3 (097W 245/40 R18 FH50FZ)</t>
  </si>
  <si>
    <t>Lốp xe cao su- PSR0VA4F3 095T 195/65R15 FRHAZ</t>
  </si>
  <si>
    <t>PSR0V02D3</t>
  </si>
  <si>
    <t>091H 195/65 R15     DTT2Z   T 5   23QJ</t>
  </si>
  <si>
    <t>PSR0V06D3</t>
  </si>
  <si>
    <t>091H 205/55 R16     DTT2Z   T 5   23QJ</t>
  </si>
  <si>
    <t>PSR0V27D3</t>
  </si>
  <si>
    <t>094V 205/55 R16   XLDTT2Z   T 5   23QJ</t>
  </si>
  <si>
    <t>PSR0V89F3</t>
  </si>
  <si>
    <t>084T 175/65 R15     FSASZ   T U562A9V0</t>
  </si>
  <si>
    <t>PSR0VA9F3</t>
  </si>
  <si>
    <t>093V 215/55 R16      FRHAZ  T 5   THV0</t>
  </si>
  <si>
    <t>PSR0VC3F3</t>
  </si>
  <si>
    <t>073T 155/65 R13     MLHK2Z  T 5   23V0</t>
  </si>
  <si>
    <t>PSR0VC4F3</t>
  </si>
  <si>
    <t>091T 195/70 R14     MLHK2Z  T 5   23V0</t>
  </si>
  <si>
    <t>Lốp xe cao su- PSR0V84F3 (098T 215/65 R16 FSASZ)</t>
  </si>
  <si>
    <t>Lốp xe cao su- PSR0V89F3 084T 175/65R15 FSASZ</t>
  </si>
  <si>
    <t>Lốp xe cao su -PSR082S 175/65R14 NXTZ</t>
  </si>
  <si>
    <t>Lốp xe cao su- PSR0V02D3 091H 195/65R15 DTT2Z</t>
  </si>
  <si>
    <t>Lốp xe cao su- PSR0V06D3 091H 205/55R16 DTT2Z</t>
  </si>
  <si>
    <t>Lốp xe cao su- PSR0V27D3 094V 205/55R16 DTT2Z</t>
  </si>
  <si>
    <t>Lốp xe cao su-PSR0V75F3 100W 245/45R18 FH50FZ</t>
  </si>
  <si>
    <t>Lốp xe cao su-PSR0V92F3 095T 215/60R16 FSASZ</t>
  </si>
  <si>
    <t>Lốp xe cao su- PSR0VA9F3 093V 215/55R16 FRHAZ</t>
  </si>
  <si>
    <t>Lốp xe cao su- PSR0VC3F3 073T 155/65R13 MLHK2Z</t>
  </si>
  <si>
    <t>Lốp xe cao su- PSR0VC4F3 091T 195/70  R14 MLHK2Z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</si>
</sst>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#,##0.000"/>
    <numFmt numFmtId="166" formatCode="#,##0.000000"/>
    <numFmt numFmtId="167" formatCode="#,##0.00000"/>
  </numFmts>
  <fonts count="3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.75"/>
      <color rgb="FF000000"/>
      <name val="Times New Roman"/>
      <family val="2"/>
    </font>
    <font>
      <sz val="9.75"/>
      <color rgb="FF000000"/>
      <name val="Times New Roman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.75"/>
      <color rgb="FFFF0000"/>
      <name val="Times New Roman"/>
      <family val="2"/>
    </font>
    <font>
      <sz val="10"/>
      <color rgb="FFFF0000"/>
      <name val="Arial"/>
      <family val="2"/>
    </font>
    <font>
      <b/>
      <sz val="9.75"/>
      <color rgb="FFFF0000"/>
      <name val="Times New Roman"/>
      <family val="2"/>
    </font>
    <font>
      <b/>
      <sz val="9.75"/>
      <name val="Times New Roman"/>
      <family val="2"/>
    </font>
    <font>
      <sz val="9.75"/>
      <name val="Times New Roman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 style="thin">
        <color rgb="FF000000"/>
      </right>
      <top/>
      <bottom style="thin">
        <color rgb="FFD3D3D3"/>
      </bottom>
      <diagonal/>
    </border>
    <border>
      <left style="thin">
        <color rgb="FF000000"/>
      </left>
      <right style="thin">
        <color rgb="FFD3D3D3"/>
      </right>
      <top/>
      <bottom style="thin">
        <color rgb="FF000000"/>
      </bottom>
      <diagonal/>
    </border>
    <border>
      <left/>
      <right style="thin">
        <color rgb="FFD3D3D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/>
      <top style="thin">
        <color rgb="FF00000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00000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169">
    <xf numFmtId="0" fontId="0" fillId="0" borderId="0"/>
    <xf numFmtId="0" fontId="23" fillId="9" borderId="16" applyNumberFormat="0" applyAlignment="0" applyProtection="0"/>
    <xf numFmtId="0" fontId="22" fillId="9" borderId="17" applyNumberFormat="0" applyAlignment="0" applyProtection="0"/>
    <xf numFmtId="0" fontId="21" fillId="8" borderId="16" applyNumberFormat="0" applyAlignment="0" applyProtection="0"/>
    <xf numFmtId="0" fontId="20" fillId="7" borderId="0" applyNumberFormat="0" applyBorder="0" applyAlignment="0" applyProtection="0"/>
    <xf numFmtId="0" fontId="19" fillId="6" borderId="0" applyNumberFormat="0" applyBorder="0" applyAlignment="0" applyProtection="0"/>
    <xf numFmtId="0" fontId="18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6" fillId="0" borderId="14" applyNumberFormat="0" applyFill="0" applyAlignment="0" applyProtection="0"/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4" fillId="0" borderId="18" applyNumberFormat="0" applyFill="0" applyAlignment="0" applyProtection="0"/>
    <xf numFmtId="0" fontId="25" fillId="10" borderId="1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1" applyNumberFormat="0" applyFill="0" applyAlignment="0" applyProtection="0"/>
    <xf numFmtId="0" fontId="2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29" fillId="35" borderId="0" applyNumberFormat="0" applyBorder="0" applyAlignment="0" applyProtection="0"/>
    <xf numFmtId="0" fontId="30" fillId="0" borderId="0"/>
    <xf numFmtId="0" fontId="10" fillId="11" borderId="20" applyNumberFormat="0" applyFont="0" applyAlignment="0" applyProtection="0"/>
    <xf numFmtId="0" fontId="9" fillId="11" borderId="20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8" fillId="11" borderId="20" applyNumberFormat="0" applyFont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7" fillId="11" borderId="20" applyNumberFormat="0" applyFont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13" fillId="0" borderId="0"/>
    <xf numFmtId="0" fontId="36" fillId="0" borderId="0"/>
    <xf numFmtId="0" fontId="6" fillId="11" borderId="20" applyNumberFormat="0" applyFont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5" fillId="11" borderId="20" applyNumberFormat="0" applyFont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7" fillId="0" borderId="0"/>
    <xf numFmtId="0" fontId="4" fillId="11" borderId="20" applyNumberFormat="0" applyFont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" fillId="11" borderId="20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" fillId="11" borderId="20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8" fillId="0" borderId="0"/>
    <xf numFmtId="0" fontId="1" fillId="11" borderId="20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77">
    <xf numFmtId="0" fontId="0" fillId="0" borderId="0" xfId="0"/>
    <xf numFmtId="0" fontId="12" fillId="2" borderId="0" xfId="0" applyNumberFormat="1" applyFont="1" applyFill="1" applyBorder="1" applyAlignment="1" applyProtection="1">
      <alignment vertical="top"/>
    </xf>
    <xf numFmtId="0" fontId="12" fillId="2" borderId="0" xfId="0" applyNumberFormat="1" applyFont="1" applyFill="1" applyBorder="1" applyAlignment="1" applyProtection="1">
      <alignment horizontal="right" vertical="top"/>
    </xf>
    <xf numFmtId="0" fontId="11" fillId="3" borderId="3" xfId="0" applyNumberFormat="1" applyFont="1" applyFill="1" applyBorder="1" applyAlignment="1" applyProtection="1">
      <alignment horizontal="center" vertical="center" wrapText="1"/>
    </xf>
    <xf numFmtId="0" fontId="11" fillId="3" borderId="4" xfId="0" applyNumberFormat="1" applyFont="1" applyFill="1" applyBorder="1" applyAlignment="1" applyProtection="1">
      <alignment horizontal="center" vertical="center" wrapText="1"/>
    </xf>
    <xf numFmtId="0" fontId="11" fillId="3" borderId="5" xfId="0" applyNumberFormat="1" applyFont="1" applyFill="1" applyBorder="1" applyAlignment="1" applyProtection="1">
      <alignment horizontal="center" vertical="center" wrapText="1"/>
    </xf>
    <xf numFmtId="0" fontId="12" fillId="3" borderId="6" xfId="0" applyNumberFormat="1" applyFont="1" applyFill="1" applyBorder="1" applyAlignment="1" applyProtection="1">
      <alignment horizontal="center" vertical="center" wrapText="1"/>
    </xf>
    <xf numFmtId="0" fontId="12" fillId="3" borderId="4" xfId="0" applyNumberFormat="1" applyFont="1" applyFill="1" applyBorder="1" applyAlignment="1" applyProtection="1">
      <alignment horizontal="center" vertical="center" wrapText="1"/>
    </xf>
    <xf numFmtId="0" fontId="12" fillId="3" borderId="5" xfId="0" applyNumberFormat="1" applyFont="1" applyFill="1" applyBorder="1" applyAlignment="1" applyProtection="1">
      <alignment horizontal="center" vertical="center" wrapText="1"/>
    </xf>
    <xf numFmtId="0" fontId="12" fillId="2" borderId="7" xfId="0" applyNumberFormat="1" applyFont="1" applyFill="1" applyBorder="1" applyAlignment="1" applyProtection="1">
      <alignment horizontal="center" vertical="top"/>
    </xf>
    <xf numFmtId="0" fontId="12" fillId="2" borderId="8" xfId="0" applyNumberFormat="1" applyFont="1" applyFill="1" applyBorder="1" applyAlignment="1" applyProtection="1">
      <alignment horizontal="left" vertical="top" wrapText="1"/>
    </xf>
    <xf numFmtId="0" fontId="12" fillId="2" borderId="8" xfId="0" applyNumberFormat="1" applyFont="1" applyFill="1" applyBorder="1" applyAlignment="1" applyProtection="1">
      <alignment horizontal="center" vertical="top"/>
    </xf>
    <xf numFmtId="164" fontId="12" fillId="2" borderId="8" xfId="0" applyNumberFormat="1" applyFont="1" applyFill="1" applyBorder="1" applyAlignment="1" applyProtection="1">
      <alignment horizontal="right" vertical="top"/>
    </xf>
    <xf numFmtId="0" fontId="12" fillId="2" borderId="9" xfId="0" applyNumberFormat="1" applyFont="1" applyFill="1" applyBorder="1" applyAlignment="1" applyProtection="1">
      <alignment horizontal="left" vertical="top"/>
    </xf>
    <xf numFmtId="0" fontId="11" fillId="4" borderId="10" xfId="0" applyNumberFormat="1" applyFont="1" applyFill="1" applyBorder="1" applyAlignment="1" applyProtection="1">
      <alignment horizontal="center" vertical="top"/>
    </xf>
    <xf numFmtId="164" fontId="11" fillId="4" borderId="11" xfId="0" applyNumberFormat="1" applyFont="1" applyFill="1" applyBorder="1" applyAlignment="1" applyProtection="1">
      <alignment horizontal="right" vertical="top"/>
    </xf>
    <xf numFmtId="4" fontId="0" fillId="0" borderId="0" xfId="0" applyNumberFormat="1"/>
    <xf numFmtId="0" fontId="0" fillId="37" borderId="0" xfId="0" applyFill="1"/>
    <xf numFmtId="164" fontId="31" fillId="2" borderId="8" xfId="0" applyNumberFormat="1" applyFont="1" applyFill="1" applyBorder="1" applyAlignment="1" applyProtection="1">
      <alignment horizontal="right" vertical="top"/>
    </xf>
    <xf numFmtId="0" fontId="31" fillId="3" borderId="4" xfId="0" applyNumberFormat="1" applyFont="1" applyFill="1" applyBorder="1" applyAlignment="1" applyProtection="1">
      <alignment horizontal="center" vertical="center" wrapText="1"/>
    </xf>
    <xf numFmtId="0" fontId="33" fillId="3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0" fontId="32" fillId="0" borderId="0" xfId="0" applyFont="1"/>
    <xf numFmtId="0" fontId="34" fillId="0" borderId="4" xfId="0" applyNumberFormat="1" applyFont="1" applyFill="1" applyBorder="1" applyAlignment="1" applyProtection="1">
      <alignment horizontal="center" vertical="center" wrapText="1"/>
    </xf>
    <xf numFmtId="164" fontId="35" fillId="0" borderId="8" xfId="0" applyNumberFormat="1" applyFont="1" applyFill="1" applyBorder="1" applyAlignment="1" applyProtection="1">
      <alignment horizontal="right" vertical="top"/>
    </xf>
    <xf numFmtId="0" fontId="0" fillId="0" borderId="0" xfId="0" applyFont="1" applyFill="1"/>
    <xf numFmtId="0" fontId="35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164" fontId="12" fillId="0" borderId="8" xfId="0" applyNumberFormat="1" applyFont="1" applyFill="1" applyBorder="1" applyAlignment="1" applyProtection="1">
      <alignment horizontal="right" vertical="top"/>
    </xf>
    <xf numFmtId="164" fontId="11" fillId="4" borderId="12" xfId="0" applyNumberFormat="1" applyFont="1" applyFill="1" applyBorder="1" applyAlignment="1" applyProtection="1">
      <alignment horizontal="right" vertical="top"/>
    </xf>
    <xf numFmtId="0" fontId="11" fillId="0" borderId="27" xfId="0" applyNumberFormat="1" applyFont="1" applyFill="1" applyBorder="1" applyAlignment="1" applyProtection="1">
      <alignment horizontal="left" vertical="top"/>
    </xf>
    <xf numFmtId="164" fontId="12" fillId="2" borderId="9" xfId="0" applyNumberFormat="1" applyFont="1" applyFill="1" applyBorder="1" applyAlignment="1" applyProtection="1">
      <alignment horizontal="right" vertical="top"/>
    </xf>
    <xf numFmtId="0" fontId="11" fillId="4" borderId="28" xfId="0" applyNumberFormat="1" applyFont="1" applyFill="1" applyBorder="1" applyAlignment="1" applyProtection="1">
      <alignment horizontal="left" vertical="top"/>
    </xf>
    <xf numFmtId="0" fontId="0" fillId="36" borderId="22" xfId="0" applyFont="1" applyFill="1" applyBorder="1"/>
    <xf numFmtId="0" fontId="12" fillId="0" borderId="9" xfId="0" applyNumberFormat="1" applyFont="1" applyFill="1" applyBorder="1" applyAlignment="1" applyProtection="1">
      <alignment horizontal="left" vertical="top"/>
    </xf>
    <xf numFmtId="164" fontId="12" fillId="39" borderId="8" xfId="0" applyNumberFormat="1" applyFont="1" applyFill="1" applyBorder="1" applyAlignment="1" applyProtection="1">
      <alignment horizontal="right" vertical="top"/>
    </xf>
    <xf numFmtId="0" fontId="11" fillId="3" borderId="2" xfId="0" applyNumberFormat="1" applyFont="1" applyFill="1" applyBorder="1" applyAlignment="1" applyProtection="1">
      <alignment horizontal="center" vertical="center" wrapText="1"/>
    </xf>
    <xf numFmtId="0" fontId="11" fillId="4" borderId="11" xfId="0" applyNumberFormat="1" applyFont="1" applyFill="1" applyBorder="1" applyAlignment="1" applyProtection="1">
      <alignment horizontal="left" vertical="top" wrapText="1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11" fillId="3" borderId="23" xfId="0" applyNumberFormat="1" applyFont="1" applyFill="1" applyBorder="1" applyAlignment="1" applyProtection="1">
      <alignment horizontal="center" vertical="center" wrapText="1"/>
    </xf>
    <xf numFmtId="0" fontId="11" fillId="3" borderId="26" xfId="0" applyNumberFormat="1" applyFont="1" applyFill="1" applyBorder="1" applyAlignment="1" applyProtection="1">
      <alignment horizontal="center" vertical="center" wrapText="1"/>
    </xf>
    <xf numFmtId="0" fontId="11" fillId="3" borderId="6" xfId="0" applyNumberFormat="1" applyFont="1" applyFill="1" applyBorder="1" applyAlignment="1" applyProtection="1">
      <alignment horizontal="center" vertical="center" wrapText="1"/>
    </xf>
    <xf numFmtId="0" fontId="11" fillId="3" borderId="24" xfId="0" applyNumberFormat="1" applyFont="1" applyFill="1" applyBorder="1" applyAlignment="1" applyProtection="1">
      <alignment horizontal="center" vertical="center" wrapText="1"/>
    </xf>
    <xf numFmtId="0" fontId="11" fillId="3" borderId="25" xfId="0" applyNumberFormat="1" applyFont="1" applyFill="1" applyBorder="1" applyAlignment="1" applyProtection="1">
      <alignment horizontal="center" vertical="center" wrapText="1"/>
    </xf>
    <xf numFmtId="0" fontId="31" fillId="2" borderId="8" xfId="0" applyNumberFormat="1" applyFont="1" applyFill="1" applyBorder="1" applyAlignment="1" applyProtection="1">
      <alignment horizontal="center" vertical="top"/>
    </xf>
    <xf numFmtId="164" fontId="31" fillId="2" borderId="9" xfId="0" applyNumberFormat="1" applyFont="1" applyFill="1" applyBorder="1" applyAlignment="1" applyProtection="1">
      <alignment horizontal="right" vertical="top"/>
    </xf>
    <xf numFmtId="164" fontId="12" fillId="2" borderId="29" xfId="0" applyNumberFormat="1" applyFont="1" applyFill="1" applyBorder="1" applyAlignment="1" applyProtection="1">
      <alignment horizontal="right" vertical="top"/>
    </xf>
    <xf numFmtId="0" fontId="31" fillId="2" borderId="7" xfId="0" applyNumberFormat="1" applyFont="1" applyFill="1" applyBorder="1" applyAlignment="1" applyProtection="1">
      <alignment horizontal="center" vertical="top"/>
    </xf>
    <xf numFmtId="0" fontId="31" fillId="2" borderId="8" xfId="0" applyNumberFormat="1" applyFont="1" applyFill="1" applyBorder="1" applyAlignment="1" applyProtection="1">
      <alignment horizontal="left" vertical="top" wrapText="1"/>
    </xf>
    <xf numFmtId="164" fontId="12" fillId="2" borderId="31" xfId="0" applyNumberFormat="1" applyFont="1" applyFill="1" applyBorder="1" applyAlignment="1" applyProtection="1">
      <alignment horizontal="right" vertical="top"/>
    </xf>
    <xf numFmtId="0" fontId="12" fillId="2" borderId="31" xfId="0" applyNumberFormat="1" applyFont="1" applyFill="1" applyBorder="1" applyAlignment="1" applyProtection="1">
      <alignment horizontal="center" vertical="top"/>
    </xf>
    <xf numFmtId="0" fontId="12" fillId="2" borderId="31" xfId="0" applyNumberFormat="1" applyFont="1" applyFill="1" applyBorder="1" applyAlignment="1" applyProtection="1">
      <alignment horizontal="left" vertical="top" wrapText="1"/>
    </xf>
    <xf numFmtId="164" fontId="11" fillId="0" borderId="0" xfId="0" applyNumberFormat="1" applyFont="1" applyFill="1" applyBorder="1" applyAlignment="1" applyProtection="1">
      <alignment horizontal="right" vertical="top"/>
    </xf>
    <xf numFmtId="0" fontId="12" fillId="2" borderId="30" xfId="0" applyNumberFormat="1" applyFont="1" applyFill="1" applyBorder="1" applyAlignment="1" applyProtection="1">
      <alignment horizontal="center" vertical="top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/>
    </xf>
    <xf numFmtId="0" fontId="11" fillId="0" borderId="0" xfId="0" applyNumberFormat="1" applyFont="1" applyFill="1" applyBorder="1" applyAlignment="1" applyProtection="1">
      <alignment horizontal="center" vertical="top"/>
    </xf>
    <xf numFmtId="164" fontId="12" fillId="2" borderId="0" xfId="0" applyNumberFormat="1" applyFont="1" applyFill="1" applyBorder="1" applyAlignment="1" applyProtection="1">
      <alignment horizontal="right" vertical="top"/>
    </xf>
    <xf numFmtId="0" fontId="38" fillId="0" borderId="0" xfId="155" applyFont="1"/>
    <xf numFmtId="165" fontId="38" fillId="0" borderId="0" xfId="155" applyNumberFormat="1" applyFont="1" applyAlignment="1">
      <alignment horizontal="right"/>
    </xf>
    <xf numFmtId="166" fontId="38" fillId="0" borderId="0" xfId="155" applyNumberFormat="1" applyFont="1" applyAlignment="1">
      <alignment horizontal="right"/>
    </xf>
    <xf numFmtId="4" fontId="38" fillId="0" borderId="0" xfId="155" applyNumberFormat="1" applyFont="1" applyAlignment="1">
      <alignment horizontal="right"/>
    </xf>
    <xf numFmtId="167" fontId="38" fillId="0" borderId="0" xfId="155" applyNumberFormat="1" applyFont="1" applyAlignment="1">
      <alignment horizontal="right"/>
    </xf>
    <xf numFmtId="0" fontId="38" fillId="38" borderId="22" xfId="155" applyFont="1" applyFill="1" applyBorder="1"/>
    <xf numFmtId="165" fontId="38" fillId="38" borderId="22" xfId="155" applyNumberFormat="1" applyFont="1" applyFill="1" applyBorder="1" applyAlignment="1">
      <alignment horizontal="right"/>
    </xf>
    <xf numFmtId="166" fontId="38" fillId="38" borderId="22" xfId="155" applyNumberFormat="1" applyFont="1" applyFill="1" applyBorder="1" applyAlignment="1">
      <alignment horizontal="right"/>
    </xf>
    <xf numFmtId="4" fontId="38" fillId="38" borderId="22" xfId="155" applyNumberFormat="1" applyFont="1" applyFill="1" applyBorder="1" applyAlignment="1">
      <alignment horizontal="right"/>
    </xf>
    <xf numFmtId="3" fontId="38" fillId="38" borderId="22" xfId="155" applyNumberFormat="1" applyFont="1" applyFill="1" applyBorder="1" applyAlignment="1">
      <alignment horizontal="right"/>
    </xf>
    <xf numFmtId="0" fontId="12" fillId="40" borderId="7" xfId="0" applyNumberFormat="1" applyFont="1" applyFill="1" applyBorder="1" applyAlignment="1" applyProtection="1">
      <alignment horizontal="center" vertical="top"/>
    </xf>
    <xf numFmtId="0" fontId="12" fillId="40" borderId="8" xfId="0" applyNumberFormat="1" applyFont="1" applyFill="1" applyBorder="1" applyAlignment="1" applyProtection="1">
      <alignment horizontal="left" vertical="top" wrapText="1"/>
    </xf>
    <xf numFmtId="0" fontId="12" fillId="40" borderId="8" xfId="0" applyNumberFormat="1" applyFont="1" applyFill="1" applyBorder="1" applyAlignment="1" applyProtection="1">
      <alignment horizontal="center" vertical="top"/>
    </xf>
    <xf numFmtId="164" fontId="12" fillId="40" borderId="8" xfId="0" applyNumberFormat="1" applyFont="1" applyFill="1" applyBorder="1" applyAlignment="1" applyProtection="1">
      <alignment horizontal="right" vertical="top"/>
    </xf>
    <xf numFmtId="164" fontId="12" fillId="40" borderId="9" xfId="0" applyNumberFormat="1" applyFont="1" applyFill="1" applyBorder="1" applyAlignment="1" applyProtection="1">
      <alignment horizontal="right" vertical="top"/>
    </xf>
    <xf numFmtId="0" fontId="12" fillId="40" borderId="9" xfId="0" applyNumberFormat="1" applyFont="1" applyFill="1" applyBorder="1" applyAlignment="1" applyProtection="1">
      <alignment horizontal="left" vertical="top"/>
    </xf>
    <xf numFmtId="0" fontId="0" fillId="40" borderId="0" xfId="0" applyFill="1"/>
    <xf numFmtId="164" fontId="31" fillId="40" borderId="8" xfId="0" applyNumberFormat="1" applyFont="1" applyFill="1" applyBorder="1" applyAlignment="1" applyProtection="1">
      <alignment horizontal="right" vertical="top"/>
    </xf>
    <xf numFmtId="164" fontId="35" fillId="40" borderId="8" xfId="0" applyNumberFormat="1" applyFont="1" applyFill="1" applyBorder="1" applyAlignment="1" applyProtection="1">
      <alignment horizontal="right" vertical="top"/>
    </xf>
  </cellXfs>
  <cellStyles count="169">
    <cellStyle name="20% - Accent1" xfId="23" builtinId="30" customBuiltin="1"/>
    <cellStyle name="20% - Accent1 10" xfId="157"/>
    <cellStyle name="20% - Accent1 2" xfId="49"/>
    <cellStyle name="20% - Accent1 3" xfId="62"/>
    <cellStyle name="20% - Accent1 4" xfId="75"/>
    <cellStyle name="20% - Accent1 5" xfId="90"/>
    <cellStyle name="20% - Accent1 6" xfId="103"/>
    <cellStyle name="20% - Accent1 7" xfId="117"/>
    <cellStyle name="20% - Accent1 8" xfId="130"/>
    <cellStyle name="20% - Accent1 9" xfId="143"/>
    <cellStyle name="20% - Accent2" xfId="27" builtinId="34" customBuiltin="1"/>
    <cellStyle name="20% - Accent2 10" xfId="159"/>
    <cellStyle name="20% - Accent2 2" xfId="51"/>
    <cellStyle name="20% - Accent2 3" xfId="64"/>
    <cellStyle name="20% - Accent2 4" xfId="77"/>
    <cellStyle name="20% - Accent2 5" xfId="92"/>
    <cellStyle name="20% - Accent2 6" xfId="105"/>
    <cellStyle name="20% - Accent2 7" xfId="119"/>
    <cellStyle name="20% - Accent2 8" xfId="132"/>
    <cellStyle name="20% - Accent2 9" xfId="145"/>
    <cellStyle name="20% - Accent3" xfId="31" builtinId="38" customBuiltin="1"/>
    <cellStyle name="20% - Accent3 10" xfId="161"/>
    <cellStyle name="20% - Accent3 2" xfId="53"/>
    <cellStyle name="20% - Accent3 3" xfId="66"/>
    <cellStyle name="20% - Accent3 4" xfId="79"/>
    <cellStyle name="20% - Accent3 5" xfId="94"/>
    <cellStyle name="20% - Accent3 6" xfId="107"/>
    <cellStyle name="20% - Accent3 7" xfId="121"/>
    <cellStyle name="20% - Accent3 8" xfId="134"/>
    <cellStyle name="20% - Accent3 9" xfId="147"/>
    <cellStyle name="20% - Accent4" xfId="35" builtinId="42" customBuiltin="1"/>
    <cellStyle name="20% - Accent4 10" xfId="163"/>
    <cellStyle name="20% - Accent4 2" xfId="55"/>
    <cellStyle name="20% - Accent4 3" xfId="68"/>
    <cellStyle name="20% - Accent4 4" xfId="81"/>
    <cellStyle name="20% - Accent4 5" xfId="96"/>
    <cellStyle name="20% - Accent4 6" xfId="109"/>
    <cellStyle name="20% - Accent4 7" xfId="123"/>
    <cellStyle name="20% - Accent4 8" xfId="136"/>
    <cellStyle name="20% - Accent4 9" xfId="149"/>
    <cellStyle name="20% - Accent5" xfId="39" builtinId="46" customBuiltin="1"/>
    <cellStyle name="20% - Accent5 10" xfId="165"/>
    <cellStyle name="20% - Accent5 2" xfId="57"/>
    <cellStyle name="20% - Accent5 3" xfId="70"/>
    <cellStyle name="20% - Accent5 4" xfId="83"/>
    <cellStyle name="20% - Accent5 5" xfId="98"/>
    <cellStyle name="20% - Accent5 6" xfId="111"/>
    <cellStyle name="20% - Accent5 7" xfId="125"/>
    <cellStyle name="20% - Accent5 8" xfId="138"/>
    <cellStyle name="20% - Accent5 9" xfId="151"/>
    <cellStyle name="20% - Accent6" xfId="43" builtinId="50" customBuiltin="1"/>
    <cellStyle name="20% - Accent6 10" xfId="167"/>
    <cellStyle name="20% - Accent6 2" xfId="59"/>
    <cellStyle name="20% - Accent6 3" xfId="72"/>
    <cellStyle name="20% - Accent6 4" xfId="85"/>
    <cellStyle name="20% - Accent6 5" xfId="100"/>
    <cellStyle name="20% - Accent6 6" xfId="113"/>
    <cellStyle name="20% - Accent6 7" xfId="127"/>
    <cellStyle name="20% - Accent6 8" xfId="140"/>
    <cellStyle name="20% - Accent6 9" xfId="153"/>
    <cellStyle name="40% - Accent1" xfId="24" builtinId="31" customBuiltin="1"/>
    <cellStyle name="40% - Accent1 10" xfId="158"/>
    <cellStyle name="40% - Accent1 2" xfId="50"/>
    <cellStyle name="40% - Accent1 3" xfId="63"/>
    <cellStyle name="40% - Accent1 4" xfId="76"/>
    <cellStyle name="40% - Accent1 5" xfId="91"/>
    <cellStyle name="40% - Accent1 6" xfId="104"/>
    <cellStyle name="40% - Accent1 7" xfId="118"/>
    <cellStyle name="40% - Accent1 8" xfId="131"/>
    <cellStyle name="40% - Accent1 9" xfId="144"/>
    <cellStyle name="40% - Accent2" xfId="28" builtinId="35" customBuiltin="1"/>
    <cellStyle name="40% - Accent2 10" xfId="160"/>
    <cellStyle name="40% - Accent2 2" xfId="52"/>
    <cellStyle name="40% - Accent2 3" xfId="65"/>
    <cellStyle name="40% - Accent2 4" xfId="78"/>
    <cellStyle name="40% - Accent2 5" xfId="93"/>
    <cellStyle name="40% - Accent2 6" xfId="106"/>
    <cellStyle name="40% - Accent2 7" xfId="120"/>
    <cellStyle name="40% - Accent2 8" xfId="133"/>
    <cellStyle name="40% - Accent2 9" xfId="146"/>
    <cellStyle name="40% - Accent3" xfId="32" builtinId="39" customBuiltin="1"/>
    <cellStyle name="40% - Accent3 10" xfId="162"/>
    <cellStyle name="40% - Accent3 2" xfId="54"/>
    <cellStyle name="40% - Accent3 3" xfId="67"/>
    <cellStyle name="40% - Accent3 4" xfId="80"/>
    <cellStyle name="40% - Accent3 5" xfId="95"/>
    <cellStyle name="40% - Accent3 6" xfId="108"/>
    <cellStyle name="40% - Accent3 7" xfId="122"/>
    <cellStyle name="40% - Accent3 8" xfId="135"/>
    <cellStyle name="40% - Accent3 9" xfId="148"/>
    <cellStyle name="40% - Accent4" xfId="36" builtinId="43" customBuiltin="1"/>
    <cellStyle name="40% - Accent4 10" xfId="164"/>
    <cellStyle name="40% - Accent4 2" xfId="56"/>
    <cellStyle name="40% - Accent4 3" xfId="69"/>
    <cellStyle name="40% - Accent4 4" xfId="82"/>
    <cellStyle name="40% - Accent4 5" xfId="97"/>
    <cellStyle name="40% - Accent4 6" xfId="110"/>
    <cellStyle name="40% - Accent4 7" xfId="124"/>
    <cellStyle name="40% - Accent4 8" xfId="137"/>
    <cellStyle name="40% - Accent4 9" xfId="150"/>
    <cellStyle name="40% - Accent5" xfId="40" builtinId="47" customBuiltin="1"/>
    <cellStyle name="40% - Accent5 10" xfId="166"/>
    <cellStyle name="40% - Accent5 2" xfId="58"/>
    <cellStyle name="40% - Accent5 3" xfId="71"/>
    <cellStyle name="40% - Accent5 4" xfId="84"/>
    <cellStyle name="40% - Accent5 5" xfId="99"/>
    <cellStyle name="40% - Accent5 6" xfId="112"/>
    <cellStyle name="40% - Accent5 7" xfId="126"/>
    <cellStyle name="40% - Accent5 8" xfId="139"/>
    <cellStyle name="40% - Accent5 9" xfId="152"/>
    <cellStyle name="40% - Accent6" xfId="44" builtinId="51" customBuiltin="1"/>
    <cellStyle name="40% - Accent6 10" xfId="168"/>
    <cellStyle name="40% - Accent6 2" xfId="60"/>
    <cellStyle name="40% - Accent6 3" xfId="73"/>
    <cellStyle name="40% - Accent6 4" xfId="86"/>
    <cellStyle name="40% - Accent6 5" xfId="101"/>
    <cellStyle name="40% - Accent6 6" xfId="114"/>
    <cellStyle name="40% - Accent6 7" xfId="128"/>
    <cellStyle name="40% - Accent6 8" xfId="141"/>
    <cellStyle name="40% - Accent6 9" xfId="154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5" builtinId="27" customBuiltin="1"/>
    <cellStyle name="Calculation" xfId="1" builtinId="22" customBuiltin="1"/>
    <cellStyle name="Check Cell" xfId="18" builtinId="23" customBuiltin="1"/>
    <cellStyle name="Comma" xfId="15"/>
    <cellStyle name="Comma [0]" xfId="16"/>
    <cellStyle name="Currency" xfId="13"/>
    <cellStyle name="Currency [0]" xfId="14"/>
    <cellStyle name="Explanatory Text" xfId="20" builtinId="53" customBuiltin="1"/>
    <cellStyle name="Good" xfId="6" builtinId="26" customBuiltin="1"/>
    <cellStyle name="Heading 1" xfId="10" builtinId="16" customBuiltin="1"/>
    <cellStyle name="Heading 2" xfId="9" builtinId="17" customBuiltin="1"/>
    <cellStyle name="Heading 3" xfId="8" builtinId="18" customBuiltin="1"/>
    <cellStyle name="Heading 4" xfId="7" builtinId="19" customBuiltin="1"/>
    <cellStyle name="Input" xfId="3" builtinId="20" customBuiltin="1"/>
    <cellStyle name="Linked Cell" xfId="17" builtinId="24" customBuiltin="1"/>
    <cellStyle name="Neutral" xfId="4" builtinId="28" customBuiltin="1"/>
    <cellStyle name="Normal" xfId="0" builtinId="0"/>
    <cellStyle name="Normal 179" xfId="87"/>
    <cellStyle name="Normal 2" xfId="46"/>
    <cellStyle name="Normal 3" xfId="88"/>
    <cellStyle name="Normal 4" xfId="115"/>
    <cellStyle name="Normal 5" xfId="155"/>
    <cellStyle name="Note 10" xfId="142"/>
    <cellStyle name="Note 11" xfId="156"/>
    <cellStyle name="Note 2" xfId="47"/>
    <cellStyle name="Note 3" xfId="48"/>
    <cellStyle name="Note 4" xfId="61"/>
    <cellStyle name="Note 5" xfId="74"/>
    <cellStyle name="Note 6" xfId="89"/>
    <cellStyle name="Note 7" xfId="102"/>
    <cellStyle name="Note 8" xfId="116"/>
    <cellStyle name="Note 9" xfId="129"/>
    <cellStyle name="Output" xfId="2" builtinId="21" customBuiltin="1"/>
    <cellStyle name="Percent" xfId="12"/>
    <cellStyle name="Title" xfId="11" builtinId="15" customBuiltin="1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6"/>
  <sheetViews>
    <sheetView showGridLines="0" tabSelected="1" workbookViewId="0">
      <pane xSplit="2" ySplit="4" topLeftCell="J62" activePane="bottomRight" state="frozen"/>
      <selection pane="topRight" activeCell="C1" sqref="C1"/>
      <selection pane="bottomLeft" activeCell="A5" sqref="A5"/>
      <selection pane="bottomRight" activeCell="P68" sqref="P68"/>
    </sheetView>
  </sheetViews>
  <sheetFormatPr defaultColWidth="9.140625" defaultRowHeight="12.75" x14ac:dyDescent="0.2"/>
  <cols>
    <col min="1" max="1" width="6.28515625" customWidth="1"/>
    <col min="2" max="2" width="15.140625" customWidth="1"/>
    <col min="3" max="3" width="31" customWidth="1"/>
    <col min="4" max="4" width="7.7109375" customWidth="1"/>
    <col min="5" max="5" width="10.85546875" customWidth="1"/>
    <col min="6" max="6" width="11.5703125" customWidth="1"/>
    <col min="7" max="7" width="10.5703125" customWidth="1"/>
    <col min="8" max="8" width="11.28515625" customWidth="1"/>
    <col min="9" max="9" width="11.7109375" customWidth="1"/>
    <col min="10" max="10" width="11.5703125" customWidth="1"/>
    <col min="11" max="11" width="10.85546875" customWidth="1"/>
    <col min="12" max="12" width="12.5703125" customWidth="1"/>
    <col min="13" max="13" width="13.5703125" customWidth="1"/>
    <col min="15" max="15" width="11.5703125" customWidth="1"/>
    <col min="16" max="16" width="11.5703125" style="22" customWidth="1"/>
    <col min="17" max="17" width="11.5703125" customWidth="1"/>
    <col min="18" max="18" width="11.5703125" style="22" customWidth="1"/>
    <col min="19" max="19" width="5.7109375" customWidth="1"/>
    <col min="20" max="20" width="11.5703125" customWidth="1"/>
    <col min="21" max="21" width="12.7109375" customWidth="1"/>
    <col min="22" max="23" width="11.5703125" customWidth="1"/>
  </cols>
  <sheetData>
    <row r="1" spans="1:23" ht="19.5" customHeight="1" x14ac:dyDescent="0.2">
      <c r="A1" s="1"/>
      <c r="B1" s="1"/>
      <c r="C1" s="2"/>
      <c r="E1" t="s">
        <v>126</v>
      </c>
      <c r="O1" t="s">
        <v>127</v>
      </c>
      <c r="T1" t="s">
        <v>128</v>
      </c>
    </row>
    <row r="2" spans="1:23" ht="19.5" customHeight="1" x14ac:dyDescent="0.2">
      <c r="A2" s="38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/>
      <c r="G2" s="36" t="s">
        <v>5</v>
      </c>
      <c r="H2" s="36"/>
      <c r="I2" s="36" t="s">
        <v>6</v>
      </c>
      <c r="J2" s="36"/>
      <c r="K2" s="36" t="s">
        <v>7</v>
      </c>
      <c r="L2" s="36"/>
      <c r="M2" s="3" t="s">
        <v>8</v>
      </c>
      <c r="O2" s="36" t="s">
        <v>5</v>
      </c>
      <c r="P2" s="36"/>
      <c r="Q2" s="36" t="s">
        <v>6</v>
      </c>
      <c r="R2" s="36"/>
      <c r="T2" s="36" t="s">
        <v>5</v>
      </c>
      <c r="U2" s="36"/>
      <c r="V2" s="36" t="s">
        <v>6</v>
      </c>
      <c r="W2" s="36"/>
    </row>
    <row r="3" spans="1:23" ht="29.25" customHeight="1" x14ac:dyDescent="0.2">
      <c r="A3" s="38"/>
      <c r="B3" s="36"/>
      <c r="C3" s="36"/>
      <c r="D3" s="36"/>
      <c r="E3" s="4" t="s">
        <v>9</v>
      </c>
      <c r="F3" s="4" t="s">
        <v>10</v>
      </c>
      <c r="G3" s="4" t="s">
        <v>9</v>
      </c>
      <c r="H3" s="4" t="s">
        <v>10</v>
      </c>
      <c r="I3" s="4" t="s">
        <v>9</v>
      </c>
      <c r="J3" s="4" t="s">
        <v>10</v>
      </c>
      <c r="K3" s="4" t="s">
        <v>9</v>
      </c>
      <c r="L3" s="4" t="s">
        <v>10</v>
      </c>
      <c r="M3" s="5"/>
      <c r="O3" s="4" t="s">
        <v>9</v>
      </c>
      <c r="P3" s="20" t="s">
        <v>10</v>
      </c>
      <c r="Q3" s="4" t="s">
        <v>9</v>
      </c>
      <c r="R3" s="20" t="s">
        <v>10</v>
      </c>
      <c r="T3" s="4" t="s">
        <v>9</v>
      </c>
      <c r="U3" s="4" t="s">
        <v>10</v>
      </c>
      <c r="V3" s="4" t="s">
        <v>9</v>
      </c>
      <c r="W3" s="4" t="s">
        <v>10</v>
      </c>
    </row>
    <row r="4" spans="1:23" ht="15.75" customHeight="1" x14ac:dyDescent="0.2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8" t="s">
        <v>23</v>
      </c>
      <c r="O4" s="7" t="s">
        <v>17</v>
      </c>
      <c r="P4" s="19" t="s">
        <v>18</v>
      </c>
      <c r="Q4" s="7" t="s">
        <v>19</v>
      </c>
      <c r="R4" s="19" t="s">
        <v>20</v>
      </c>
      <c r="T4" s="7" t="s">
        <v>17</v>
      </c>
      <c r="U4" s="7" t="s">
        <v>18</v>
      </c>
      <c r="V4" s="7" t="s">
        <v>19</v>
      </c>
      <c r="W4" s="7" t="s">
        <v>20</v>
      </c>
    </row>
    <row r="5" spans="1:23" ht="25.5" customHeight="1" x14ac:dyDescent="0.2">
      <c r="A5" s="9">
        <v>1</v>
      </c>
      <c r="B5" s="10" t="s">
        <v>176</v>
      </c>
      <c r="C5" s="10" t="s">
        <v>470</v>
      </c>
      <c r="D5" s="11" t="s">
        <v>26</v>
      </c>
      <c r="E5" s="12">
        <v>1482</v>
      </c>
      <c r="F5" s="12">
        <v>42973.1</v>
      </c>
      <c r="G5" s="12">
        <v>1620</v>
      </c>
      <c r="H5" s="12">
        <v>43656.51</v>
      </c>
      <c r="I5" s="12">
        <v>1482</v>
      </c>
      <c r="J5" s="12">
        <v>42973.11</v>
      </c>
      <c r="K5" s="12">
        <v>1620</v>
      </c>
      <c r="L5" s="31">
        <v>43656.5</v>
      </c>
      <c r="M5" s="13"/>
      <c r="O5" s="12">
        <f>+SUMIF(Zvf51!$A$2:$A$186,gc!$B5,Zvf51!$Q$2:$Q$186)</f>
        <v>1620</v>
      </c>
      <c r="P5" s="18">
        <f>+SUMIF(Zvf51!$A$2:$A$186,gc!$B5,Zvf51!$AR$2:$AR$186)</f>
        <v>43656.51</v>
      </c>
      <c r="Q5" s="12">
        <f>+E5</f>
        <v>1482</v>
      </c>
      <c r="R5" s="18">
        <f>+F5</f>
        <v>42973.1</v>
      </c>
      <c r="T5" s="12">
        <f>+O5-G5</f>
        <v>0</v>
      </c>
      <c r="U5" s="12">
        <f t="shared" ref="U5" si="0">+P5-H5</f>
        <v>0</v>
      </c>
      <c r="V5" s="12">
        <f t="shared" ref="V5" si="1">+Q5-I5</f>
        <v>0</v>
      </c>
      <c r="W5" s="12">
        <f t="shared" ref="W5" si="2">+R5-J5</f>
        <v>-1.0000000002037268E-2</v>
      </c>
    </row>
    <row r="6" spans="1:23" ht="27" customHeight="1" x14ac:dyDescent="0.2">
      <c r="A6" s="9">
        <v>2</v>
      </c>
      <c r="B6" s="10" t="s">
        <v>185</v>
      </c>
      <c r="C6" s="10" t="s">
        <v>567</v>
      </c>
      <c r="D6" s="11" t="s">
        <v>26</v>
      </c>
      <c r="E6" s="12">
        <v>0</v>
      </c>
      <c r="F6" s="12">
        <v>0</v>
      </c>
      <c r="G6" s="12">
        <v>4095</v>
      </c>
      <c r="H6" s="12">
        <v>157990.95000000001</v>
      </c>
      <c r="I6" s="12">
        <v>0</v>
      </c>
      <c r="J6" s="12">
        <v>0</v>
      </c>
      <c r="K6" s="12">
        <v>4095</v>
      </c>
      <c r="L6" s="31">
        <v>157990.95000000001</v>
      </c>
      <c r="M6" s="13"/>
      <c r="O6" s="12">
        <f>+SUMIF(Zvf51!$A$2:$A$186,gc!$B6,Zvf51!$Q$2:$Q$186)</f>
        <v>4095</v>
      </c>
      <c r="P6" s="18">
        <f>+SUMIF(Zvf51!$A$2:$A$186,gc!$B6,Zvf51!$AR$2:$AR$186)</f>
        <v>157990.95000000001</v>
      </c>
      <c r="Q6" s="12">
        <f t="shared" ref="Q6:Q37" si="3">+E6</f>
        <v>0</v>
      </c>
      <c r="R6" s="18">
        <f t="shared" ref="R6:R37" si="4">+F6</f>
        <v>0</v>
      </c>
      <c r="T6" s="12">
        <f t="shared" ref="T6:T37" si="5">+O6-G6</f>
        <v>0</v>
      </c>
      <c r="U6" s="12">
        <f t="shared" ref="U6:U37" si="6">+P6-H6</f>
        <v>0</v>
      </c>
      <c r="V6" s="12">
        <f t="shared" ref="V6:V37" si="7">+Q6-I6</f>
        <v>0</v>
      </c>
      <c r="W6" s="12">
        <f t="shared" ref="W6:W37" si="8">+R6-J6</f>
        <v>0</v>
      </c>
    </row>
    <row r="7" spans="1:23" ht="36.75" customHeight="1" x14ac:dyDescent="0.2">
      <c r="A7" s="9">
        <v>3</v>
      </c>
      <c r="B7" s="10" t="s">
        <v>187</v>
      </c>
      <c r="C7" s="10" t="s">
        <v>471</v>
      </c>
      <c r="D7" s="11" t="s">
        <v>26</v>
      </c>
      <c r="E7" s="12">
        <v>0</v>
      </c>
      <c r="F7" s="12">
        <v>0</v>
      </c>
      <c r="G7" s="12">
        <v>1385</v>
      </c>
      <c r="H7" s="12">
        <v>44234.22</v>
      </c>
      <c r="I7" s="12">
        <v>0</v>
      </c>
      <c r="J7" s="12">
        <v>0</v>
      </c>
      <c r="K7" s="12">
        <v>1385</v>
      </c>
      <c r="L7" s="31">
        <v>44234.22</v>
      </c>
      <c r="M7" s="13"/>
      <c r="O7" s="12">
        <f>+SUMIF(Zvf51!$A$2:$A$186,gc!$B7,Zvf51!$Q$2:$Q$186)</f>
        <v>1385</v>
      </c>
      <c r="P7" s="18">
        <f>+SUMIF(Zvf51!$A$2:$A$186,gc!$B7,Zvf51!$AR$2:$AR$186)</f>
        <v>44234.22</v>
      </c>
      <c r="Q7" s="12">
        <f t="shared" si="3"/>
        <v>0</v>
      </c>
      <c r="R7" s="18">
        <f t="shared" si="4"/>
        <v>0</v>
      </c>
      <c r="T7" s="12">
        <f t="shared" si="5"/>
        <v>0</v>
      </c>
      <c r="U7" s="12">
        <f t="shared" si="6"/>
        <v>0</v>
      </c>
      <c r="V7" s="12">
        <f t="shared" si="7"/>
        <v>0</v>
      </c>
      <c r="W7" s="12">
        <f t="shared" si="8"/>
        <v>0</v>
      </c>
    </row>
    <row r="8" spans="1:23" ht="36.75" customHeight="1" x14ac:dyDescent="0.2">
      <c r="A8" s="9">
        <v>4</v>
      </c>
      <c r="B8" s="10" t="s">
        <v>197</v>
      </c>
      <c r="C8" s="10" t="s">
        <v>568</v>
      </c>
      <c r="D8" s="11" t="s">
        <v>26</v>
      </c>
      <c r="E8" s="12">
        <v>0</v>
      </c>
      <c r="F8" s="12">
        <v>0</v>
      </c>
      <c r="G8" s="12">
        <v>924</v>
      </c>
      <c r="H8" s="12">
        <v>33550.080000000002</v>
      </c>
      <c r="I8" s="12">
        <v>0</v>
      </c>
      <c r="J8" s="12">
        <v>0</v>
      </c>
      <c r="K8" s="12">
        <v>924</v>
      </c>
      <c r="L8" s="31">
        <v>33550.080000000002</v>
      </c>
      <c r="M8" s="13"/>
      <c r="O8" s="12">
        <f>+SUMIF(Zvf51!$A$2:$A$186,gc!$B8,Zvf51!$Q$2:$Q$186)</f>
        <v>924</v>
      </c>
      <c r="P8" s="18">
        <f>+SUMIF(Zvf51!$A$2:$A$186,gc!$B8,Zvf51!$AR$2:$AR$186)</f>
        <v>33550.080000000002</v>
      </c>
      <c r="Q8" s="12">
        <f t="shared" si="3"/>
        <v>0</v>
      </c>
      <c r="R8" s="18">
        <f t="shared" si="4"/>
        <v>0</v>
      </c>
      <c r="T8" s="12">
        <f t="shared" si="5"/>
        <v>0</v>
      </c>
      <c r="U8" s="12">
        <f t="shared" si="6"/>
        <v>0</v>
      </c>
      <c r="V8" s="12">
        <f t="shared" si="7"/>
        <v>0</v>
      </c>
      <c r="W8" s="12">
        <f t="shared" si="8"/>
        <v>0</v>
      </c>
    </row>
    <row r="9" spans="1:23" ht="25.5" customHeight="1" x14ac:dyDescent="0.2">
      <c r="A9" s="9">
        <v>5</v>
      </c>
      <c r="B9" s="10" t="s">
        <v>207</v>
      </c>
      <c r="C9" s="10" t="s">
        <v>410</v>
      </c>
      <c r="D9" s="11" t="s">
        <v>26</v>
      </c>
      <c r="E9" s="12">
        <v>620</v>
      </c>
      <c r="F9" s="12">
        <v>22757.55</v>
      </c>
      <c r="G9" s="12">
        <v>0</v>
      </c>
      <c r="H9" s="12">
        <v>0</v>
      </c>
      <c r="I9" s="12">
        <v>620</v>
      </c>
      <c r="J9" s="12">
        <v>22757.55</v>
      </c>
      <c r="K9" s="12">
        <v>0</v>
      </c>
      <c r="L9" s="31">
        <v>0</v>
      </c>
      <c r="M9" s="13"/>
      <c r="O9" s="12">
        <f>+SUMIF(Zvf51!$A$2:$A$186,gc!$B9,Zvf51!$Q$2:$Q$186)</f>
        <v>0</v>
      </c>
      <c r="P9" s="18">
        <f>+SUMIF(Zvf51!$A$2:$A$186,gc!$B9,Zvf51!$AR$2:$AR$186)</f>
        <v>0</v>
      </c>
      <c r="Q9" s="12">
        <f t="shared" si="3"/>
        <v>620</v>
      </c>
      <c r="R9" s="18">
        <f t="shared" si="4"/>
        <v>22757.55</v>
      </c>
      <c r="T9" s="12">
        <f t="shared" si="5"/>
        <v>0</v>
      </c>
      <c r="U9" s="12">
        <f t="shared" si="6"/>
        <v>0</v>
      </c>
      <c r="V9" s="12">
        <f t="shared" si="7"/>
        <v>0</v>
      </c>
      <c r="W9" s="12">
        <f t="shared" si="8"/>
        <v>0</v>
      </c>
    </row>
    <row r="10" spans="1:23" ht="15.75" customHeight="1" x14ac:dyDescent="0.2">
      <c r="A10" s="9">
        <v>6</v>
      </c>
      <c r="B10" s="10" t="s">
        <v>24</v>
      </c>
      <c r="C10" s="10" t="s">
        <v>25</v>
      </c>
      <c r="D10" s="11" t="s">
        <v>26</v>
      </c>
      <c r="E10" s="12">
        <v>822</v>
      </c>
      <c r="F10" s="12">
        <v>29935.84</v>
      </c>
      <c r="G10" s="12">
        <v>1010</v>
      </c>
      <c r="H10" s="12">
        <v>31839.06</v>
      </c>
      <c r="I10" s="12">
        <v>822</v>
      </c>
      <c r="J10" s="12">
        <v>29935.84</v>
      </c>
      <c r="K10" s="12">
        <v>1010</v>
      </c>
      <c r="L10" s="31">
        <v>31839.06</v>
      </c>
      <c r="M10" s="13"/>
      <c r="O10" s="12">
        <f>+SUMIF(Zvf51!$A$2:$A$186,gc!$B10,Zvf51!$Q$2:$Q$186)</f>
        <v>1010</v>
      </c>
      <c r="P10" s="18">
        <f>+SUMIF(Zvf51!$A$2:$A$186,gc!$B10,Zvf51!$AR$2:$AR$186)</f>
        <v>31839.06</v>
      </c>
      <c r="Q10" s="12">
        <f t="shared" si="3"/>
        <v>822</v>
      </c>
      <c r="R10" s="18">
        <f t="shared" si="4"/>
        <v>29935.84</v>
      </c>
      <c r="T10" s="12">
        <f t="shared" si="5"/>
        <v>0</v>
      </c>
      <c r="U10" s="12">
        <f t="shared" si="6"/>
        <v>0</v>
      </c>
      <c r="V10" s="12">
        <f t="shared" si="7"/>
        <v>0</v>
      </c>
      <c r="W10" s="12">
        <f t="shared" si="8"/>
        <v>0</v>
      </c>
    </row>
    <row r="11" spans="1:23" ht="36.75" customHeight="1" x14ac:dyDescent="0.2">
      <c r="A11" s="9">
        <v>7</v>
      </c>
      <c r="B11" s="10" t="s">
        <v>226</v>
      </c>
      <c r="C11" s="10" t="s">
        <v>405</v>
      </c>
      <c r="D11" s="11" t="s">
        <v>26</v>
      </c>
      <c r="E11" s="12">
        <v>10</v>
      </c>
      <c r="F11" s="12">
        <v>389.57</v>
      </c>
      <c r="G11" s="12">
        <v>122</v>
      </c>
      <c r="H11" s="12">
        <v>4622.1499999999996</v>
      </c>
      <c r="I11" s="12">
        <v>10</v>
      </c>
      <c r="J11" s="12">
        <v>389.57</v>
      </c>
      <c r="K11" s="12">
        <v>122</v>
      </c>
      <c r="L11" s="31">
        <v>4622.1499999999996</v>
      </c>
      <c r="M11" s="13"/>
      <c r="O11" s="12">
        <f>+SUMIF(Zvf51!$A$2:$A$186,gc!$B11,Zvf51!$Q$2:$Q$186)</f>
        <v>122</v>
      </c>
      <c r="P11" s="18">
        <f>+SUMIF(Zvf51!$A$2:$A$186,gc!$B11,Zvf51!$AR$2:$AR$186)</f>
        <v>4622.1499999999996</v>
      </c>
      <c r="Q11" s="12">
        <f t="shared" si="3"/>
        <v>10</v>
      </c>
      <c r="R11" s="18">
        <f t="shared" si="4"/>
        <v>389.57</v>
      </c>
      <c r="T11" s="12">
        <f t="shared" si="5"/>
        <v>0</v>
      </c>
      <c r="U11" s="12">
        <f t="shared" si="6"/>
        <v>0</v>
      </c>
      <c r="V11" s="12">
        <f t="shared" si="7"/>
        <v>0</v>
      </c>
      <c r="W11" s="12">
        <f t="shared" si="8"/>
        <v>0</v>
      </c>
    </row>
    <row r="12" spans="1:23" ht="15.75" customHeight="1" x14ac:dyDescent="0.2">
      <c r="A12" s="9">
        <v>8</v>
      </c>
      <c r="B12" s="10" t="s">
        <v>27</v>
      </c>
      <c r="C12" s="10" t="s">
        <v>28</v>
      </c>
      <c r="D12" s="11" t="s">
        <v>26</v>
      </c>
      <c r="E12" s="12">
        <v>197</v>
      </c>
      <c r="F12" s="12">
        <v>8260.92</v>
      </c>
      <c r="G12" s="12">
        <v>0</v>
      </c>
      <c r="H12" s="12">
        <v>0</v>
      </c>
      <c r="I12" s="12">
        <v>197</v>
      </c>
      <c r="J12" s="12">
        <v>8260.92</v>
      </c>
      <c r="K12" s="12">
        <v>0</v>
      </c>
      <c r="L12" s="31">
        <v>0</v>
      </c>
      <c r="M12" s="13"/>
      <c r="O12" s="12">
        <f>+SUMIF(Zvf51!$A$2:$A$186,gc!$B12,Zvf51!$Q$2:$Q$186)</f>
        <v>0</v>
      </c>
      <c r="P12" s="18">
        <f>+SUMIF(Zvf51!$A$2:$A$186,gc!$B12,Zvf51!$AR$2:$AR$186)</f>
        <v>0</v>
      </c>
      <c r="Q12" s="12">
        <f t="shared" si="3"/>
        <v>197</v>
      </c>
      <c r="R12" s="18">
        <f t="shared" si="4"/>
        <v>8260.92</v>
      </c>
      <c r="T12" s="12">
        <f t="shared" si="5"/>
        <v>0</v>
      </c>
      <c r="U12" s="12">
        <f t="shared" si="6"/>
        <v>0</v>
      </c>
      <c r="V12" s="12">
        <f t="shared" si="7"/>
        <v>0</v>
      </c>
      <c r="W12" s="12">
        <f t="shared" si="8"/>
        <v>0</v>
      </c>
    </row>
    <row r="13" spans="1:23" ht="36.75" customHeight="1" x14ac:dyDescent="0.2">
      <c r="A13" s="9">
        <v>9</v>
      </c>
      <c r="B13" s="10" t="s">
        <v>29</v>
      </c>
      <c r="C13" s="10" t="s">
        <v>30</v>
      </c>
      <c r="D13" s="11" t="s">
        <v>26</v>
      </c>
      <c r="E13" s="12">
        <v>96</v>
      </c>
      <c r="F13" s="12">
        <v>3345.67</v>
      </c>
      <c r="G13" s="12">
        <v>472</v>
      </c>
      <c r="H13" s="12">
        <v>14518.41</v>
      </c>
      <c r="I13" s="12">
        <v>96</v>
      </c>
      <c r="J13" s="12">
        <v>3345.67</v>
      </c>
      <c r="K13" s="12">
        <v>472</v>
      </c>
      <c r="L13" s="31">
        <v>14518.41</v>
      </c>
      <c r="M13" s="13"/>
      <c r="O13" s="12">
        <f>+SUMIF(Zvf51!$A$2:$A$186,gc!$B13,Zvf51!$Q$2:$Q$186)</f>
        <v>472</v>
      </c>
      <c r="P13" s="18">
        <f>+SUMIF(Zvf51!$A$2:$A$186,gc!$B13,Zvf51!$AR$2:$AR$186)</f>
        <v>14518.41</v>
      </c>
      <c r="Q13" s="12">
        <f t="shared" si="3"/>
        <v>96</v>
      </c>
      <c r="R13" s="18">
        <f t="shared" si="4"/>
        <v>3345.67</v>
      </c>
      <c r="T13" s="12">
        <f t="shared" si="5"/>
        <v>0</v>
      </c>
      <c r="U13" s="12">
        <f t="shared" si="6"/>
        <v>0</v>
      </c>
      <c r="V13" s="12">
        <f t="shared" si="7"/>
        <v>0</v>
      </c>
      <c r="W13" s="12">
        <f t="shared" si="8"/>
        <v>0</v>
      </c>
    </row>
    <row r="14" spans="1:23" ht="36.75" customHeight="1" x14ac:dyDescent="0.2">
      <c r="A14" s="9">
        <v>10</v>
      </c>
      <c r="B14" s="10" t="s">
        <v>33</v>
      </c>
      <c r="C14" s="10" t="s">
        <v>34</v>
      </c>
      <c r="D14" s="11" t="s">
        <v>26</v>
      </c>
      <c r="E14" s="12">
        <v>548</v>
      </c>
      <c r="F14" s="12">
        <v>26010.77</v>
      </c>
      <c r="G14" s="12">
        <v>0</v>
      </c>
      <c r="H14" s="12">
        <v>0</v>
      </c>
      <c r="I14" s="12">
        <v>548</v>
      </c>
      <c r="J14" s="12">
        <v>26010.77</v>
      </c>
      <c r="K14" s="12">
        <v>0</v>
      </c>
      <c r="L14" s="31">
        <v>0</v>
      </c>
      <c r="M14" s="13"/>
      <c r="O14" s="12">
        <f>+SUMIF(Zvf51!$A$2:$A$186,gc!$B14,Zvf51!$Q$2:$Q$186)</f>
        <v>0</v>
      </c>
      <c r="P14" s="18">
        <f>+SUMIF(Zvf51!$A$2:$A$186,gc!$B14,Zvf51!$AR$2:$AR$186)</f>
        <v>0</v>
      </c>
      <c r="Q14" s="12">
        <f t="shared" si="3"/>
        <v>548</v>
      </c>
      <c r="R14" s="18">
        <f t="shared" si="4"/>
        <v>26010.77</v>
      </c>
      <c r="T14" s="12">
        <f t="shared" si="5"/>
        <v>0</v>
      </c>
      <c r="U14" s="12">
        <f t="shared" si="6"/>
        <v>0</v>
      </c>
      <c r="V14" s="12">
        <f t="shared" si="7"/>
        <v>0</v>
      </c>
      <c r="W14" s="12">
        <f t="shared" si="8"/>
        <v>0</v>
      </c>
    </row>
    <row r="15" spans="1:23" ht="36.75" customHeight="1" x14ac:dyDescent="0.2">
      <c r="A15" s="9">
        <v>11</v>
      </c>
      <c r="B15" s="10" t="s">
        <v>35</v>
      </c>
      <c r="C15" s="10" t="s">
        <v>36</v>
      </c>
      <c r="D15" s="11" t="s">
        <v>26</v>
      </c>
      <c r="E15" s="12">
        <v>136</v>
      </c>
      <c r="F15" s="12">
        <v>4944.88</v>
      </c>
      <c r="G15" s="12">
        <v>0</v>
      </c>
      <c r="H15" s="12">
        <v>0</v>
      </c>
      <c r="I15" s="12">
        <v>136</v>
      </c>
      <c r="J15" s="12">
        <v>4944.88</v>
      </c>
      <c r="K15" s="12">
        <v>0</v>
      </c>
      <c r="L15" s="31">
        <v>0</v>
      </c>
      <c r="M15" s="13"/>
      <c r="O15" s="12">
        <f>+SUMIF(Zvf51!$A$2:$A$186,gc!$B15,Zvf51!$Q$2:$Q$186)</f>
        <v>0</v>
      </c>
      <c r="P15" s="18">
        <f>+SUMIF(Zvf51!$A$2:$A$186,gc!$B15,Zvf51!$AR$2:$AR$186)</f>
        <v>0</v>
      </c>
      <c r="Q15" s="12">
        <f t="shared" si="3"/>
        <v>136</v>
      </c>
      <c r="R15" s="18">
        <f t="shared" si="4"/>
        <v>4944.88</v>
      </c>
      <c r="T15" s="12">
        <f t="shared" si="5"/>
        <v>0</v>
      </c>
      <c r="U15" s="12">
        <f t="shared" si="6"/>
        <v>0</v>
      </c>
      <c r="V15" s="12">
        <f t="shared" si="7"/>
        <v>0</v>
      </c>
      <c r="W15" s="12">
        <f t="shared" si="8"/>
        <v>0</v>
      </c>
    </row>
    <row r="16" spans="1:23" ht="36.75" customHeight="1" x14ac:dyDescent="0.2">
      <c r="A16" s="9">
        <v>12</v>
      </c>
      <c r="B16" s="10" t="s">
        <v>39</v>
      </c>
      <c r="C16" s="10" t="s">
        <v>40</v>
      </c>
      <c r="D16" s="11" t="s">
        <v>26</v>
      </c>
      <c r="E16" s="12">
        <v>1003</v>
      </c>
      <c r="F16" s="12">
        <v>41837.29</v>
      </c>
      <c r="G16" s="12">
        <v>0</v>
      </c>
      <c r="H16" s="12">
        <v>0</v>
      </c>
      <c r="I16" s="12">
        <v>1003</v>
      </c>
      <c r="J16" s="12">
        <v>41837.29</v>
      </c>
      <c r="K16" s="12">
        <v>0</v>
      </c>
      <c r="L16" s="31">
        <v>0</v>
      </c>
      <c r="M16" s="13"/>
      <c r="O16" s="12">
        <f>+SUMIF(Zvf51!$A$2:$A$186,gc!$B16,Zvf51!$Q$2:$Q$186)</f>
        <v>0</v>
      </c>
      <c r="P16" s="18">
        <f>+SUMIF(Zvf51!$A$2:$A$186,gc!$B16,Zvf51!$AR$2:$AR$186)</f>
        <v>0</v>
      </c>
      <c r="Q16" s="12">
        <f t="shared" si="3"/>
        <v>1003</v>
      </c>
      <c r="R16" s="18">
        <f t="shared" si="4"/>
        <v>41837.29</v>
      </c>
      <c r="T16" s="12">
        <f t="shared" si="5"/>
        <v>0</v>
      </c>
      <c r="U16" s="12">
        <f t="shared" si="6"/>
        <v>0</v>
      </c>
      <c r="V16" s="12">
        <f t="shared" si="7"/>
        <v>0</v>
      </c>
      <c r="W16" s="12">
        <f t="shared" si="8"/>
        <v>0</v>
      </c>
    </row>
    <row r="17" spans="1:23" ht="25.5" customHeight="1" x14ac:dyDescent="0.2">
      <c r="A17" s="9">
        <v>13</v>
      </c>
      <c r="B17" s="10" t="s">
        <v>41</v>
      </c>
      <c r="C17" s="10" t="s">
        <v>42</v>
      </c>
      <c r="D17" s="11" t="s">
        <v>43</v>
      </c>
      <c r="E17" s="12">
        <v>716</v>
      </c>
      <c r="F17" s="12">
        <v>33968.300000000003</v>
      </c>
      <c r="G17" s="12">
        <v>112</v>
      </c>
      <c r="H17" s="12">
        <v>4870.7</v>
      </c>
      <c r="I17" s="12">
        <v>716</v>
      </c>
      <c r="J17" s="12">
        <v>33968.300000000003</v>
      </c>
      <c r="K17" s="12">
        <v>112</v>
      </c>
      <c r="L17" s="31">
        <v>4870.7</v>
      </c>
      <c r="M17" s="13"/>
      <c r="O17" s="12">
        <f>+SUMIF(Zvf51!$A$2:$A$186,gc!$B17,Zvf51!$Q$2:$Q$186)</f>
        <v>112</v>
      </c>
      <c r="P17" s="18">
        <f>+SUMIF(Zvf51!$A$2:$A$186,gc!$B17,Zvf51!$AR$2:$AR$186)</f>
        <v>4870.7</v>
      </c>
      <c r="Q17" s="12">
        <f t="shared" si="3"/>
        <v>716</v>
      </c>
      <c r="R17" s="18">
        <f t="shared" si="4"/>
        <v>33968.300000000003</v>
      </c>
      <c r="T17" s="12">
        <f t="shared" si="5"/>
        <v>0</v>
      </c>
      <c r="U17" s="12">
        <f t="shared" si="6"/>
        <v>0</v>
      </c>
      <c r="V17" s="12">
        <f t="shared" si="7"/>
        <v>0</v>
      </c>
      <c r="W17" s="12">
        <f t="shared" si="8"/>
        <v>0</v>
      </c>
    </row>
    <row r="18" spans="1:23" ht="36.75" customHeight="1" x14ac:dyDescent="0.2">
      <c r="A18" s="9">
        <v>14</v>
      </c>
      <c r="B18" s="10" t="s">
        <v>44</v>
      </c>
      <c r="C18" s="10" t="s">
        <v>45</v>
      </c>
      <c r="D18" s="11" t="s">
        <v>43</v>
      </c>
      <c r="E18" s="12">
        <v>12</v>
      </c>
      <c r="F18" s="12">
        <v>507.27</v>
      </c>
      <c r="G18" s="12">
        <v>133</v>
      </c>
      <c r="H18" s="12">
        <v>5503.54</v>
      </c>
      <c r="I18" s="12">
        <v>12</v>
      </c>
      <c r="J18" s="12">
        <v>507.27</v>
      </c>
      <c r="K18" s="12">
        <v>133</v>
      </c>
      <c r="L18" s="31">
        <v>5503.54</v>
      </c>
      <c r="M18" s="13"/>
      <c r="O18" s="12">
        <f>+SUMIF(Zvf51!$A$2:$A$186,gc!$B18,Zvf51!$Q$2:$Q$186)</f>
        <v>133</v>
      </c>
      <c r="P18" s="18">
        <f>+SUMIF(Zvf51!$A$2:$A$186,gc!$B18,Zvf51!$AR$2:$AR$186)</f>
        <v>5503.54</v>
      </c>
      <c r="Q18" s="12">
        <f t="shared" si="3"/>
        <v>12</v>
      </c>
      <c r="R18" s="18">
        <f t="shared" si="4"/>
        <v>507.27</v>
      </c>
      <c r="T18" s="12">
        <f t="shared" si="5"/>
        <v>0</v>
      </c>
      <c r="U18" s="12">
        <f t="shared" si="6"/>
        <v>0</v>
      </c>
      <c r="V18" s="12">
        <f t="shared" si="7"/>
        <v>0</v>
      </c>
      <c r="W18" s="12">
        <f t="shared" si="8"/>
        <v>0</v>
      </c>
    </row>
    <row r="19" spans="1:23" ht="15.75" customHeight="1" x14ac:dyDescent="0.2">
      <c r="A19" s="9">
        <v>15</v>
      </c>
      <c r="B19" s="10" t="s">
        <v>46</v>
      </c>
      <c r="C19" s="10" t="s">
        <v>47</v>
      </c>
      <c r="D19" s="11" t="s">
        <v>43</v>
      </c>
      <c r="E19" s="12">
        <v>439</v>
      </c>
      <c r="F19" s="12">
        <v>20578.349999999999</v>
      </c>
      <c r="G19" s="12">
        <v>1692</v>
      </c>
      <c r="H19" s="12">
        <v>72719.740000000005</v>
      </c>
      <c r="I19" s="12">
        <v>439</v>
      </c>
      <c r="J19" s="12">
        <v>20578.36</v>
      </c>
      <c r="K19" s="12">
        <v>1692</v>
      </c>
      <c r="L19" s="31">
        <v>72719.73</v>
      </c>
      <c r="M19" s="13"/>
      <c r="O19" s="12">
        <f>+SUMIF(Zvf51!$A$2:$A$186,gc!$B19,Zvf51!$Q$2:$Q$186)</f>
        <v>1692</v>
      </c>
      <c r="P19" s="18">
        <f>+SUMIF(Zvf51!$A$2:$A$186,gc!$B19,Zvf51!$AR$2:$AR$186)</f>
        <v>72719.740000000005</v>
      </c>
      <c r="Q19" s="12">
        <f t="shared" si="3"/>
        <v>439</v>
      </c>
      <c r="R19" s="18">
        <f t="shared" si="4"/>
        <v>20578.349999999999</v>
      </c>
      <c r="T19" s="12">
        <f t="shared" si="5"/>
        <v>0</v>
      </c>
      <c r="U19" s="12">
        <f t="shared" si="6"/>
        <v>0</v>
      </c>
      <c r="V19" s="12">
        <f t="shared" si="7"/>
        <v>0</v>
      </c>
      <c r="W19" s="12">
        <f t="shared" si="8"/>
        <v>-1.0000000002037268E-2</v>
      </c>
    </row>
    <row r="20" spans="1:23" ht="25.5" customHeight="1" x14ac:dyDescent="0.2">
      <c r="A20" s="9">
        <v>16</v>
      </c>
      <c r="B20" s="10" t="s">
        <v>48</v>
      </c>
      <c r="C20" s="10" t="s">
        <v>49</v>
      </c>
      <c r="D20" s="11" t="s">
        <v>43</v>
      </c>
      <c r="E20" s="12">
        <v>2</v>
      </c>
      <c r="F20" s="12">
        <v>81.37</v>
      </c>
      <c r="G20" s="12">
        <v>567</v>
      </c>
      <c r="H20" s="12">
        <v>23081.4</v>
      </c>
      <c r="I20" s="12">
        <v>2</v>
      </c>
      <c r="J20" s="12">
        <v>81.37</v>
      </c>
      <c r="K20" s="12">
        <v>567</v>
      </c>
      <c r="L20" s="31">
        <v>23081.4</v>
      </c>
      <c r="M20" s="13"/>
      <c r="O20" s="12">
        <f>+SUMIF(Zvf51!$A$2:$A$186,gc!$B20,Zvf51!$Q$2:$Q$186)</f>
        <v>567</v>
      </c>
      <c r="P20" s="18">
        <f>+SUMIF(Zvf51!$A$2:$A$186,gc!$B20,Zvf51!$AR$2:$AR$186)</f>
        <v>23081.4</v>
      </c>
      <c r="Q20" s="12">
        <f t="shared" si="3"/>
        <v>2</v>
      </c>
      <c r="R20" s="18">
        <f t="shared" si="4"/>
        <v>81.37</v>
      </c>
      <c r="T20" s="12">
        <f t="shared" si="5"/>
        <v>0</v>
      </c>
      <c r="U20" s="12">
        <f t="shared" si="6"/>
        <v>0</v>
      </c>
      <c r="V20" s="12">
        <f t="shared" si="7"/>
        <v>0</v>
      </c>
      <c r="W20" s="12">
        <f t="shared" si="8"/>
        <v>0</v>
      </c>
    </row>
    <row r="21" spans="1:23" ht="15.75" customHeight="1" x14ac:dyDescent="0.2">
      <c r="A21" s="9">
        <v>17</v>
      </c>
      <c r="B21" s="10" t="s">
        <v>50</v>
      </c>
      <c r="C21" s="10" t="s">
        <v>51</v>
      </c>
      <c r="D21" s="11" t="s">
        <v>43</v>
      </c>
      <c r="E21" s="12">
        <v>0</v>
      </c>
      <c r="F21" s="12">
        <v>0</v>
      </c>
      <c r="G21" s="12">
        <v>827</v>
      </c>
      <c r="H21" s="12">
        <v>37556.9</v>
      </c>
      <c r="I21" s="12">
        <v>0</v>
      </c>
      <c r="J21" s="12">
        <v>0</v>
      </c>
      <c r="K21" s="12">
        <v>827</v>
      </c>
      <c r="L21" s="31">
        <v>37556.9</v>
      </c>
      <c r="M21" s="13"/>
      <c r="O21" s="12">
        <f>+SUMIF(Zvf51!$A$2:$A$186,gc!$B21,Zvf51!$Q$2:$Q$186)</f>
        <v>827</v>
      </c>
      <c r="P21" s="18">
        <f>+SUMIF(Zvf51!$A$2:$A$186,gc!$B21,Zvf51!$AR$2:$AR$186)</f>
        <v>37556.9</v>
      </c>
      <c r="Q21" s="12">
        <f t="shared" si="3"/>
        <v>0</v>
      </c>
      <c r="R21" s="18">
        <f t="shared" si="4"/>
        <v>0</v>
      </c>
      <c r="T21" s="12">
        <f t="shared" si="5"/>
        <v>0</v>
      </c>
      <c r="U21" s="12">
        <f t="shared" si="6"/>
        <v>0</v>
      </c>
      <c r="V21" s="12">
        <f t="shared" si="7"/>
        <v>0</v>
      </c>
      <c r="W21" s="12">
        <f t="shared" si="8"/>
        <v>0</v>
      </c>
    </row>
    <row r="22" spans="1:23" ht="25.5" customHeight="1" x14ac:dyDescent="0.2">
      <c r="A22" s="9">
        <v>18</v>
      </c>
      <c r="B22" s="10" t="s">
        <v>54</v>
      </c>
      <c r="C22" s="10" t="s">
        <v>55</v>
      </c>
      <c r="D22" s="11" t="s">
        <v>26</v>
      </c>
      <c r="E22" s="12">
        <v>872</v>
      </c>
      <c r="F22" s="12">
        <v>38191.800000000003</v>
      </c>
      <c r="G22" s="12">
        <v>444</v>
      </c>
      <c r="H22" s="12">
        <v>17047.98</v>
      </c>
      <c r="I22" s="12">
        <v>872</v>
      </c>
      <c r="J22" s="12">
        <v>38191.800000000003</v>
      </c>
      <c r="K22" s="12">
        <v>444</v>
      </c>
      <c r="L22" s="31">
        <v>17047.98</v>
      </c>
      <c r="M22" s="13"/>
      <c r="O22" s="12">
        <f>+SUMIF(Zvf51!$A$2:$A$186,gc!$B22,Zvf51!$Q$2:$Q$186)</f>
        <v>444</v>
      </c>
      <c r="P22" s="18">
        <f>+SUMIF(Zvf51!$A$2:$A$186,gc!$B22,Zvf51!$AR$2:$AR$186)</f>
        <v>17047.98</v>
      </c>
      <c r="Q22" s="12">
        <f t="shared" si="3"/>
        <v>872</v>
      </c>
      <c r="R22" s="18">
        <f t="shared" si="4"/>
        <v>38191.800000000003</v>
      </c>
      <c r="T22" s="12">
        <f t="shared" si="5"/>
        <v>0</v>
      </c>
      <c r="U22" s="12">
        <f t="shared" si="6"/>
        <v>0</v>
      </c>
      <c r="V22" s="12">
        <f t="shared" si="7"/>
        <v>0</v>
      </c>
      <c r="W22" s="12">
        <f t="shared" si="8"/>
        <v>0</v>
      </c>
    </row>
    <row r="23" spans="1:23" ht="25.5" customHeight="1" x14ac:dyDescent="0.2">
      <c r="A23" s="9">
        <v>19</v>
      </c>
      <c r="B23" s="10" t="s">
        <v>271</v>
      </c>
      <c r="C23" s="10" t="s">
        <v>399</v>
      </c>
      <c r="D23" s="11" t="s">
        <v>26</v>
      </c>
      <c r="E23" s="12">
        <v>324</v>
      </c>
      <c r="F23" s="12">
        <v>14920.52</v>
      </c>
      <c r="G23" s="12">
        <v>0</v>
      </c>
      <c r="H23" s="12">
        <v>0</v>
      </c>
      <c r="I23" s="12">
        <v>324</v>
      </c>
      <c r="J23" s="12">
        <v>14920.52</v>
      </c>
      <c r="K23" s="12">
        <v>0</v>
      </c>
      <c r="L23" s="31">
        <v>0</v>
      </c>
      <c r="M23" s="13"/>
      <c r="O23" s="12">
        <f>+SUMIF(Zvf51!$A$2:$A$186,gc!$B23,Zvf51!$Q$2:$Q$186)</f>
        <v>0</v>
      </c>
      <c r="P23" s="18">
        <f>+SUMIF(Zvf51!$A$2:$A$186,gc!$B23,Zvf51!$AR$2:$AR$186)</f>
        <v>0</v>
      </c>
      <c r="Q23" s="12">
        <f t="shared" si="3"/>
        <v>324</v>
      </c>
      <c r="R23" s="18">
        <f t="shared" si="4"/>
        <v>14920.52</v>
      </c>
      <c r="T23" s="12">
        <f t="shared" si="5"/>
        <v>0</v>
      </c>
      <c r="U23" s="12">
        <f t="shared" si="6"/>
        <v>0</v>
      </c>
      <c r="V23" s="12">
        <f t="shared" si="7"/>
        <v>0</v>
      </c>
      <c r="W23" s="12">
        <f t="shared" si="8"/>
        <v>0</v>
      </c>
    </row>
    <row r="24" spans="1:23" ht="15.75" customHeight="1" x14ac:dyDescent="0.2">
      <c r="A24" s="9">
        <v>20</v>
      </c>
      <c r="B24" s="10" t="s">
        <v>58</v>
      </c>
      <c r="C24" s="10" t="s">
        <v>59</v>
      </c>
      <c r="D24" s="11" t="s">
        <v>26</v>
      </c>
      <c r="E24" s="12">
        <v>370</v>
      </c>
      <c r="F24" s="12">
        <v>12032.52</v>
      </c>
      <c r="G24" s="12">
        <v>0</v>
      </c>
      <c r="H24" s="12">
        <v>0</v>
      </c>
      <c r="I24" s="12">
        <v>370</v>
      </c>
      <c r="J24" s="12">
        <v>12032.52</v>
      </c>
      <c r="K24" s="12">
        <v>0</v>
      </c>
      <c r="L24" s="31">
        <v>0</v>
      </c>
      <c r="M24" s="13"/>
      <c r="O24" s="12">
        <f>+SUMIF(Zvf51!$A$2:$A$186,gc!$B24,Zvf51!$Q$2:$Q$186)</f>
        <v>0</v>
      </c>
      <c r="P24" s="18">
        <f>+SUMIF(Zvf51!$A$2:$A$186,gc!$B24,Zvf51!$AR$2:$AR$186)</f>
        <v>0</v>
      </c>
      <c r="Q24" s="12">
        <f t="shared" si="3"/>
        <v>370</v>
      </c>
      <c r="R24" s="18">
        <f t="shared" si="4"/>
        <v>12032.52</v>
      </c>
      <c r="T24" s="12">
        <f t="shared" si="5"/>
        <v>0</v>
      </c>
      <c r="U24" s="12">
        <f t="shared" si="6"/>
        <v>0</v>
      </c>
      <c r="V24" s="12">
        <f t="shared" si="7"/>
        <v>0</v>
      </c>
      <c r="W24" s="12">
        <f t="shared" si="8"/>
        <v>0</v>
      </c>
    </row>
    <row r="25" spans="1:23" ht="36.75" customHeight="1" x14ac:dyDescent="0.2">
      <c r="A25" s="9">
        <v>21</v>
      </c>
      <c r="B25" s="10" t="s">
        <v>60</v>
      </c>
      <c r="C25" s="10" t="s">
        <v>61</v>
      </c>
      <c r="D25" s="11" t="s">
        <v>26</v>
      </c>
      <c r="E25" s="12">
        <v>837</v>
      </c>
      <c r="F25" s="12">
        <v>41433.61</v>
      </c>
      <c r="G25" s="12">
        <v>229</v>
      </c>
      <c r="H25" s="12">
        <v>10402.719999999999</v>
      </c>
      <c r="I25" s="12">
        <v>837</v>
      </c>
      <c r="J25" s="12">
        <v>41433.61</v>
      </c>
      <c r="K25" s="12">
        <v>229</v>
      </c>
      <c r="L25" s="31">
        <v>10402.719999999999</v>
      </c>
      <c r="M25" s="13"/>
      <c r="O25" s="12">
        <f>+SUMIF(Zvf51!$A$2:$A$186,gc!$B25,Zvf51!$Q$2:$Q$186)</f>
        <v>229</v>
      </c>
      <c r="P25" s="18">
        <f>+SUMIF(Zvf51!$A$2:$A$186,gc!$B25,Zvf51!$AR$2:$AR$186)</f>
        <v>10402.719999999999</v>
      </c>
      <c r="Q25" s="12">
        <f t="shared" si="3"/>
        <v>837</v>
      </c>
      <c r="R25" s="18">
        <f t="shared" si="4"/>
        <v>41433.61</v>
      </c>
      <c r="T25" s="12">
        <f t="shared" si="5"/>
        <v>0</v>
      </c>
      <c r="U25" s="12">
        <f t="shared" si="6"/>
        <v>0</v>
      </c>
      <c r="V25" s="12">
        <f t="shared" si="7"/>
        <v>0</v>
      </c>
      <c r="W25" s="12">
        <f t="shared" si="8"/>
        <v>0</v>
      </c>
    </row>
    <row r="26" spans="1:23" ht="25.5" customHeight="1" x14ac:dyDescent="0.2">
      <c r="A26" s="9">
        <v>22</v>
      </c>
      <c r="B26" s="10" t="s">
        <v>64</v>
      </c>
      <c r="C26" s="10" t="s">
        <v>65</v>
      </c>
      <c r="D26" s="11" t="s">
        <v>26</v>
      </c>
      <c r="E26" s="12">
        <v>1127</v>
      </c>
      <c r="F26" s="12">
        <v>37556.47</v>
      </c>
      <c r="G26" s="12">
        <v>0</v>
      </c>
      <c r="H26" s="12">
        <v>0</v>
      </c>
      <c r="I26" s="12">
        <v>1127</v>
      </c>
      <c r="J26" s="12">
        <v>37556.47</v>
      </c>
      <c r="K26" s="12">
        <v>0</v>
      </c>
      <c r="L26" s="31">
        <v>0</v>
      </c>
      <c r="M26" s="13"/>
      <c r="O26" s="12">
        <f>+SUMIF(Zvf51!$A$2:$A$186,gc!$B26,Zvf51!$Q$2:$Q$186)</f>
        <v>0</v>
      </c>
      <c r="P26" s="18">
        <f>+SUMIF(Zvf51!$A$2:$A$186,gc!$B26,Zvf51!$AR$2:$AR$186)</f>
        <v>0</v>
      </c>
      <c r="Q26" s="12">
        <f t="shared" si="3"/>
        <v>1127</v>
      </c>
      <c r="R26" s="18">
        <f t="shared" si="4"/>
        <v>37556.47</v>
      </c>
      <c r="T26" s="12">
        <f t="shared" si="5"/>
        <v>0</v>
      </c>
      <c r="U26" s="12">
        <f t="shared" si="6"/>
        <v>0</v>
      </c>
      <c r="V26" s="12">
        <f t="shared" si="7"/>
        <v>0</v>
      </c>
      <c r="W26" s="12">
        <f t="shared" si="8"/>
        <v>0</v>
      </c>
    </row>
    <row r="27" spans="1:23" ht="25.5" customHeight="1" x14ac:dyDescent="0.2">
      <c r="A27" s="9">
        <v>23</v>
      </c>
      <c r="B27" s="10" t="s">
        <v>68</v>
      </c>
      <c r="C27" s="10" t="s">
        <v>69</v>
      </c>
      <c r="D27" s="11" t="s">
        <v>26</v>
      </c>
      <c r="E27" s="12">
        <v>6</v>
      </c>
      <c r="F27" s="12">
        <v>324.52</v>
      </c>
      <c r="G27" s="12">
        <v>1112</v>
      </c>
      <c r="H27" s="12">
        <v>53749.81</v>
      </c>
      <c r="I27" s="12">
        <v>6</v>
      </c>
      <c r="J27" s="12">
        <v>324.52</v>
      </c>
      <c r="K27" s="12">
        <v>1112</v>
      </c>
      <c r="L27" s="31">
        <v>53749.81</v>
      </c>
      <c r="M27" s="13"/>
      <c r="O27" s="12">
        <f>+SUMIF(Zvf51!$A$2:$A$186,gc!$B27,Zvf51!$Q$2:$Q$186)</f>
        <v>1112</v>
      </c>
      <c r="P27" s="18">
        <f>+SUMIF(Zvf51!$A$2:$A$186,gc!$B27,Zvf51!$AR$2:$AR$186)</f>
        <v>53749.81</v>
      </c>
      <c r="Q27" s="12">
        <f t="shared" si="3"/>
        <v>6</v>
      </c>
      <c r="R27" s="18">
        <f t="shared" si="4"/>
        <v>324.52</v>
      </c>
      <c r="T27" s="12">
        <f t="shared" si="5"/>
        <v>0</v>
      </c>
      <c r="U27" s="12">
        <f t="shared" si="6"/>
        <v>0</v>
      </c>
      <c r="V27" s="12">
        <f t="shared" si="7"/>
        <v>0</v>
      </c>
      <c r="W27" s="12">
        <f t="shared" si="8"/>
        <v>0</v>
      </c>
    </row>
    <row r="28" spans="1:23" ht="25.5" customHeight="1" x14ac:dyDescent="0.2">
      <c r="A28" s="9">
        <v>24</v>
      </c>
      <c r="B28" s="10" t="s">
        <v>70</v>
      </c>
      <c r="C28" s="10" t="s">
        <v>71</v>
      </c>
      <c r="D28" s="11" t="s">
        <v>26</v>
      </c>
      <c r="E28" s="12">
        <v>387</v>
      </c>
      <c r="F28" s="12">
        <v>19278.89</v>
      </c>
      <c r="G28" s="12">
        <v>651</v>
      </c>
      <c r="H28" s="12">
        <v>30027.63</v>
      </c>
      <c r="I28" s="12">
        <v>387</v>
      </c>
      <c r="J28" s="12">
        <v>19278.89</v>
      </c>
      <c r="K28" s="12">
        <v>651</v>
      </c>
      <c r="L28" s="31">
        <v>30027.63</v>
      </c>
      <c r="M28" s="13"/>
      <c r="O28" s="12">
        <f>+SUMIF(Zvf51!$A$2:$A$186,gc!$B28,Zvf51!$Q$2:$Q$186)</f>
        <v>651</v>
      </c>
      <c r="P28" s="18">
        <f>+SUMIF(Zvf51!$A$2:$A$186,gc!$B28,Zvf51!$AR$2:$AR$186)</f>
        <v>30027.63</v>
      </c>
      <c r="Q28" s="12">
        <f t="shared" si="3"/>
        <v>387</v>
      </c>
      <c r="R28" s="18">
        <f t="shared" si="4"/>
        <v>19278.89</v>
      </c>
      <c r="T28" s="12">
        <f t="shared" si="5"/>
        <v>0</v>
      </c>
      <c r="U28" s="12">
        <f t="shared" si="6"/>
        <v>0</v>
      </c>
      <c r="V28" s="12">
        <f t="shared" si="7"/>
        <v>0</v>
      </c>
      <c r="W28" s="12">
        <f t="shared" si="8"/>
        <v>0</v>
      </c>
    </row>
    <row r="29" spans="1:23" ht="25.5" customHeight="1" x14ac:dyDescent="0.2">
      <c r="A29" s="9">
        <v>25</v>
      </c>
      <c r="B29" s="10" t="s">
        <v>287</v>
      </c>
      <c r="C29" s="10" t="s">
        <v>395</v>
      </c>
      <c r="D29" s="11" t="s">
        <v>26</v>
      </c>
      <c r="E29" s="12">
        <v>110</v>
      </c>
      <c r="F29" s="12">
        <v>3463.42</v>
      </c>
      <c r="G29" s="12">
        <v>0</v>
      </c>
      <c r="H29" s="12">
        <v>0</v>
      </c>
      <c r="I29" s="12">
        <v>110</v>
      </c>
      <c r="J29" s="12">
        <v>3463.42</v>
      </c>
      <c r="K29" s="12">
        <v>0</v>
      </c>
      <c r="L29" s="31">
        <v>0</v>
      </c>
      <c r="M29" s="13"/>
      <c r="O29" s="12">
        <f>+SUMIF(Zvf51!$A$2:$A$186,gc!$B29,Zvf51!$Q$2:$Q$186)</f>
        <v>0</v>
      </c>
      <c r="P29" s="18">
        <f>+SUMIF(Zvf51!$A$2:$A$186,gc!$B29,Zvf51!$AR$2:$AR$186)</f>
        <v>0</v>
      </c>
      <c r="Q29" s="12">
        <f t="shared" si="3"/>
        <v>110</v>
      </c>
      <c r="R29" s="18">
        <f t="shared" si="4"/>
        <v>3463.42</v>
      </c>
      <c r="T29" s="12">
        <f t="shared" si="5"/>
        <v>0</v>
      </c>
      <c r="U29" s="12">
        <f t="shared" si="6"/>
        <v>0</v>
      </c>
      <c r="V29" s="12">
        <f t="shared" si="7"/>
        <v>0</v>
      </c>
      <c r="W29" s="12">
        <f t="shared" si="8"/>
        <v>0</v>
      </c>
    </row>
    <row r="30" spans="1:23" ht="36.75" customHeight="1" x14ac:dyDescent="0.2">
      <c r="A30" s="9">
        <v>26</v>
      </c>
      <c r="B30" s="10" t="s">
        <v>76</v>
      </c>
      <c r="C30" s="10" t="s">
        <v>77</v>
      </c>
      <c r="D30" s="11" t="s">
        <v>26</v>
      </c>
      <c r="E30" s="12">
        <v>1002</v>
      </c>
      <c r="F30" s="12">
        <v>33768.660000000003</v>
      </c>
      <c r="G30" s="12">
        <v>0</v>
      </c>
      <c r="H30" s="12">
        <v>0</v>
      </c>
      <c r="I30" s="12">
        <v>1002</v>
      </c>
      <c r="J30" s="12">
        <v>33768.660000000003</v>
      </c>
      <c r="K30" s="12">
        <v>0</v>
      </c>
      <c r="L30" s="31">
        <v>0</v>
      </c>
      <c r="M30" s="13"/>
      <c r="O30" s="12">
        <f>+SUMIF(Zvf51!$A$2:$A$186,gc!$B30,Zvf51!$Q$2:$Q$186)</f>
        <v>0</v>
      </c>
      <c r="P30" s="18">
        <f>+SUMIF(Zvf51!$A$2:$A$186,gc!$B30,Zvf51!$AR$2:$AR$186)</f>
        <v>0</v>
      </c>
      <c r="Q30" s="12">
        <f t="shared" si="3"/>
        <v>1002</v>
      </c>
      <c r="R30" s="18">
        <f t="shared" si="4"/>
        <v>33768.660000000003</v>
      </c>
      <c r="T30" s="12">
        <f t="shared" si="5"/>
        <v>0</v>
      </c>
      <c r="U30" s="12">
        <f t="shared" si="6"/>
        <v>0</v>
      </c>
      <c r="V30" s="12">
        <f t="shared" si="7"/>
        <v>0</v>
      </c>
      <c r="W30" s="12">
        <f t="shared" si="8"/>
        <v>0</v>
      </c>
    </row>
    <row r="31" spans="1:23" ht="36.75" customHeight="1" x14ac:dyDescent="0.2">
      <c r="A31" s="9">
        <v>27</v>
      </c>
      <c r="B31" s="10" t="s">
        <v>303</v>
      </c>
      <c r="C31" s="10" t="s">
        <v>391</v>
      </c>
      <c r="D31" s="11" t="s">
        <v>26</v>
      </c>
      <c r="E31" s="12">
        <v>10</v>
      </c>
      <c r="F31" s="12">
        <v>341.96</v>
      </c>
      <c r="G31" s="12">
        <v>17</v>
      </c>
      <c r="H31" s="12">
        <v>581.14</v>
      </c>
      <c r="I31" s="12">
        <v>10</v>
      </c>
      <c r="J31" s="12">
        <v>341.96</v>
      </c>
      <c r="K31" s="12">
        <v>17</v>
      </c>
      <c r="L31" s="31">
        <v>581.14</v>
      </c>
      <c r="M31" s="13"/>
      <c r="O31" s="12">
        <f>+SUMIF(Zvf51!$A$2:$A$186,gc!$B31,Zvf51!$Q$2:$Q$186)</f>
        <v>17</v>
      </c>
      <c r="P31" s="18">
        <f>+SUMIF(Zvf51!$A$2:$A$186,gc!$B31,Zvf51!$AR$2:$AR$186)</f>
        <v>581.14</v>
      </c>
      <c r="Q31" s="12">
        <f t="shared" si="3"/>
        <v>10</v>
      </c>
      <c r="R31" s="18">
        <f t="shared" si="4"/>
        <v>341.96</v>
      </c>
      <c r="T31" s="12">
        <f t="shared" si="5"/>
        <v>0</v>
      </c>
      <c r="U31" s="12">
        <f t="shared" si="6"/>
        <v>0</v>
      </c>
      <c r="V31" s="12">
        <f t="shared" si="7"/>
        <v>0</v>
      </c>
      <c r="W31" s="12">
        <f t="shared" si="8"/>
        <v>0</v>
      </c>
    </row>
    <row r="32" spans="1:23" ht="15.75" customHeight="1" x14ac:dyDescent="0.2">
      <c r="A32" s="9">
        <v>28</v>
      </c>
      <c r="B32" s="10" t="s">
        <v>517</v>
      </c>
      <c r="C32" s="10" t="s">
        <v>545</v>
      </c>
      <c r="D32" s="11" t="s">
        <v>26</v>
      </c>
      <c r="E32" s="12">
        <v>0</v>
      </c>
      <c r="F32" s="12">
        <v>0</v>
      </c>
      <c r="G32" s="12">
        <v>113</v>
      </c>
      <c r="H32" s="12">
        <v>5495.93</v>
      </c>
      <c r="I32" s="12">
        <v>0</v>
      </c>
      <c r="J32" s="12">
        <v>0</v>
      </c>
      <c r="K32" s="12">
        <v>113</v>
      </c>
      <c r="L32" s="31">
        <v>5495.93</v>
      </c>
      <c r="M32" s="13"/>
      <c r="O32" s="12">
        <f>+SUMIF(Zvf51!$A$2:$A$186,gc!$B32,Zvf51!$Q$2:$Q$186)</f>
        <v>113</v>
      </c>
      <c r="P32" s="18">
        <f>+SUMIF(Zvf51!$A$2:$A$186,gc!$B32,Zvf51!$AR$2:$AR$186)</f>
        <v>5495.92</v>
      </c>
      <c r="Q32" s="12">
        <f t="shared" si="3"/>
        <v>0</v>
      </c>
      <c r="R32" s="18">
        <f t="shared" si="4"/>
        <v>0</v>
      </c>
      <c r="T32" s="12">
        <f t="shared" si="5"/>
        <v>0</v>
      </c>
      <c r="U32" s="12">
        <f t="shared" si="6"/>
        <v>-1.0000000000218279E-2</v>
      </c>
      <c r="V32" s="12">
        <f t="shared" si="7"/>
        <v>0</v>
      </c>
      <c r="W32" s="12">
        <f t="shared" si="8"/>
        <v>0</v>
      </c>
    </row>
    <row r="33" spans="1:23" ht="36.75" customHeight="1" x14ac:dyDescent="0.2">
      <c r="A33" s="9">
        <v>29</v>
      </c>
      <c r="B33" s="10" t="s">
        <v>80</v>
      </c>
      <c r="C33" s="10" t="s">
        <v>81</v>
      </c>
      <c r="D33" s="11" t="s">
        <v>26</v>
      </c>
      <c r="E33" s="12">
        <v>211</v>
      </c>
      <c r="F33" s="12">
        <v>7399.81</v>
      </c>
      <c r="G33" s="12">
        <v>50</v>
      </c>
      <c r="H33" s="12">
        <v>1679.88</v>
      </c>
      <c r="I33" s="12">
        <v>211</v>
      </c>
      <c r="J33" s="12">
        <v>7399.81</v>
      </c>
      <c r="K33" s="12">
        <v>50</v>
      </c>
      <c r="L33" s="31">
        <v>1679.88</v>
      </c>
      <c r="M33" s="13"/>
      <c r="O33" s="12">
        <f>+SUMIF(Zvf51!$A$2:$A$186,gc!$B33,Zvf51!$Q$2:$Q$186)</f>
        <v>50</v>
      </c>
      <c r="P33" s="18">
        <f>+SUMIF(Zvf51!$A$2:$A$186,gc!$B33,Zvf51!$AR$2:$AR$186)</f>
        <v>1679.88</v>
      </c>
      <c r="Q33" s="12">
        <f t="shared" si="3"/>
        <v>211</v>
      </c>
      <c r="R33" s="18">
        <f t="shared" si="4"/>
        <v>7399.81</v>
      </c>
      <c r="T33" s="12">
        <f t="shared" si="5"/>
        <v>0</v>
      </c>
      <c r="U33" s="12">
        <f t="shared" si="6"/>
        <v>0</v>
      </c>
      <c r="V33" s="12">
        <f t="shared" si="7"/>
        <v>0</v>
      </c>
      <c r="W33" s="12">
        <f t="shared" si="8"/>
        <v>0</v>
      </c>
    </row>
    <row r="34" spans="1:23" ht="36.75" customHeight="1" x14ac:dyDescent="0.2">
      <c r="A34" s="9">
        <v>30</v>
      </c>
      <c r="B34" s="10" t="s">
        <v>462</v>
      </c>
      <c r="C34" s="10" t="s">
        <v>473</v>
      </c>
      <c r="D34" s="11" t="s">
        <v>26</v>
      </c>
      <c r="E34" s="12">
        <v>0</v>
      </c>
      <c r="F34" s="12">
        <v>0</v>
      </c>
      <c r="G34" s="12">
        <v>75</v>
      </c>
      <c r="H34" s="12">
        <v>3608.85</v>
      </c>
      <c r="I34" s="12">
        <v>0</v>
      </c>
      <c r="J34" s="12">
        <v>0</v>
      </c>
      <c r="K34" s="12">
        <v>75</v>
      </c>
      <c r="L34" s="31">
        <v>3608.85</v>
      </c>
      <c r="M34" s="13"/>
      <c r="O34" s="12">
        <f>+SUMIF(Zvf51!$A$2:$A$186,gc!$B34,Zvf51!$Q$2:$Q$186)</f>
        <v>75</v>
      </c>
      <c r="P34" s="18">
        <f>+SUMIF(Zvf51!$A$2:$A$186,gc!$B34,Zvf51!$AR$2:$AR$186)</f>
        <v>3608.86</v>
      </c>
      <c r="Q34" s="12">
        <f t="shared" si="3"/>
        <v>0</v>
      </c>
      <c r="R34" s="18">
        <f t="shared" si="4"/>
        <v>0</v>
      </c>
      <c r="T34" s="12">
        <f t="shared" si="5"/>
        <v>0</v>
      </c>
      <c r="U34" s="12">
        <f t="shared" si="6"/>
        <v>1.0000000000218279E-2</v>
      </c>
      <c r="V34" s="12">
        <f t="shared" si="7"/>
        <v>0</v>
      </c>
      <c r="W34" s="12">
        <f t="shared" si="8"/>
        <v>0</v>
      </c>
    </row>
    <row r="35" spans="1:23" ht="15.75" customHeight="1" x14ac:dyDescent="0.2">
      <c r="A35" s="9">
        <v>31</v>
      </c>
      <c r="B35" s="10" t="s">
        <v>479</v>
      </c>
      <c r="C35" s="10" t="s">
        <v>480</v>
      </c>
      <c r="D35" s="11" t="s">
        <v>26</v>
      </c>
      <c r="E35" s="12">
        <v>0</v>
      </c>
      <c r="F35" s="12">
        <v>0</v>
      </c>
      <c r="G35" s="12">
        <v>8</v>
      </c>
      <c r="H35" s="12">
        <v>383.89</v>
      </c>
      <c r="I35" s="12">
        <v>0</v>
      </c>
      <c r="J35" s="12">
        <v>0</v>
      </c>
      <c r="K35" s="12">
        <v>8</v>
      </c>
      <c r="L35" s="31">
        <v>383.89</v>
      </c>
      <c r="M35" s="13"/>
      <c r="O35" s="12">
        <f>+SUMIF(Zvf51!$A$2:$A$186,gc!$B35,Zvf51!$Q$2:$Q$186)</f>
        <v>8</v>
      </c>
      <c r="P35" s="18">
        <f>+SUMIF(Zvf51!$A$2:$A$186,gc!$B35,Zvf51!$AR$2:$AR$186)</f>
        <v>383.89</v>
      </c>
      <c r="Q35" s="12">
        <f t="shared" si="3"/>
        <v>0</v>
      </c>
      <c r="R35" s="18">
        <f t="shared" si="4"/>
        <v>0</v>
      </c>
      <c r="T35" s="12">
        <f t="shared" si="5"/>
        <v>0</v>
      </c>
      <c r="U35" s="12">
        <f t="shared" si="6"/>
        <v>0</v>
      </c>
      <c r="V35" s="12">
        <f t="shared" si="7"/>
        <v>0</v>
      </c>
      <c r="W35" s="12">
        <f t="shared" si="8"/>
        <v>0</v>
      </c>
    </row>
    <row r="36" spans="1:23" ht="15.75" customHeight="1" x14ac:dyDescent="0.2">
      <c r="A36" s="9">
        <v>32</v>
      </c>
      <c r="B36" s="10" t="s">
        <v>481</v>
      </c>
      <c r="C36" s="10" t="s">
        <v>482</v>
      </c>
      <c r="D36" s="11" t="s">
        <v>26</v>
      </c>
      <c r="E36" s="12">
        <v>0</v>
      </c>
      <c r="F36" s="12">
        <v>0</v>
      </c>
      <c r="G36" s="12">
        <v>66</v>
      </c>
      <c r="H36" s="12">
        <v>2703.93</v>
      </c>
      <c r="I36" s="12">
        <v>0</v>
      </c>
      <c r="J36" s="12">
        <v>0</v>
      </c>
      <c r="K36" s="12">
        <v>66</v>
      </c>
      <c r="L36" s="31">
        <v>2703.93</v>
      </c>
      <c r="M36" s="13"/>
      <c r="O36" s="12">
        <f>+SUMIF(Zvf51!$A$2:$A$186,gc!$B36,Zvf51!$Q$2:$Q$186)</f>
        <v>66</v>
      </c>
      <c r="P36" s="18">
        <f>+SUMIF(Zvf51!$A$2:$A$186,gc!$B36,Zvf51!$AR$2:$AR$186)</f>
        <v>2703.92</v>
      </c>
      <c r="Q36" s="12">
        <f t="shared" si="3"/>
        <v>0</v>
      </c>
      <c r="R36" s="18">
        <f t="shared" si="4"/>
        <v>0</v>
      </c>
      <c r="T36" s="12">
        <f t="shared" si="5"/>
        <v>0</v>
      </c>
      <c r="U36" s="12">
        <f t="shared" si="6"/>
        <v>-9.9999999997635314E-3</v>
      </c>
      <c r="V36" s="12">
        <f t="shared" si="7"/>
        <v>0</v>
      </c>
      <c r="W36" s="12">
        <f t="shared" si="8"/>
        <v>0</v>
      </c>
    </row>
    <row r="37" spans="1:23" ht="15.75" customHeight="1" x14ac:dyDescent="0.2">
      <c r="A37" s="9">
        <v>33</v>
      </c>
      <c r="B37" s="10" t="s">
        <v>483</v>
      </c>
      <c r="C37" s="10" t="s">
        <v>484</v>
      </c>
      <c r="D37" s="11" t="s">
        <v>26</v>
      </c>
      <c r="E37" s="12">
        <v>0</v>
      </c>
      <c r="F37" s="12">
        <v>0</v>
      </c>
      <c r="G37" s="12">
        <v>71</v>
      </c>
      <c r="H37" s="12">
        <v>3146.39</v>
      </c>
      <c r="I37" s="12">
        <v>0</v>
      </c>
      <c r="J37" s="12">
        <v>0</v>
      </c>
      <c r="K37" s="12">
        <v>71</v>
      </c>
      <c r="L37" s="31">
        <v>3146.39</v>
      </c>
      <c r="M37" s="13"/>
      <c r="O37" s="12">
        <f>+SUMIF(Zvf51!$A$2:$A$186,gc!$B37,Zvf51!$Q$2:$Q$186)</f>
        <v>71</v>
      </c>
      <c r="P37" s="18">
        <f>+SUMIF(Zvf51!$A$2:$A$186,gc!$B37,Zvf51!$AR$2:$AR$186)</f>
        <v>3146.39</v>
      </c>
      <c r="Q37" s="12">
        <f t="shared" si="3"/>
        <v>0</v>
      </c>
      <c r="R37" s="18">
        <f t="shared" si="4"/>
        <v>0</v>
      </c>
      <c r="T37" s="12">
        <f t="shared" si="5"/>
        <v>0</v>
      </c>
      <c r="U37" s="12">
        <f t="shared" si="6"/>
        <v>0</v>
      </c>
      <c r="V37" s="12">
        <f t="shared" si="7"/>
        <v>0</v>
      </c>
      <c r="W37" s="12">
        <f t="shared" si="8"/>
        <v>0</v>
      </c>
    </row>
    <row r="38" spans="1:23" ht="15.75" customHeight="1" x14ac:dyDescent="0.2">
      <c r="A38" s="9">
        <v>34</v>
      </c>
      <c r="B38" s="10" t="s">
        <v>519</v>
      </c>
      <c r="C38" s="10" t="s">
        <v>546</v>
      </c>
      <c r="D38" s="11" t="s">
        <v>26</v>
      </c>
      <c r="E38" s="12">
        <v>0</v>
      </c>
      <c r="F38" s="12">
        <v>0</v>
      </c>
      <c r="G38" s="12">
        <v>132</v>
      </c>
      <c r="H38" s="12">
        <v>6032.32</v>
      </c>
      <c r="I38" s="12">
        <v>0</v>
      </c>
      <c r="J38" s="12">
        <v>0</v>
      </c>
      <c r="K38" s="12">
        <v>132</v>
      </c>
      <c r="L38" s="31">
        <v>6032.32</v>
      </c>
      <c r="M38" s="13"/>
      <c r="O38" s="12">
        <f>+SUMIF(Zvf51!$A$2:$A$186,gc!$B38,Zvf51!$Q$2:$Q$186)</f>
        <v>132</v>
      </c>
      <c r="P38" s="18">
        <f>+SUMIF(Zvf51!$A$2:$A$186,gc!$B38,Zvf51!$AR$2:$AR$186)</f>
        <v>6032.32</v>
      </c>
      <c r="Q38" s="12">
        <f t="shared" ref="Q38:Q75" si="9">+E38</f>
        <v>0</v>
      </c>
      <c r="R38" s="18">
        <f t="shared" ref="R38:R75" si="10">+F38</f>
        <v>0</v>
      </c>
      <c r="T38" s="12">
        <f t="shared" ref="T38:T75" si="11">+O38-G38</f>
        <v>0</v>
      </c>
      <c r="U38" s="12">
        <f t="shared" ref="U38:U75" si="12">+P38-H38</f>
        <v>0</v>
      </c>
      <c r="V38" s="12">
        <f t="shared" ref="V38:V75" si="13">+Q38-I38</f>
        <v>0</v>
      </c>
      <c r="W38" s="12">
        <f t="shared" ref="W38:W75" si="14">+R38-J38</f>
        <v>0</v>
      </c>
    </row>
    <row r="39" spans="1:23" ht="25.5" x14ac:dyDescent="0.2">
      <c r="A39" s="9">
        <v>35</v>
      </c>
      <c r="B39" s="10" t="s">
        <v>521</v>
      </c>
      <c r="C39" s="10" t="s">
        <v>547</v>
      </c>
      <c r="D39" s="11" t="s">
        <v>26</v>
      </c>
      <c r="E39" s="12">
        <v>0</v>
      </c>
      <c r="F39" s="12">
        <v>0</v>
      </c>
      <c r="G39" s="12">
        <v>65</v>
      </c>
      <c r="H39" s="12">
        <v>3148.85</v>
      </c>
      <c r="I39" s="12">
        <v>0</v>
      </c>
      <c r="J39" s="12">
        <v>0</v>
      </c>
      <c r="K39" s="12">
        <v>65</v>
      </c>
      <c r="L39" s="31">
        <v>3148.85</v>
      </c>
      <c r="M39" s="13"/>
      <c r="O39" s="12">
        <f>+SUMIF(Zvf51!$A$2:$A$186,gc!$B39,Zvf51!$Q$2:$Q$186)</f>
        <v>65</v>
      </c>
      <c r="P39" s="18">
        <f>+SUMIF(Zvf51!$A$2:$A$186,gc!$B39,Zvf51!$AR$2:$AR$186)</f>
        <v>3148.85</v>
      </c>
      <c r="Q39" s="12">
        <f t="shared" si="9"/>
        <v>0</v>
      </c>
      <c r="R39" s="18">
        <f t="shared" si="10"/>
        <v>0</v>
      </c>
      <c r="T39" s="12">
        <f t="shared" si="11"/>
        <v>0</v>
      </c>
      <c r="U39" s="12">
        <f t="shared" si="12"/>
        <v>0</v>
      </c>
      <c r="V39" s="12">
        <f t="shared" si="13"/>
        <v>0</v>
      </c>
      <c r="W39" s="12">
        <f t="shared" si="14"/>
        <v>0</v>
      </c>
    </row>
    <row r="40" spans="1:23" ht="25.5" x14ac:dyDescent="0.2">
      <c r="A40" s="9">
        <v>36</v>
      </c>
      <c r="B40" s="10" t="s">
        <v>556</v>
      </c>
      <c r="C40" s="10" t="s">
        <v>570</v>
      </c>
      <c r="D40" s="11" t="s">
        <v>26</v>
      </c>
      <c r="E40" s="12">
        <v>0</v>
      </c>
      <c r="F40" s="12">
        <v>0</v>
      </c>
      <c r="G40" s="12">
        <v>62</v>
      </c>
      <c r="H40" s="12">
        <v>2851.64</v>
      </c>
      <c r="I40" s="12">
        <v>0</v>
      </c>
      <c r="J40" s="12">
        <v>0</v>
      </c>
      <c r="K40" s="12">
        <v>62</v>
      </c>
      <c r="L40" s="31">
        <v>2851.64</v>
      </c>
      <c r="M40" s="13"/>
      <c r="O40" s="12">
        <f>+SUMIF(Zvf51!$A$2:$A$186,gc!$B40,Zvf51!$Q$2:$Q$186)</f>
        <v>62</v>
      </c>
      <c r="P40" s="18">
        <f>+SUMIF(Zvf51!$A$2:$A$186,gc!$B40,Zvf51!$AR$2:$AR$186)</f>
        <v>2851.63</v>
      </c>
      <c r="Q40" s="12">
        <f t="shared" si="9"/>
        <v>0</v>
      </c>
      <c r="R40" s="18">
        <f t="shared" si="10"/>
        <v>0</v>
      </c>
      <c r="T40" s="12">
        <f t="shared" si="11"/>
        <v>0</v>
      </c>
      <c r="U40" s="12">
        <f t="shared" si="12"/>
        <v>-9.9999999997635314E-3</v>
      </c>
      <c r="V40" s="12">
        <f t="shared" si="13"/>
        <v>0</v>
      </c>
      <c r="W40" s="12">
        <f t="shared" si="14"/>
        <v>0</v>
      </c>
    </row>
    <row r="41" spans="1:23" ht="25.5" x14ac:dyDescent="0.2">
      <c r="A41" s="9">
        <v>37</v>
      </c>
      <c r="B41" s="10" t="s">
        <v>523</v>
      </c>
      <c r="C41" s="10" t="s">
        <v>548</v>
      </c>
      <c r="D41" s="11" t="s">
        <v>26</v>
      </c>
      <c r="E41" s="12">
        <v>0</v>
      </c>
      <c r="F41" s="12">
        <v>0</v>
      </c>
      <c r="G41" s="12">
        <v>22</v>
      </c>
      <c r="H41" s="12">
        <v>1133.6300000000001</v>
      </c>
      <c r="I41" s="12">
        <v>0</v>
      </c>
      <c r="J41" s="12">
        <v>0</v>
      </c>
      <c r="K41" s="12">
        <v>22</v>
      </c>
      <c r="L41" s="31">
        <v>1133.6300000000001</v>
      </c>
      <c r="M41" s="13"/>
      <c r="O41" s="12">
        <f>+SUMIF(Zvf51!$A$2:$A$186,gc!$B41,Zvf51!$Q$2:$Q$186)</f>
        <v>22</v>
      </c>
      <c r="P41" s="18">
        <f>+SUMIF(Zvf51!$A$2:$A$186,gc!$B41,Zvf51!$AR$2:$AR$186)</f>
        <v>1133.6300000000001</v>
      </c>
      <c r="Q41" s="12">
        <f t="shared" si="9"/>
        <v>0</v>
      </c>
      <c r="R41" s="18">
        <f t="shared" si="10"/>
        <v>0</v>
      </c>
      <c r="T41" s="12">
        <f t="shared" si="11"/>
        <v>0</v>
      </c>
      <c r="U41" s="12">
        <f t="shared" si="12"/>
        <v>0</v>
      </c>
      <c r="V41" s="12">
        <f t="shared" si="13"/>
        <v>0</v>
      </c>
      <c r="W41" s="12">
        <f t="shared" si="14"/>
        <v>0</v>
      </c>
    </row>
    <row r="42" spans="1:23" ht="25.5" x14ac:dyDescent="0.2">
      <c r="A42" s="9">
        <v>38</v>
      </c>
      <c r="B42" s="10" t="s">
        <v>525</v>
      </c>
      <c r="C42" s="10" t="s">
        <v>549</v>
      </c>
      <c r="D42" s="11" t="s">
        <v>26</v>
      </c>
      <c r="E42" s="12">
        <v>59</v>
      </c>
      <c r="F42" s="12">
        <v>3119.53</v>
      </c>
      <c r="G42" s="12">
        <v>46</v>
      </c>
      <c r="H42" s="12">
        <v>2426.1</v>
      </c>
      <c r="I42" s="12">
        <v>59</v>
      </c>
      <c r="J42" s="12">
        <v>3119.53</v>
      </c>
      <c r="K42" s="12">
        <v>46</v>
      </c>
      <c r="L42" s="31">
        <v>2426.1</v>
      </c>
      <c r="M42" s="13"/>
      <c r="O42" s="12">
        <f>+SUMIF(Zvf51!$A$2:$A$186,gc!$B42,Zvf51!$Q$2:$Q$186)</f>
        <v>46</v>
      </c>
      <c r="P42" s="18">
        <f>+SUMIF(Zvf51!$A$2:$A$186,gc!$B42,Zvf51!$AR$2:$AR$186)</f>
        <v>2426.1</v>
      </c>
      <c r="Q42" s="12">
        <f t="shared" si="9"/>
        <v>59</v>
      </c>
      <c r="R42" s="18">
        <f t="shared" si="10"/>
        <v>3119.53</v>
      </c>
      <c r="T42" s="12">
        <f t="shared" si="11"/>
        <v>0</v>
      </c>
      <c r="U42" s="12">
        <f t="shared" si="12"/>
        <v>0</v>
      </c>
      <c r="V42" s="12">
        <f t="shared" si="13"/>
        <v>0</v>
      </c>
      <c r="W42" s="12">
        <f t="shared" si="14"/>
        <v>0</v>
      </c>
    </row>
    <row r="43" spans="1:23" ht="25.5" x14ac:dyDescent="0.2">
      <c r="A43" s="9">
        <v>39</v>
      </c>
      <c r="B43" s="10" t="s">
        <v>558</v>
      </c>
      <c r="C43" s="10" t="s">
        <v>571</v>
      </c>
      <c r="D43" s="11" t="s">
        <v>26</v>
      </c>
      <c r="E43" s="12">
        <v>0</v>
      </c>
      <c r="F43" s="12">
        <v>0</v>
      </c>
      <c r="G43" s="12">
        <v>3</v>
      </c>
      <c r="H43" s="12">
        <v>151.9</v>
      </c>
      <c r="I43" s="12">
        <v>0</v>
      </c>
      <c r="J43" s="12">
        <v>0</v>
      </c>
      <c r="K43" s="12">
        <v>3</v>
      </c>
      <c r="L43" s="31">
        <v>151.9</v>
      </c>
      <c r="M43" s="13"/>
      <c r="O43" s="12">
        <f>+SUMIF(Zvf51!$A$2:$A$186,gc!$B43,Zvf51!$Q$2:$Q$186)</f>
        <v>3</v>
      </c>
      <c r="P43" s="18">
        <f>+SUMIF(Zvf51!$A$2:$A$186,gc!$B43,Zvf51!$AR$2:$AR$186)</f>
        <v>151.9</v>
      </c>
      <c r="Q43" s="12">
        <f t="shared" si="9"/>
        <v>0</v>
      </c>
      <c r="R43" s="18">
        <f t="shared" si="10"/>
        <v>0</v>
      </c>
      <c r="T43" s="12">
        <f t="shared" si="11"/>
        <v>0</v>
      </c>
      <c r="U43" s="12">
        <f t="shared" si="12"/>
        <v>0</v>
      </c>
      <c r="V43" s="12">
        <f t="shared" si="13"/>
        <v>0</v>
      </c>
      <c r="W43" s="12">
        <f t="shared" si="14"/>
        <v>0</v>
      </c>
    </row>
    <row r="44" spans="1:23" x14ac:dyDescent="0.2">
      <c r="A44" s="9">
        <v>40</v>
      </c>
      <c r="B44" s="10" t="s">
        <v>106</v>
      </c>
      <c r="C44" s="10" t="s">
        <v>107</v>
      </c>
      <c r="D44" s="11" t="s">
        <v>26</v>
      </c>
      <c r="E44" s="12">
        <v>310</v>
      </c>
      <c r="F44" s="12">
        <v>13238.31</v>
      </c>
      <c r="G44" s="12">
        <v>0</v>
      </c>
      <c r="H44" s="12">
        <v>0</v>
      </c>
      <c r="I44" s="12">
        <v>310</v>
      </c>
      <c r="J44" s="12">
        <v>13238.31</v>
      </c>
      <c r="K44" s="12">
        <v>0</v>
      </c>
      <c r="L44" s="31">
        <v>0</v>
      </c>
      <c r="M44" s="13"/>
      <c r="O44" s="12">
        <f>+SUMIF(Zvf51!$A$2:$A$186,gc!$B44,Zvf51!$Q$2:$Q$186)</f>
        <v>0</v>
      </c>
      <c r="P44" s="18">
        <f>+SUMIF(Zvf51!$A$2:$A$186,gc!$B44,Zvf51!$AR$2:$AR$186)</f>
        <v>0</v>
      </c>
      <c r="Q44" s="12">
        <f t="shared" si="9"/>
        <v>310</v>
      </c>
      <c r="R44" s="18">
        <f t="shared" si="10"/>
        <v>13238.31</v>
      </c>
      <c r="T44" s="12">
        <f t="shared" si="11"/>
        <v>0</v>
      </c>
      <c r="U44" s="12">
        <f t="shared" si="12"/>
        <v>0</v>
      </c>
      <c r="V44" s="12">
        <f t="shared" si="13"/>
        <v>0</v>
      </c>
      <c r="W44" s="12">
        <f t="shared" si="14"/>
        <v>0</v>
      </c>
    </row>
    <row r="45" spans="1:23" ht="25.5" x14ac:dyDescent="0.2">
      <c r="A45" s="9">
        <v>41</v>
      </c>
      <c r="B45" s="10" t="s">
        <v>356</v>
      </c>
      <c r="C45" s="10" t="s">
        <v>550</v>
      </c>
      <c r="D45" s="11" t="s">
        <v>26</v>
      </c>
      <c r="E45" s="12">
        <v>639</v>
      </c>
      <c r="F45" s="12">
        <v>30192.04</v>
      </c>
      <c r="G45" s="12">
        <v>0</v>
      </c>
      <c r="H45" s="12">
        <v>0</v>
      </c>
      <c r="I45" s="12">
        <v>639</v>
      </c>
      <c r="J45" s="12">
        <v>30192.04</v>
      </c>
      <c r="K45" s="12">
        <v>0</v>
      </c>
      <c r="L45" s="31">
        <v>0</v>
      </c>
      <c r="M45" s="13"/>
      <c r="O45" s="12">
        <f>+SUMIF(Zvf51!$A$2:$A$186,gc!$B45,Zvf51!$Q$2:$Q$186)</f>
        <v>0</v>
      </c>
      <c r="P45" s="18">
        <f>+SUMIF(Zvf51!$A$2:$A$186,gc!$B45,Zvf51!$AR$2:$AR$186)</f>
        <v>0</v>
      </c>
      <c r="Q45" s="12">
        <f t="shared" si="9"/>
        <v>639</v>
      </c>
      <c r="R45" s="18">
        <f t="shared" si="10"/>
        <v>30192.04</v>
      </c>
      <c r="T45" s="12">
        <f t="shared" si="11"/>
        <v>0</v>
      </c>
      <c r="U45" s="12">
        <f t="shared" si="12"/>
        <v>0</v>
      </c>
      <c r="V45" s="12">
        <f t="shared" si="13"/>
        <v>0</v>
      </c>
      <c r="W45" s="12">
        <f t="shared" si="14"/>
        <v>0</v>
      </c>
    </row>
    <row r="46" spans="1:23" ht="12.75" customHeight="1" x14ac:dyDescent="0.2">
      <c r="A46" s="9">
        <v>42</v>
      </c>
      <c r="B46" s="10" t="s">
        <v>112</v>
      </c>
      <c r="C46" s="10" t="s">
        <v>113</v>
      </c>
      <c r="D46" s="11" t="s">
        <v>26</v>
      </c>
      <c r="E46" s="12">
        <v>155</v>
      </c>
      <c r="F46" s="12">
        <v>6191.58</v>
      </c>
      <c r="G46" s="12">
        <v>0</v>
      </c>
      <c r="H46" s="12">
        <v>0</v>
      </c>
      <c r="I46" s="12">
        <v>155</v>
      </c>
      <c r="J46" s="12">
        <v>6191.58</v>
      </c>
      <c r="K46" s="12">
        <v>0</v>
      </c>
      <c r="L46" s="31">
        <v>0</v>
      </c>
      <c r="M46" s="13"/>
      <c r="O46" s="12">
        <f>+SUMIF(Zvf51!$A$2:$A$186,gc!$B46,Zvf51!$Q$2:$Q$186)</f>
        <v>0</v>
      </c>
      <c r="P46" s="18">
        <f>+SUMIF(Zvf51!$A$2:$A$186,gc!$B46,Zvf51!$AR$2:$AR$186)</f>
        <v>0</v>
      </c>
      <c r="Q46" s="12">
        <f t="shared" si="9"/>
        <v>155</v>
      </c>
      <c r="R46" s="18">
        <f t="shared" si="10"/>
        <v>6191.58</v>
      </c>
      <c r="T46" s="12">
        <f t="shared" si="11"/>
        <v>0</v>
      </c>
      <c r="U46" s="12">
        <f t="shared" si="12"/>
        <v>0</v>
      </c>
      <c r="V46" s="12">
        <f t="shared" si="13"/>
        <v>0</v>
      </c>
      <c r="W46" s="12">
        <f t="shared" si="14"/>
        <v>0</v>
      </c>
    </row>
    <row r="47" spans="1:23" ht="25.5" x14ac:dyDescent="0.2">
      <c r="A47" s="9">
        <v>43</v>
      </c>
      <c r="B47" s="10" t="s">
        <v>114</v>
      </c>
      <c r="C47" s="10" t="s">
        <v>115</v>
      </c>
      <c r="D47" s="11" t="s">
        <v>26</v>
      </c>
      <c r="E47" s="12">
        <v>751</v>
      </c>
      <c r="F47" s="12">
        <v>27825.56</v>
      </c>
      <c r="G47" s="12">
        <v>265</v>
      </c>
      <c r="H47" s="12">
        <v>9358.85</v>
      </c>
      <c r="I47" s="12">
        <v>751</v>
      </c>
      <c r="J47" s="12">
        <v>27825.56</v>
      </c>
      <c r="K47" s="12">
        <v>265</v>
      </c>
      <c r="L47" s="31">
        <v>9358.85</v>
      </c>
      <c r="M47" s="13"/>
      <c r="O47" s="12">
        <f>+SUMIF(Zvf51!$A$2:$A$186,gc!$B47,Zvf51!$Q$2:$Q$186)</f>
        <v>265</v>
      </c>
      <c r="P47" s="18">
        <f>+SUMIF(Zvf51!$A$2:$A$186,gc!$B47,Zvf51!$AR$2:$AR$186)</f>
        <v>9358.85</v>
      </c>
      <c r="Q47" s="12">
        <f t="shared" si="9"/>
        <v>751</v>
      </c>
      <c r="R47" s="18">
        <f t="shared" si="10"/>
        <v>27825.56</v>
      </c>
      <c r="T47" s="12">
        <f t="shared" si="11"/>
        <v>0</v>
      </c>
      <c r="U47" s="12">
        <f t="shared" si="12"/>
        <v>0</v>
      </c>
      <c r="V47" s="12">
        <f t="shared" si="13"/>
        <v>0</v>
      </c>
      <c r="W47" s="12">
        <f t="shared" si="14"/>
        <v>0</v>
      </c>
    </row>
    <row r="48" spans="1:23" ht="25.5" x14ac:dyDescent="0.2">
      <c r="A48" s="9">
        <v>44</v>
      </c>
      <c r="B48" s="10" t="s">
        <v>361</v>
      </c>
      <c r="C48" s="10" t="s">
        <v>551</v>
      </c>
      <c r="D48" s="11" t="s">
        <v>26</v>
      </c>
      <c r="E48" s="12">
        <v>74</v>
      </c>
      <c r="F48" s="12">
        <v>3197.92</v>
      </c>
      <c r="G48" s="12">
        <v>0</v>
      </c>
      <c r="H48" s="12">
        <v>0</v>
      </c>
      <c r="I48" s="12">
        <v>74</v>
      </c>
      <c r="J48" s="12">
        <v>3197.92</v>
      </c>
      <c r="K48" s="12">
        <v>0</v>
      </c>
      <c r="L48" s="31">
        <v>0</v>
      </c>
      <c r="M48" s="13"/>
      <c r="O48" s="12">
        <f>+SUMIF(Zvf51!$A$2:$A$186,gc!$B48,Zvf51!$Q$2:$Q$186)</f>
        <v>0</v>
      </c>
      <c r="P48" s="18">
        <f>+SUMIF(Zvf51!$A$2:$A$186,gc!$B48,Zvf51!$AR$2:$AR$186)</f>
        <v>0</v>
      </c>
      <c r="Q48" s="12">
        <f t="shared" si="9"/>
        <v>74</v>
      </c>
      <c r="R48" s="18">
        <f t="shared" si="10"/>
        <v>3197.92</v>
      </c>
      <c r="T48" s="12">
        <f t="shared" si="11"/>
        <v>0</v>
      </c>
      <c r="U48" s="12">
        <f t="shared" si="12"/>
        <v>0</v>
      </c>
      <c r="V48" s="12">
        <f t="shared" si="13"/>
        <v>0</v>
      </c>
      <c r="W48" s="12">
        <f t="shared" si="14"/>
        <v>0</v>
      </c>
    </row>
    <row r="49" spans="1:23" ht="25.5" x14ac:dyDescent="0.2">
      <c r="A49" s="9">
        <v>45</v>
      </c>
      <c r="B49" s="10" t="s">
        <v>118</v>
      </c>
      <c r="C49" s="10" t="s">
        <v>541</v>
      </c>
      <c r="D49" s="11" t="s">
        <v>26</v>
      </c>
      <c r="E49" s="12">
        <v>220</v>
      </c>
      <c r="F49" s="12">
        <v>9062.69</v>
      </c>
      <c r="G49" s="12">
        <v>0</v>
      </c>
      <c r="H49" s="12">
        <v>0</v>
      </c>
      <c r="I49" s="12">
        <v>220</v>
      </c>
      <c r="J49" s="12">
        <v>9062.69</v>
      </c>
      <c r="K49" s="12">
        <v>0</v>
      </c>
      <c r="L49" s="31">
        <v>0</v>
      </c>
      <c r="M49" s="13"/>
      <c r="O49" s="12">
        <f>+SUMIF(Zvf51!$A$2:$A$186,gc!$B49,Zvf51!$Q$2:$Q$186)</f>
        <v>0</v>
      </c>
      <c r="P49" s="18">
        <f>+SUMIF(Zvf51!$A$2:$A$186,gc!$B49,Zvf51!$AR$2:$AR$186)</f>
        <v>0</v>
      </c>
      <c r="Q49" s="12">
        <f t="shared" si="9"/>
        <v>220</v>
      </c>
      <c r="R49" s="18">
        <f t="shared" si="10"/>
        <v>9062.69</v>
      </c>
      <c r="T49" s="12">
        <f t="shared" si="11"/>
        <v>0</v>
      </c>
      <c r="U49" s="12">
        <f t="shared" si="12"/>
        <v>0</v>
      </c>
      <c r="V49" s="12">
        <f t="shared" si="13"/>
        <v>0</v>
      </c>
      <c r="W49" s="12">
        <f t="shared" si="14"/>
        <v>0</v>
      </c>
    </row>
    <row r="50" spans="1:23" x14ac:dyDescent="0.2">
      <c r="A50" s="9">
        <v>46</v>
      </c>
      <c r="B50" s="10" t="s">
        <v>373</v>
      </c>
      <c r="C50" s="10" t="s">
        <v>379</v>
      </c>
      <c r="D50" s="11" t="s">
        <v>26</v>
      </c>
      <c r="E50" s="12">
        <v>400</v>
      </c>
      <c r="F50" s="12">
        <v>19670.38</v>
      </c>
      <c r="G50" s="12">
        <v>0</v>
      </c>
      <c r="H50" s="12">
        <v>0</v>
      </c>
      <c r="I50" s="12">
        <v>400</v>
      </c>
      <c r="J50" s="12">
        <v>19670.38</v>
      </c>
      <c r="K50" s="12">
        <v>0</v>
      </c>
      <c r="L50" s="31">
        <v>0</v>
      </c>
      <c r="M50" s="13"/>
      <c r="O50" s="12">
        <f>+SUMIF(Zvf51!$A$2:$A$186,gc!$B50,Zvf51!$Q$2:$Q$186)</f>
        <v>0</v>
      </c>
      <c r="P50" s="18">
        <f>+SUMIF(Zvf51!$A$2:$A$186,gc!$B50,Zvf51!$AR$2:$AR$186)</f>
        <v>0</v>
      </c>
      <c r="Q50" s="12">
        <f t="shared" si="9"/>
        <v>400</v>
      </c>
      <c r="R50" s="18">
        <f t="shared" si="10"/>
        <v>19670.38</v>
      </c>
      <c r="T50" s="12">
        <f t="shared" si="11"/>
        <v>0</v>
      </c>
      <c r="U50" s="12">
        <f t="shared" si="12"/>
        <v>0</v>
      </c>
      <c r="V50" s="12">
        <f t="shared" si="13"/>
        <v>0</v>
      </c>
      <c r="W50" s="12">
        <f t="shared" si="14"/>
        <v>0</v>
      </c>
    </row>
    <row r="51" spans="1:23" ht="25.5" x14ac:dyDescent="0.2">
      <c r="A51" s="9">
        <v>47</v>
      </c>
      <c r="B51" s="10" t="s">
        <v>123</v>
      </c>
      <c r="C51" s="10" t="s">
        <v>124</v>
      </c>
      <c r="D51" s="11" t="s">
        <v>26</v>
      </c>
      <c r="E51" s="12">
        <v>1211</v>
      </c>
      <c r="F51" s="12">
        <v>57151.08</v>
      </c>
      <c r="G51" s="12">
        <v>0</v>
      </c>
      <c r="H51" s="12">
        <v>0</v>
      </c>
      <c r="I51" s="12">
        <v>1211</v>
      </c>
      <c r="J51" s="12">
        <v>57151.08</v>
      </c>
      <c r="K51" s="12">
        <v>0</v>
      </c>
      <c r="L51" s="31">
        <v>0</v>
      </c>
      <c r="M51" s="13"/>
      <c r="O51" s="12">
        <f>+SUMIF(Zvf51!$A$2:$A$186,gc!$B51,Zvf51!$Q$2:$Q$186)</f>
        <v>0</v>
      </c>
      <c r="P51" s="18">
        <f>+SUMIF(Zvf51!$A$2:$A$186,gc!$B51,Zvf51!$AR$2:$AR$186)</f>
        <v>0</v>
      </c>
      <c r="Q51" s="12">
        <f t="shared" si="9"/>
        <v>1211</v>
      </c>
      <c r="R51" s="18">
        <f t="shared" si="10"/>
        <v>57151.08</v>
      </c>
      <c r="T51" s="12">
        <f t="shared" si="11"/>
        <v>0</v>
      </c>
      <c r="U51" s="12">
        <f t="shared" si="12"/>
        <v>0</v>
      </c>
      <c r="V51" s="12">
        <f t="shared" si="13"/>
        <v>0</v>
      </c>
      <c r="W51" s="12">
        <f t="shared" si="14"/>
        <v>0</v>
      </c>
    </row>
    <row r="52" spans="1:23" ht="25.5" x14ac:dyDescent="0.2">
      <c r="A52" s="9">
        <v>48</v>
      </c>
      <c r="B52" s="10" t="s">
        <v>425</v>
      </c>
      <c r="C52" s="10" t="s">
        <v>440</v>
      </c>
      <c r="D52" s="11" t="s">
        <v>26</v>
      </c>
      <c r="E52" s="12">
        <v>0</v>
      </c>
      <c r="F52" s="12">
        <v>0</v>
      </c>
      <c r="G52" s="12">
        <v>165</v>
      </c>
      <c r="H52" s="12">
        <v>7827.5</v>
      </c>
      <c r="I52" s="12">
        <v>0</v>
      </c>
      <c r="J52" s="12">
        <v>0</v>
      </c>
      <c r="K52" s="12">
        <v>165</v>
      </c>
      <c r="L52" s="31">
        <v>7827.5</v>
      </c>
      <c r="M52" s="13"/>
      <c r="O52" s="12">
        <f>+SUMIF(Zvf51!$A$2:$A$186,gc!$B52,Zvf51!$Q$2:$Q$186)</f>
        <v>165</v>
      </c>
      <c r="P52" s="18">
        <f>+SUMIF(Zvf51!$A$2:$A$186,gc!$B52,Zvf51!$AR$2:$AR$186)</f>
        <v>7827.5</v>
      </c>
      <c r="Q52" s="12">
        <f t="shared" si="9"/>
        <v>0</v>
      </c>
      <c r="R52" s="18">
        <f t="shared" si="10"/>
        <v>0</v>
      </c>
      <c r="T52" s="12">
        <f t="shared" si="11"/>
        <v>0</v>
      </c>
      <c r="U52" s="12">
        <f t="shared" si="12"/>
        <v>0</v>
      </c>
      <c r="V52" s="12">
        <f t="shared" si="13"/>
        <v>0</v>
      </c>
      <c r="W52" s="12">
        <f t="shared" si="14"/>
        <v>0</v>
      </c>
    </row>
    <row r="53" spans="1:23" x14ac:dyDescent="0.2">
      <c r="A53" s="9">
        <v>49</v>
      </c>
      <c r="B53" s="10" t="s">
        <v>427</v>
      </c>
      <c r="C53" s="10" t="s">
        <v>441</v>
      </c>
      <c r="D53" s="11" t="s">
        <v>26</v>
      </c>
      <c r="E53" s="12">
        <v>80</v>
      </c>
      <c r="F53" s="12">
        <v>3351.93</v>
      </c>
      <c r="G53" s="12">
        <v>0</v>
      </c>
      <c r="H53" s="12">
        <v>0</v>
      </c>
      <c r="I53" s="12">
        <v>80</v>
      </c>
      <c r="J53" s="12">
        <v>3351.93</v>
      </c>
      <c r="K53" s="12">
        <v>0</v>
      </c>
      <c r="L53" s="31">
        <v>0</v>
      </c>
      <c r="M53" s="13"/>
      <c r="O53" s="12">
        <f>+SUMIF(Zvf51!$A$2:$A$186,gc!$B53,Zvf51!$Q$2:$Q$186)</f>
        <v>0</v>
      </c>
      <c r="P53" s="18">
        <f>+SUMIF(Zvf51!$A$2:$A$186,gc!$B53,Zvf51!$AR$2:$AR$186)</f>
        <v>0</v>
      </c>
      <c r="Q53" s="12">
        <f t="shared" si="9"/>
        <v>80</v>
      </c>
      <c r="R53" s="18">
        <f t="shared" si="10"/>
        <v>3351.93</v>
      </c>
      <c r="T53" s="12">
        <f t="shared" si="11"/>
        <v>0</v>
      </c>
      <c r="U53" s="12">
        <f t="shared" si="12"/>
        <v>0</v>
      </c>
      <c r="V53" s="12">
        <f t="shared" si="13"/>
        <v>0</v>
      </c>
      <c r="W53" s="12">
        <f t="shared" si="14"/>
        <v>0</v>
      </c>
    </row>
    <row r="54" spans="1:23" x14ac:dyDescent="0.2">
      <c r="A54" s="9">
        <v>50</v>
      </c>
      <c r="B54" s="10" t="s">
        <v>429</v>
      </c>
      <c r="C54" s="10" t="s">
        <v>442</v>
      </c>
      <c r="D54" s="11" t="s">
        <v>26</v>
      </c>
      <c r="E54" s="12">
        <v>550</v>
      </c>
      <c r="F54" s="12">
        <v>22517.01</v>
      </c>
      <c r="G54" s="12">
        <v>0</v>
      </c>
      <c r="H54" s="12">
        <v>0</v>
      </c>
      <c r="I54" s="12">
        <v>550</v>
      </c>
      <c r="J54" s="12">
        <v>22517.01</v>
      </c>
      <c r="K54" s="12">
        <v>0</v>
      </c>
      <c r="L54" s="31">
        <v>0</v>
      </c>
      <c r="M54" s="13"/>
      <c r="O54" s="12">
        <f>+SUMIF(Zvf51!$A$2:$A$186,gc!$B54,Zvf51!$Q$2:$Q$186)</f>
        <v>0</v>
      </c>
      <c r="P54" s="18">
        <f>+SUMIF(Zvf51!$A$2:$A$186,gc!$B54,Zvf51!$AR$2:$AR$186)</f>
        <v>0</v>
      </c>
      <c r="Q54" s="12">
        <f t="shared" si="9"/>
        <v>550</v>
      </c>
      <c r="R54" s="18">
        <f t="shared" si="10"/>
        <v>22517.01</v>
      </c>
      <c r="T54" s="12">
        <f t="shared" si="11"/>
        <v>0</v>
      </c>
      <c r="U54" s="12">
        <f t="shared" si="12"/>
        <v>0</v>
      </c>
      <c r="V54" s="12">
        <f t="shared" si="13"/>
        <v>0</v>
      </c>
      <c r="W54" s="12">
        <f t="shared" si="14"/>
        <v>0</v>
      </c>
    </row>
    <row r="55" spans="1:23" ht="25.5" x14ac:dyDescent="0.2">
      <c r="A55" s="9">
        <v>51</v>
      </c>
      <c r="B55" s="10" t="s">
        <v>527</v>
      </c>
      <c r="C55" s="10" t="s">
        <v>579</v>
      </c>
      <c r="D55" s="11" t="s">
        <v>26</v>
      </c>
      <c r="E55" s="12">
        <v>0</v>
      </c>
      <c r="F55" s="12">
        <v>0</v>
      </c>
      <c r="G55" s="12">
        <v>795</v>
      </c>
      <c r="H55" s="12">
        <v>36802.17</v>
      </c>
      <c r="I55" s="12">
        <v>0</v>
      </c>
      <c r="J55" s="12">
        <v>0</v>
      </c>
      <c r="K55" s="12">
        <v>795</v>
      </c>
      <c r="L55" s="31">
        <v>36802.17</v>
      </c>
      <c r="M55" s="13"/>
      <c r="O55" s="12">
        <f>+SUMIF(Zvf51!$A$2:$A$186,gc!$B55,Zvf51!$Q$2:$Q$186)</f>
        <v>795</v>
      </c>
      <c r="P55" s="18">
        <f>+SUMIF(Zvf51!$A$2:$A$186,gc!$B55,Zvf51!$AR$2:$AR$186)</f>
        <v>36802.18</v>
      </c>
      <c r="Q55" s="12">
        <f t="shared" si="9"/>
        <v>0</v>
      </c>
      <c r="R55" s="18">
        <f t="shared" si="10"/>
        <v>0</v>
      </c>
      <c r="T55" s="12">
        <f t="shared" si="11"/>
        <v>0</v>
      </c>
      <c r="U55" s="12">
        <f t="shared" si="12"/>
        <v>1.0000000002037268E-2</v>
      </c>
      <c r="V55" s="12">
        <f t="shared" si="13"/>
        <v>0</v>
      </c>
      <c r="W55" s="12">
        <f t="shared" si="14"/>
        <v>0</v>
      </c>
    </row>
    <row r="56" spans="1:23" ht="25.5" x14ac:dyDescent="0.2">
      <c r="A56" s="9">
        <v>52</v>
      </c>
      <c r="B56" s="10" t="s">
        <v>489</v>
      </c>
      <c r="C56" s="10" t="s">
        <v>490</v>
      </c>
      <c r="D56" s="11" t="s">
        <v>26</v>
      </c>
      <c r="E56" s="12">
        <v>0</v>
      </c>
      <c r="F56" s="12">
        <v>0</v>
      </c>
      <c r="G56" s="12">
        <v>1350</v>
      </c>
      <c r="H56" s="12">
        <v>51745.52</v>
      </c>
      <c r="I56" s="12">
        <v>0</v>
      </c>
      <c r="J56" s="12">
        <v>0</v>
      </c>
      <c r="K56" s="12">
        <v>1350</v>
      </c>
      <c r="L56" s="31">
        <v>51745.52</v>
      </c>
      <c r="M56" s="13"/>
      <c r="O56" s="12">
        <f>+SUMIF(Zvf51!$A$2:$A$186,gc!$B56,Zvf51!$Q$2:$Q$186)</f>
        <v>1350</v>
      </c>
      <c r="P56" s="18">
        <f>+SUMIF(Zvf51!$A$2:$A$186,gc!$B56,Zvf51!$AR$2:$AR$186)</f>
        <v>51745.52</v>
      </c>
      <c r="Q56" s="12">
        <f t="shared" si="9"/>
        <v>0</v>
      </c>
      <c r="R56" s="18">
        <f t="shared" si="10"/>
        <v>0</v>
      </c>
      <c r="T56" s="12">
        <f t="shared" si="11"/>
        <v>0</v>
      </c>
      <c r="U56" s="12">
        <f t="shared" si="12"/>
        <v>0</v>
      </c>
      <c r="V56" s="12">
        <f t="shared" si="13"/>
        <v>0</v>
      </c>
      <c r="W56" s="12">
        <f t="shared" si="14"/>
        <v>0</v>
      </c>
    </row>
    <row r="57" spans="1:23" ht="25.5" x14ac:dyDescent="0.2">
      <c r="A57" s="9">
        <v>53</v>
      </c>
      <c r="B57" s="10" t="s">
        <v>529</v>
      </c>
      <c r="C57" s="10" t="s">
        <v>552</v>
      </c>
      <c r="D57" s="11" t="s">
        <v>26</v>
      </c>
      <c r="E57" s="12">
        <v>819</v>
      </c>
      <c r="F57" s="12">
        <v>32870.639999999999</v>
      </c>
      <c r="G57" s="12">
        <v>819</v>
      </c>
      <c r="H57" s="12">
        <v>28760.12</v>
      </c>
      <c r="I57" s="12">
        <v>819</v>
      </c>
      <c r="J57" s="12">
        <v>32870.629999999997</v>
      </c>
      <c r="K57" s="12">
        <v>819</v>
      </c>
      <c r="L57" s="31">
        <v>28760.13</v>
      </c>
      <c r="M57" s="13"/>
      <c r="O57" s="12">
        <f>+SUMIF(Zvf51!$A$2:$A$186,gc!$B57,Zvf51!$Q$2:$Q$186)</f>
        <v>819</v>
      </c>
      <c r="P57" s="18">
        <f>+SUMIF(Zvf51!$A$2:$A$186,gc!$B57,Zvf51!$AR$2:$AR$186)</f>
        <v>28760.12</v>
      </c>
      <c r="Q57" s="12">
        <f t="shared" si="9"/>
        <v>819</v>
      </c>
      <c r="R57" s="18">
        <f t="shared" si="10"/>
        <v>32870.639999999999</v>
      </c>
      <c r="T57" s="12">
        <f t="shared" si="11"/>
        <v>0</v>
      </c>
      <c r="U57" s="12">
        <f t="shared" si="12"/>
        <v>0</v>
      </c>
      <c r="V57" s="12">
        <f t="shared" si="13"/>
        <v>0</v>
      </c>
      <c r="W57" s="12">
        <f t="shared" si="14"/>
        <v>1.0000000002037268E-2</v>
      </c>
    </row>
    <row r="58" spans="1:23" ht="25.5" x14ac:dyDescent="0.2">
      <c r="A58" s="9">
        <v>54</v>
      </c>
      <c r="B58" s="10" t="s">
        <v>531</v>
      </c>
      <c r="C58" s="10" t="s">
        <v>566</v>
      </c>
      <c r="D58" s="11" t="s">
        <v>26</v>
      </c>
      <c r="E58" s="12">
        <v>0</v>
      </c>
      <c r="F58" s="12">
        <v>0</v>
      </c>
      <c r="G58" s="12">
        <v>292</v>
      </c>
      <c r="H58" s="12">
        <v>10997.46</v>
      </c>
      <c r="I58" s="12">
        <v>0</v>
      </c>
      <c r="J58" s="12">
        <v>0</v>
      </c>
      <c r="K58" s="12">
        <v>292</v>
      </c>
      <c r="L58" s="31">
        <v>10997.46</v>
      </c>
      <c r="M58" s="13"/>
      <c r="O58" s="12">
        <f>+SUMIF(Zvf51!$A$2:$A$186,gc!$B58,Zvf51!$Q$2:$Q$186)</f>
        <v>292</v>
      </c>
      <c r="P58" s="18">
        <f>+SUMIF(Zvf51!$A$2:$A$186,gc!$B58,Zvf51!$AR$2:$AR$186)</f>
        <v>10997.46</v>
      </c>
      <c r="Q58" s="12">
        <f t="shared" si="9"/>
        <v>0</v>
      </c>
      <c r="R58" s="18">
        <f t="shared" si="10"/>
        <v>0</v>
      </c>
      <c r="T58" s="12">
        <f t="shared" si="11"/>
        <v>0</v>
      </c>
      <c r="U58" s="12">
        <f t="shared" si="12"/>
        <v>0</v>
      </c>
      <c r="V58" s="12">
        <f t="shared" si="13"/>
        <v>0</v>
      </c>
      <c r="W58" s="12">
        <f t="shared" si="14"/>
        <v>0</v>
      </c>
    </row>
    <row r="59" spans="1:23" ht="25.5" x14ac:dyDescent="0.2">
      <c r="A59" s="9">
        <v>55</v>
      </c>
      <c r="B59" s="10" t="s">
        <v>505</v>
      </c>
      <c r="C59" s="10" t="s">
        <v>595</v>
      </c>
      <c r="D59" s="11" t="s">
        <v>26</v>
      </c>
      <c r="E59" s="12">
        <v>0</v>
      </c>
      <c r="F59" s="12">
        <v>0</v>
      </c>
      <c r="G59" s="12">
        <v>1706</v>
      </c>
      <c r="H59" s="12">
        <v>63935.55</v>
      </c>
      <c r="I59" s="12">
        <v>0</v>
      </c>
      <c r="J59" s="12">
        <v>0</v>
      </c>
      <c r="K59" s="12">
        <v>1706</v>
      </c>
      <c r="L59" s="31">
        <v>63935.55</v>
      </c>
      <c r="M59" s="13"/>
      <c r="O59" s="12">
        <f>+SUMIF(Zvf51!$A$2:$A$186,gc!$B59,Zvf51!$Q$2:$Q$186)</f>
        <v>1706</v>
      </c>
      <c r="P59" s="18">
        <f>+SUMIF(Zvf51!$A$2:$A$186,gc!$B59,Zvf51!$AR$2:$AR$186)</f>
        <v>63935.55</v>
      </c>
      <c r="Q59" s="12">
        <f t="shared" si="9"/>
        <v>0</v>
      </c>
      <c r="R59" s="18">
        <f t="shared" si="10"/>
        <v>0</v>
      </c>
      <c r="T59" s="12">
        <f t="shared" si="11"/>
        <v>0</v>
      </c>
      <c r="U59" s="12">
        <f t="shared" si="12"/>
        <v>0</v>
      </c>
      <c r="V59" s="12">
        <f t="shared" si="13"/>
        <v>0</v>
      </c>
      <c r="W59" s="12">
        <f t="shared" si="14"/>
        <v>0</v>
      </c>
    </row>
    <row r="60" spans="1:23" ht="25.5" x14ac:dyDescent="0.2">
      <c r="A60" s="9">
        <v>56</v>
      </c>
      <c r="B60" s="10" t="s">
        <v>507</v>
      </c>
      <c r="C60" s="10" t="s">
        <v>553</v>
      </c>
      <c r="D60" s="11" t="s">
        <v>26</v>
      </c>
      <c r="E60" s="12">
        <v>561</v>
      </c>
      <c r="F60" s="12">
        <v>29162.33</v>
      </c>
      <c r="G60" s="12">
        <v>0</v>
      </c>
      <c r="H60" s="12">
        <v>0</v>
      </c>
      <c r="I60" s="12">
        <v>561</v>
      </c>
      <c r="J60" s="12">
        <v>29162.33</v>
      </c>
      <c r="K60" s="12">
        <v>0</v>
      </c>
      <c r="L60" s="31">
        <v>0</v>
      </c>
      <c r="M60" s="13"/>
      <c r="O60" s="12">
        <f>+SUMIF(Zvf51!$A$2:$A$186,gc!$B60,Zvf51!$Q$2:$Q$186)</f>
        <v>0</v>
      </c>
      <c r="P60" s="18">
        <f>+SUMIF(Zvf51!$A$2:$A$186,gc!$B60,Zvf51!$AR$2:$AR$186)</f>
        <v>0</v>
      </c>
      <c r="Q60" s="12">
        <f t="shared" si="9"/>
        <v>561</v>
      </c>
      <c r="R60" s="18">
        <f t="shared" si="10"/>
        <v>29162.33</v>
      </c>
      <c r="T60" s="12">
        <f t="shared" si="11"/>
        <v>0</v>
      </c>
      <c r="U60" s="12">
        <f t="shared" si="12"/>
        <v>0</v>
      </c>
      <c r="V60" s="12">
        <f t="shared" si="13"/>
        <v>0</v>
      </c>
      <c r="W60" s="12">
        <f t="shared" si="14"/>
        <v>0</v>
      </c>
    </row>
    <row r="61" spans="1:23" ht="25.5" x14ac:dyDescent="0.2">
      <c r="A61" s="9">
        <v>57</v>
      </c>
      <c r="B61" s="10" t="s">
        <v>533</v>
      </c>
      <c r="C61" s="10" t="s">
        <v>554</v>
      </c>
      <c r="D61" s="11" t="s">
        <v>26</v>
      </c>
      <c r="E61" s="12">
        <v>741</v>
      </c>
      <c r="F61" s="12">
        <v>34197.61</v>
      </c>
      <c r="G61" s="12">
        <v>2743</v>
      </c>
      <c r="H61" s="12">
        <v>106743.75</v>
      </c>
      <c r="I61" s="12">
        <v>741</v>
      </c>
      <c r="J61" s="12">
        <v>34197.61</v>
      </c>
      <c r="K61" s="12">
        <v>2743</v>
      </c>
      <c r="L61" s="31">
        <v>106743.75</v>
      </c>
      <c r="M61" s="13"/>
      <c r="O61" s="12">
        <f>+SUMIF(Zvf51!$A$2:$A$186,gc!$B61,Zvf51!$Q$2:$Q$186)</f>
        <v>2743</v>
      </c>
      <c r="P61" s="18">
        <f>+SUMIF(Zvf51!$A$2:$A$186,gc!$B61,Zvf51!$AR$2:$AR$186)</f>
        <v>106743.74</v>
      </c>
      <c r="Q61" s="12">
        <f t="shared" si="9"/>
        <v>741</v>
      </c>
      <c r="R61" s="18">
        <f t="shared" si="10"/>
        <v>34197.61</v>
      </c>
      <c r="T61" s="12">
        <f t="shared" si="11"/>
        <v>0</v>
      </c>
      <c r="U61" s="12">
        <f t="shared" si="12"/>
        <v>-9.9999999947613105E-3</v>
      </c>
      <c r="V61" s="12">
        <f t="shared" si="13"/>
        <v>0</v>
      </c>
      <c r="W61" s="12">
        <f t="shared" si="14"/>
        <v>0</v>
      </c>
    </row>
    <row r="62" spans="1:23" ht="25.5" x14ac:dyDescent="0.2">
      <c r="A62" s="9">
        <v>58</v>
      </c>
      <c r="B62" s="10" t="s">
        <v>468</v>
      </c>
      <c r="C62" s="10" t="s">
        <v>476</v>
      </c>
      <c r="D62" s="11" t="s">
        <v>26</v>
      </c>
      <c r="E62" s="12">
        <v>806</v>
      </c>
      <c r="F62" s="12">
        <v>38614.32</v>
      </c>
      <c r="G62" s="12">
        <v>603</v>
      </c>
      <c r="H62" s="12">
        <v>25378.62</v>
      </c>
      <c r="I62" s="12">
        <v>806</v>
      </c>
      <c r="J62" s="12">
        <v>38614.32</v>
      </c>
      <c r="K62" s="12">
        <v>603</v>
      </c>
      <c r="L62" s="31">
        <v>25378.62</v>
      </c>
      <c r="M62" s="13"/>
      <c r="O62" s="12">
        <f>+SUMIF(Zvf51!$A$2:$A$186,gc!$B62,Zvf51!$Q$2:$Q$186)</f>
        <v>603</v>
      </c>
      <c r="P62" s="18">
        <f>+SUMIF(Zvf51!$A$2:$A$186,gc!$B62,Zvf51!$AR$2:$AR$186)</f>
        <v>25378.62</v>
      </c>
      <c r="Q62" s="12">
        <f t="shared" si="9"/>
        <v>806</v>
      </c>
      <c r="R62" s="18">
        <f t="shared" si="10"/>
        <v>38614.32</v>
      </c>
      <c r="T62" s="12">
        <f t="shared" si="11"/>
        <v>0</v>
      </c>
      <c r="U62" s="12">
        <f t="shared" si="12"/>
        <v>0</v>
      </c>
      <c r="V62" s="12">
        <f t="shared" si="13"/>
        <v>0</v>
      </c>
      <c r="W62" s="12">
        <f t="shared" si="14"/>
        <v>0</v>
      </c>
    </row>
    <row r="63" spans="1:23" ht="25.5" x14ac:dyDescent="0.2">
      <c r="A63" s="9">
        <v>59</v>
      </c>
      <c r="B63" s="10" t="s">
        <v>587</v>
      </c>
      <c r="C63" s="10" t="s">
        <v>596</v>
      </c>
      <c r="D63" s="11" t="s">
        <v>26</v>
      </c>
      <c r="E63" s="12">
        <v>0</v>
      </c>
      <c r="F63" s="12">
        <v>0</v>
      </c>
      <c r="G63" s="12">
        <v>1569</v>
      </c>
      <c r="H63" s="12">
        <v>48518.5</v>
      </c>
      <c r="I63" s="12">
        <v>0</v>
      </c>
      <c r="J63" s="12">
        <v>0</v>
      </c>
      <c r="K63" s="12">
        <v>1569</v>
      </c>
      <c r="L63" s="31">
        <v>48518.5</v>
      </c>
      <c r="M63" s="13"/>
      <c r="O63" s="12">
        <f>+SUMIF(Zvf51!$A$2:$A$186,gc!$B63,Zvf51!$Q$2:$Q$186)</f>
        <v>1569</v>
      </c>
      <c r="P63" s="18">
        <f>+SUMIF(Zvf51!$A$2:$A$186,gc!$B63,Zvf51!$AR$2:$AR$186)</f>
        <v>48518.5</v>
      </c>
      <c r="Q63" s="12">
        <f t="shared" si="9"/>
        <v>0</v>
      </c>
      <c r="R63" s="18">
        <f t="shared" si="10"/>
        <v>0</v>
      </c>
      <c r="T63" s="12">
        <f t="shared" si="11"/>
        <v>0</v>
      </c>
      <c r="U63" s="12">
        <f t="shared" si="12"/>
        <v>0</v>
      </c>
      <c r="V63" s="12">
        <f t="shared" si="13"/>
        <v>0</v>
      </c>
      <c r="W63" s="12">
        <f t="shared" si="14"/>
        <v>0</v>
      </c>
    </row>
    <row r="64" spans="1:23" ht="25.5" x14ac:dyDescent="0.2">
      <c r="A64" s="9">
        <v>60</v>
      </c>
      <c r="B64" s="10" t="s">
        <v>564</v>
      </c>
      <c r="C64" s="10" t="s">
        <v>573</v>
      </c>
      <c r="D64" s="11" t="s">
        <v>26</v>
      </c>
      <c r="E64" s="12">
        <v>0</v>
      </c>
      <c r="F64" s="12">
        <v>0</v>
      </c>
      <c r="G64" s="12">
        <v>200</v>
      </c>
      <c r="H64" s="12">
        <v>7702.21</v>
      </c>
      <c r="I64" s="12">
        <v>0</v>
      </c>
      <c r="J64" s="12">
        <v>0</v>
      </c>
      <c r="K64" s="12">
        <v>200</v>
      </c>
      <c r="L64" s="31">
        <v>7702.21</v>
      </c>
      <c r="M64" s="13"/>
      <c r="O64" s="12">
        <f>+SUMIF(Zvf51!$A$2:$A$186,gc!$B64,Zvf51!$Q$2:$Q$186)</f>
        <v>200</v>
      </c>
      <c r="P64" s="18">
        <f>+SUMIF(Zvf51!$A$2:$A$186,gc!$B64,Zvf51!$AR$2:$AR$186)</f>
        <v>7702.21</v>
      </c>
      <c r="Q64" s="12">
        <f t="shared" si="9"/>
        <v>0</v>
      </c>
      <c r="R64" s="18">
        <f t="shared" si="10"/>
        <v>0</v>
      </c>
      <c r="T64" s="12">
        <f t="shared" si="11"/>
        <v>0</v>
      </c>
      <c r="U64" s="12">
        <f t="shared" si="12"/>
        <v>0</v>
      </c>
      <c r="V64" s="12">
        <f t="shared" si="13"/>
        <v>0</v>
      </c>
      <c r="W64" s="12">
        <f t="shared" si="14"/>
        <v>0</v>
      </c>
    </row>
    <row r="65" spans="1:23" ht="25.5" x14ac:dyDescent="0.2">
      <c r="A65" s="47">
        <v>61</v>
      </c>
      <c r="B65" s="48" t="s">
        <v>510</v>
      </c>
      <c r="C65" s="48" t="s">
        <v>542</v>
      </c>
      <c r="D65" s="44" t="s">
        <v>26</v>
      </c>
      <c r="E65" s="18">
        <v>275</v>
      </c>
      <c r="F65" s="18">
        <v>10758.89</v>
      </c>
      <c r="G65" s="18">
        <v>0</v>
      </c>
      <c r="H65" s="18">
        <v>0</v>
      </c>
      <c r="I65" s="18">
        <v>275</v>
      </c>
      <c r="J65" s="18">
        <v>10758.88</v>
      </c>
      <c r="K65" s="18">
        <v>0</v>
      </c>
      <c r="L65" s="45">
        <v>0.01</v>
      </c>
      <c r="M65" s="13"/>
      <c r="O65" s="12">
        <f>+SUMIF(Zvf51!$A$2:$A$186,gc!$B65,Zvf51!$Q$2:$Q$186)</f>
        <v>0</v>
      </c>
      <c r="P65" s="18">
        <f>+SUMIF(Zvf51!$A$2:$A$186,gc!$B65,Zvf51!$AR$2:$AR$186)</f>
        <v>0</v>
      </c>
      <c r="Q65" s="12">
        <f t="shared" si="9"/>
        <v>275</v>
      </c>
      <c r="R65" s="18">
        <f t="shared" si="10"/>
        <v>10758.89</v>
      </c>
      <c r="T65" s="12">
        <f t="shared" si="11"/>
        <v>0</v>
      </c>
      <c r="U65" s="12">
        <f t="shared" si="12"/>
        <v>0</v>
      </c>
      <c r="V65" s="12">
        <f t="shared" si="13"/>
        <v>0</v>
      </c>
      <c r="W65" s="12">
        <f t="shared" si="14"/>
        <v>1.0000000000218279E-2</v>
      </c>
    </row>
    <row r="66" spans="1:23" ht="12.75" customHeight="1" x14ac:dyDescent="0.2">
      <c r="A66" s="9">
        <v>62</v>
      </c>
      <c r="B66" s="10" t="s">
        <v>512</v>
      </c>
      <c r="C66" s="10" t="s">
        <v>543</v>
      </c>
      <c r="D66" s="11" t="s">
        <v>26</v>
      </c>
      <c r="E66" s="12">
        <v>1111</v>
      </c>
      <c r="F66" s="12">
        <v>41711.35</v>
      </c>
      <c r="G66" s="12">
        <v>0</v>
      </c>
      <c r="H66" s="12">
        <v>0</v>
      </c>
      <c r="I66" s="12">
        <v>1111</v>
      </c>
      <c r="J66" s="12">
        <v>41711.35</v>
      </c>
      <c r="K66" s="12">
        <v>0</v>
      </c>
      <c r="L66" s="31">
        <v>0</v>
      </c>
      <c r="M66" s="30"/>
      <c r="O66" s="12">
        <f>+SUMIF(Zvf51!$A$2:$A$186,gc!$B66,Zvf51!$Q$2:$Q$186)</f>
        <v>0</v>
      </c>
      <c r="P66" s="18">
        <f>+SUMIF(Zvf51!$A$2:$A$186,gc!$B66,Zvf51!$AR$2:$AR$186)</f>
        <v>0</v>
      </c>
      <c r="Q66" s="12">
        <f t="shared" si="9"/>
        <v>1111</v>
      </c>
      <c r="R66" s="18">
        <f t="shared" si="10"/>
        <v>41711.35</v>
      </c>
      <c r="T66" s="12">
        <f t="shared" si="11"/>
        <v>0</v>
      </c>
      <c r="U66" s="12">
        <f t="shared" si="12"/>
        <v>0</v>
      </c>
      <c r="V66" s="12">
        <f t="shared" si="13"/>
        <v>0</v>
      </c>
      <c r="W66" s="12">
        <f t="shared" si="14"/>
        <v>0</v>
      </c>
    </row>
    <row r="67" spans="1:23" ht="25.5" x14ac:dyDescent="0.2">
      <c r="A67" s="9">
        <v>63</v>
      </c>
      <c r="B67" s="10" t="s">
        <v>514</v>
      </c>
      <c r="C67" s="10" t="s">
        <v>544</v>
      </c>
      <c r="D67" s="11" t="s">
        <v>26</v>
      </c>
      <c r="E67" s="12">
        <v>120</v>
      </c>
      <c r="F67" s="12">
        <v>4437.25</v>
      </c>
      <c r="G67" s="12">
        <v>0</v>
      </c>
      <c r="H67" s="12">
        <v>0</v>
      </c>
      <c r="I67" s="12">
        <v>120</v>
      </c>
      <c r="J67" s="12">
        <v>4437.25</v>
      </c>
      <c r="K67" s="12">
        <v>0</v>
      </c>
      <c r="L67" s="31">
        <v>0</v>
      </c>
      <c r="M67" s="55"/>
      <c r="O67" s="12">
        <f>+SUMIF(Zvf51!$A$2:$A$186,gc!$B67,Zvf51!$Q$2:$Q$186)</f>
        <v>0</v>
      </c>
      <c r="P67" s="18">
        <f>+SUMIF(Zvf51!$A$2:$A$186,gc!$B67,Zvf51!$AR$2:$AR$186)</f>
        <v>0</v>
      </c>
      <c r="Q67" s="12">
        <f t="shared" si="9"/>
        <v>120</v>
      </c>
      <c r="R67" s="18">
        <f t="shared" si="10"/>
        <v>4437.25</v>
      </c>
      <c r="T67" s="12">
        <f t="shared" si="11"/>
        <v>0</v>
      </c>
      <c r="U67" s="12">
        <f t="shared" si="12"/>
        <v>0</v>
      </c>
      <c r="V67" s="12">
        <f t="shared" si="13"/>
        <v>0</v>
      </c>
      <c r="W67" s="12">
        <f t="shared" si="14"/>
        <v>0</v>
      </c>
    </row>
    <row r="68" spans="1:23" ht="25.5" x14ac:dyDescent="0.2">
      <c r="A68" s="47">
        <v>64</v>
      </c>
      <c r="B68" s="48" t="s">
        <v>495</v>
      </c>
      <c r="C68" s="48" t="s">
        <v>496</v>
      </c>
      <c r="D68" s="44" t="s">
        <v>26</v>
      </c>
      <c r="E68" s="18">
        <v>801</v>
      </c>
      <c r="F68" s="18">
        <v>31845.02</v>
      </c>
      <c r="G68" s="18">
        <v>0</v>
      </c>
      <c r="H68" s="18">
        <v>0</v>
      </c>
      <c r="I68" s="18">
        <v>801</v>
      </c>
      <c r="J68" s="18">
        <v>31845.01</v>
      </c>
      <c r="K68" s="18">
        <v>0</v>
      </c>
      <c r="L68" s="45">
        <v>0.01</v>
      </c>
      <c r="M68" s="55"/>
      <c r="O68" s="12">
        <f>+SUMIF(Zvf51!$A$2:$A$186,gc!$B68,Zvf51!$Q$2:$Q$186)</f>
        <v>0</v>
      </c>
      <c r="P68" s="18">
        <f>+SUMIF(Zvf51!$A$2:$A$186,gc!$B68,Zvf51!$AR$2:$AR$186)</f>
        <v>0</v>
      </c>
      <c r="Q68" s="12">
        <f t="shared" si="9"/>
        <v>801</v>
      </c>
      <c r="R68" s="18">
        <f t="shared" si="10"/>
        <v>31845.02</v>
      </c>
      <c r="T68" s="12">
        <f t="shared" si="11"/>
        <v>0</v>
      </c>
      <c r="U68" s="12">
        <f t="shared" si="12"/>
        <v>0</v>
      </c>
      <c r="V68" s="12">
        <f t="shared" si="13"/>
        <v>0</v>
      </c>
      <c r="W68" s="12">
        <f t="shared" si="14"/>
        <v>1.0000000002037268E-2</v>
      </c>
    </row>
    <row r="69" spans="1:23" x14ac:dyDescent="0.2">
      <c r="A69" s="14"/>
      <c r="B69" s="37" t="s">
        <v>125</v>
      </c>
      <c r="C69" s="37"/>
      <c r="D69" s="37"/>
      <c r="E69" s="15">
        <f t="shared" ref="E69:L69" si="15">SUBTOTAL(9,E5:E68)</f>
        <v>21022</v>
      </c>
      <c r="F69" s="15">
        <f t="shared" si="15"/>
        <v>863418.5</v>
      </c>
      <c r="G69" s="15">
        <f t="shared" si="15"/>
        <v>26632</v>
      </c>
      <c r="H69" s="15">
        <f t="shared" si="15"/>
        <v>1016486.5</v>
      </c>
      <c r="I69" s="15">
        <f t="shared" si="15"/>
        <v>21022</v>
      </c>
      <c r="J69" s="15">
        <f t="shared" si="15"/>
        <v>863418.49</v>
      </c>
      <c r="K69" s="15">
        <f t="shared" si="15"/>
        <v>26632</v>
      </c>
      <c r="L69" s="29">
        <f t="shared" si="15"/>
        <v>1016486.51</v>
      </c>
      <c r="M69" s="55"/>
      <c r="O69" s="15">
        <f>SUBTOTAL(9,O4:O68)</f>
        <v>26632</v>
      </c>
      <c r="P69" s="15">
        <f t="shared" ref="P69:R69" si="16">SUBTOTAL(9,P4:P68)</f>
        <v>1016486.48</v>
      </c>
      <c r="Q69" s="15">
        <f t="shared" si="16"/>
        <v>21022</v>
      </c>
      <c r="R69" s="15">
        <f t="shared" si="16"/>
        <v>863418.5</v>
      </c>
      <c r="T69" s="15">
        <f>SUBTOTAL(9,T4:T68)</f>
        <v>0</v>
      </c>
      <c r="U69" s="15">
        <f t="shared" ref="U69:W69" si="17">SUBTOTAL(9,U4:U68)</f>
        <v>-1.9999999992251105E-2</v>
      </c>
      <c r="V69" s="15">
        <f t="shared" si="17"/>
        <v>0</v>
      </c>
      <c r="W69" s="15">
        <f t="shared" si="17"/>
        <v>1.0000000000218279E-2</v>
      </c>
    </row>
    <row r="70" spans="1:23" x14ac:dyDescent="0.2">
      <c r="A70" s="9"/>
      <c r="B70" s="10"/>
      <c r="C70" s="10"/>
      <c r="D70" s="11"/>
      <c r="E70" s="12"/>
      <c r="F70" s="12"/>
      <c r="G70" s="12"/>
      <c r="H70" s="12"/>
      <c r="I70" s="12"/>
      <c r="J70" s="12"/>
      <c r="K70" s="12"/>
      <c r="L70" s="46"/>
      <c r="M70" s="55"/>
      <c r="O70" s="12">
        <f>+SUMIF(Zvf51!$A$2:$A$183,gc!$B70,Zvf51!$Q$2:$Q$183)</f>
        <v>0</v>
      </c>
      <c r="P70" s="18">
        <f>+SUMIF(Zvf51!$A$2:$A$183,gc!$B70,Zvf51!$AR$2:$AR$183)</f>
        <v>0</v>
      </c>
      <c r="Q70" s="12">
        <f t="shared" si="9"/>
        <v>0</v>
      </c>
      <c r="R70" s="18">
        <f t="shared" si="10"/>
        <v>0</v>
      </c>
      <c r="T70" s="12">
        <f t="shared" si="11"/>
        <v>0</v>
      </c>
      <c r="U70" s="12">
        <f t="shared" si="12"/>
        <v>0</v>
      </c>
      <c r="V70" s="12">
        <f t="shared" si="13"/>
        <v>0</v>
      </c>
      <c r="W70" s="12">
        <f t="shared" si="14"/>
        <v>0</v>
      </c>
    </row>
    <row r="71" spans="1:23" x14ac:dyDescent="0.2">
      <c r="A71" s="9"/>
      <c r="B71" s="10"/>
      <c r="C71" s="10"/>
      <c r="D71" s="11"/>
      <c r="E71" s="12"/>
      <c r="F71" s="12"/>
      <c r="G71" s="12"/>
      <c r="H71" s="12"/>
      <c r="I71" s="12"/>
      <c r="J71" s="12"/>
      <c r="K71" s="12"/>
      <c r="L71" s="46"/>
      <c r="M71" s="55"/>
      <c r="O71" s="12">
        <f>+SUMIF(Zvf51!$A$2:$A$183,gc!$B71,Zvf51!$Q$2:$Q$183)</f>
        <v>0</v>
      </c>
      <c r="P71" s="18">
        <f>+SUMIF(Zvf51!$A$2:$A$183,gc!$B71,Zvf51!$AR$2:$AR$183)</f>
        <v>0</v>
      </c>
      <c r="Q71" s="12">
        <f t="shared" si="9"/>
        <v>0</v>
      </c>
      <c r="R71" s="18">
        <f t="shared" si="10"/>
        <v>0</v>
      </c>
      <c r="T71" s="12">
        <f t="shared" si="11"/>
        <v>0</v>
      </c>
      <c r="U71" s="12">
        <f t="shared" si="12"/>
        <v>0</v>
      </c>
      <c r="V71" s="12">
        <f t="shared" si="13"/>
        <v>0</v>
      </c>
      <c r="W71" s="12">
        <f t="shared" si="14"/>
        <v>0</v>
      </c>
    </row>
    <row r="72" spans="1:23" x14ac:dyDescent="0.2">
      <c r="A72" s="9"/>
      <c r="B72" s="10"/>
      <c r="C72" s="10"/>
      <c r="D72" s="11"/>
      <c r="E72" s="12"/>
      <c r="F72" s="12"/>
      <c r="G72" s="12"/>
      <c r="H72" s="12"/>
      <c r="I72" s="12"/>
      <c r="J72" s="12"/>
      <c r="K72" s="12"/>
      <c r="L72" s="46"/>
      <c r="M72" s="55"/>
      <c r="O72" s="12">
        <f>+SUMIF(Zvf51!$A$2:$A$183,gc!$B72,Zvf51!$Q$2:$Q$183)</f>
        <v>0</v>
      </c>
      <c r="P72" s="18">
        <f>+SUMIF(Zvf51!$A$2:$A$183,gc!$B72,Zvf51!$AR$2:$AR$183)</f>
        <v>0</v>
      </c>
      <c r="Q72" s="12">
        <f t="shared" si="9"/>
        <v>0</v>
      </c>
      <c r="R72" s="18">
        <f t="shared" si="10"/>
        <v>0</v>
      </c>
      <c r="T72" s="12">
        <f t="shared" si="11"/>
        <v>0</v>
      </c>
      <c r="U72" s="12">
        <f t="shared" si="12"/>
        <v>0</v>
      </c>
      <c r="V72" s="12">
        <f t="shared" si="13"/>
        <v>0</v>
      </c>
      <c r="W72" s="12">
        <f t="shared" si="14"/>
        <v>0</v>
      </c>
    </row>
    <row r="73" spans="1:23" x14ac:dyDescent="0.2">
      <c r="A73" s="9"/>
      <c r="B73" s="10"/>
      <c r="C73" s="10"/>
      <c r="D73" s="11"/>
      <c r="E73" s="12"/>
      <c r="F73" s="12"/>
      <c r="G73" s="12"/>
      <c r="H73" s="12"/>
      <c r="I73" s="12"/>
      <c r="J73" s="12"/>
      <c r="K73" s="12"/>
      <c r="L73" s="46"/>
      <c r="M73" s="55"/>
      <c r="O73" s="12">
        <f>+SUMIF(Zvf51!$A$2:$A$183,gc!$B73,Zvf51!$Q$2:$Q$183)</f>
        <v>0</v>
      </c>
      <c r="P73" s="18">
        <f>+SUMIF(Zvf51!$A$2:$A$183,gc!$B73,Zvf51!$AR$2:$AR$183)</f>
        <v>0</v>
      </c>
      <c r="Q73" s="12">
        <f t="shared" si="9"/>
        <v>0</v>
      </c>
      <c r="R73" s="18">
        <f t="shared" si="10"/>
        <v>0</v>
      </c>
      <c r="T73" s="12">
        <f t="shared" si="11"/>
        <v>0</v>
      </c>
      <c r="U73" s="12">
        <f t="shared" si="12"/>
        <v>0</v>
      </c>
      <c r="V73" s="12">
        <f t="shared" si="13"/>
        <v>0</v>
      </c>
      <c r="W73" s="12">
        <f t="shared" si="14"/>
        <v>0</v>
      </c>
    </row>
    <row r="74" spans="1:23" x14ac:dyDescent="0.2">
      <c r="A74" s="9"/>
      <c r="B74" s="10"/>
      <c r="C74" s="10"/>
      <c r="D74" s="11"/>
      <c r="E74" s="12"/>
      <c r="F74" s="12"/>
      <c r="G74" s="12"/>
      <c r="H74" s="12"/>
      <c r="I74" s="12"/>
      <c r="J74" s="12"/>
      <c r="K74" s="12"/>
      <c r="L74" s="46"/>
      <c r="M74" s="55"/>
      <c r="O74" s="12">
        <f>+SUMIF(Zvf51!$A$2:$A$183,gc!$B74,Zvf51!$Q$2:$Q$183)</f>
        <v>0</v>
      </c>
      <c r="P74" s="18">
        <f>+SUMIF(Zvf51!$A$2:$A$183,gc!$B74,Zvf51!$AR$2:$AR$183)</f>
        <v>0</v>
      </c>
      <c r="Q74" s="12">
        <f t="shared" si="9"/>
        <v>0</v>
      </c>
      <c r="R74" s="18">
        <f t="shared" si="10"/>
        <v>0</v>
      </c>
      <c r="T74" s="12">
        <f t="shared" si="11"/>
        <v>0</v>
      </c>
      <c r="U74" s="12">
        <f t="shared" si="12"/>
        <v>0</v>
      </c>
      <c r="V74" s="12">
        <f t="shared" si="13"/>
        <v>0</v>
      </c>
      <c r="W74" s="12">
        <f t="shared" si="14"/>
        <v>0</v>
      </c>
    </row>
    <row r="75" spans="1:23" x14ac:dyDescent="0.2">
      <c r="A75" s="53"/>
      <c r="B75" s="51"/>
      <c r="C75" s="51"/>
      <c r="D75" s="50"/>
      <c r="E75" s="49"/>
      <c r="F75" s="49"/>
      <c r="G75" s="49"/>
      <c r="H75" s="49"/>
      <c r="I75" s="49"/>
      <c r="J75" s="49"/>
      <c r="K75" s="49"/>
      <c r="L75" s="57"/>
      <c r="M75" s="55"/>
      <c r="O75" s="12">
        <f>+SUMIF(Zvf51!$A$2:$A$183,gc!$B75,Zvf51!$Q$2:$Q$183)</f>
        <v>0</v>
      </c>
      <c r="P75" s="18">
        <f>+SUMIF(Zvf51!$A$2:$A$183,gc!$B75,Zvf51!$AR$2:$AR$183)</f>
        <v>0</v>
      </c>
      <c r="Q75" s="12">
        <f t="shared" si="9"/>
        <v>0</v>
      </c>
      <c r="R75" s="18">
        <f t="shared" si="10"/>
        <v>0</v>
      </c>
      <c r="T75" s="12">
        <f t="shared" si="11"/>
        <v>0</v>
      </c>
      <c r="U75" s="12">
        <f t="shared" si="12"/>
        <v>0</v>
      </c>
      <c r="V75" s="12">
        <f t="shared" si="13"/>
        <v>0</v>
      </c>
      <c r="W75" s="12">
        <f t="shared" si="14"/>
        <v>0</v>
      </c>
    </row>
    <row r="76" spans="1:23" ht="12.75" customHeight="1" x14ac:dyDescent="0.2">
      <c r="A76" s="56"/>
      <c r="B76" s="54"/>
      <c r="C76" s="54"/>
      <c r="D76" s="54"/>
      <c r="E76" s="52"/>
      <c r="F76" s="52"/>
      <c r="G76" s="52"/>
      <c r="H76" s="52"/>
      <c r="I76" s="52"/>
      <c r="J76" s="52"/>
      <c r="K76" s="52"/>
      <c r="L76" s="52"/>
      <c r="M76" s="55"/>
    </row>
  </sheetData>
  <mergeCells count="14">
    <mergeCell ref="B76:D76"/>
    <mergeCell ref="A2:A3"/>
    <mergeCell ref="B2:B3"/>
    <mergeCell ref="C2:C3"/>
    <mergeCell ref="D2:D3"/>
    <mergeCell ref="B69:D69"/>
    <mergeCell ref="E2:F2"/>
    <mergeCell ref="Q2:R2"/>
    <mergeCell ref="T2:U2"/>
    <mergeCell ref="V2:W2"/>
    <mergeCell ref="G2:H2"/>
    <mergeCell ref="I2:J2"/>
    <mergeCell ref="K2:L2"/>
    <mergeCell ref="O2:P2"/>
  </mergeCells>
  <printOptions horizontalCentered="1"/>
  <pageMargins left="0" right="0" top="0.59" bottom="0.59" header="0.5" footer="0.5"/>
  <pageSetup paperSize="9" orientation="landscape" r:id="rId1"/>
  <headerFooter alignWithMargins="0"/>
  <ignoredErrors>
    <ignoredError sqref="N2:N4 A1:D1 F1:N1 N35 N5:N34 N38 N36 N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0"/>
  <sheetViews>
    <sheetView topLeftCell="A163" workbookViewId="0">
      <selection activeCell="I1" sqref="I1"/>
    </sheetView>
  </sheetViews>
  <sheetFormatPr defaultRowHeight="12.75" x14ac:dyDescent="0.2"/>
  <cols>
    <col min="1" max="1" width="11" customWidth="1"/>
    <col min="2" max="2" width="39.7109375" bestFit="1" customWidth="1"/>
    <col min="4" max="5" width="12.7109375" customWidth="1"/>
    <col min="6" max="6" width="12.7109375" style="17" customWidth="1"/>
    <col min="7" max="8" width="12.7109375" customWidth="1"/>
    <col min="9" max="9" width="12.7109375" style="17" customWidth="1"/>
    <col min="10" max="15" width="12.7109375" customWidth="1"/>
    <col min="16" max="17" width="12.7109375" style="17" customWidth="1"/>
    <col min="18" max="22" width="12.7109375" customWidth="1"/>
    <col min="23" max="23" width="16.5703125" customWidth="1"/>
    <col min="24" max="31" width="12.7109375" customWidth="1"/>
    <col min="32" max="32" width="12.7109375" style="17" customWidth="1"/>
    <col min="33" max="34" width="12.7109375" customWidth="1"/>
    <col min="35" max="35" width="12.7109375" style="17" customWidth="1"/>
    <col min="36" max="41" width="12.7109375" customWidth="1"/>
    <col min="42" max="42" width="12.7109375" style="17" customWidth="1"/>
    <col min="43" max="43" width="12.7109375" customWidth="1"/>
    <col min="44" max="44" width="12.7109375" style="17" customWidth="1"/>
    <col min="45" max="47" width="12.7109375" customWidth="1"/>
  </cols>
  <sheetData>
    <row r="1" spans="1:47" x14ac:dyDescent="0.2">
      <c r="A1" s="33" t="s">
        <v>129</v>
      </c>
      <c r="B1" s="33" t="s">
        <v>130</v>
      </c>
      <c r="C1" s="33" t="s">
        <v>131</v>
      </c>
      <c r="D1" s="33" t="s">
        <v>132</v>
      </c>
      <c r="E1" s="33" t="s">
        <v>133</v>
      </c>
      <c r="F1" s="33" t="s">
        <v>134</v>
      </c>
      <c r="G1" s="33" t="s">
        <v>135</v>
      </c>
      <c r="H1" s="33" t="s">
        <v>136</v>
      </c>
      <c r="I1" s="33" t="s">
        <v>137</v>
      </c>
      <c r="J1" s="33" t="s">
        <v>138</v>
      </c>
      <c r="K1" s="33" t="s">
        <v>139</v>
      </c>
      <c r="L1" s="33" t="s">
        <v>140</v>
      </c>
      <c r="M1" s="33" t="s">
        <v>141</v>
      </c>
      <c r="N1" s="33" t="s">
        <v>142</v>
      </c>
      <c r="O1" s="33" t="s">
        <v>143</v>
      </c>
      <c r="P1" s="33" t="s">
        <v>144</v>
      </c>
      <c r="Q1" s="33" t="s">
        <v>145</v>
      </c>
      <c r="R1" s="33" t="s">
        <v>146</v>
      </c>
      <c r="S1" s="33" t="s">
        <v>147</v>
      </c>
      <c r="T1" s="33" t="s">
        <v>148</v>
      </c>
      <c r="U1" s="33" t="s">
        <v>149</v>
      </c>
      <c r="V1" s="33" t="s">
        <v>150</v>
      </c>
      <c r="W1" s="33" t="s">
        <v>151</v>
      </c>
      <c r="X1" s="33" t="s">
        <v>152</v>
      </c>
      <c r="Y1" s="33" t="s">
        <v>153</v>
      </c>
      <c r="Z1" s="33" t="s">
        <v>154</v>
      </c>
      <c r="AA1" s="33" t="s">
        <v>155</v>
      </c>
      <c r="AB1" s="33" t="s">
        <v>156</v>
      </c>
      <c r="AC1" s="33" t="s">
        <v>157</v>
      </c>
      <c r="AD1" s="33" t="s">
        <v>158</v>
      </c>
      <c r="AE1" s="33" t="s">
        <v>159</v>
      </c>
      <c r="AF1" s="33" t="s">
        <v>160</v>
      </c>
      <c r="AG1" s="33" t="s">
        <v>161</v>
      </c>
      <c r="AH1" s="33" t="s">
        <v>162</v>
      </c>
      <c r="AI1" s="33" t="s">
        <v>163</v>
      </c>
      <c r="AJ1" s="33" t="s">
        <v>164</v>
      </c>
      <c r="AK1" s="33" t="s">
        <v>165</v>
      </c>
      <c r="AL1" s="33" t="s">
        <v>166</v>
      </c>
      <c r="AM1" s="33" t="s">
        <v>167</v>
      </c>
      <c r="AN1" s="33" t="s">
        <v>168</v>
      </c>
      <c r="AO1" s="33" t="s">
        <v>169</v>
      </c>
      <c r="AP1" s="33" t="s">
        <v>170</v>
      </c>
      <c r="AQ1" s="33" t="s">
        <v>171</v>
      </c>
      <c r="AR1" s="33" t="s">
        <v>172</v>
      </c>
      <c r="AS1" s="33" t="s">
        <v>173</v>
      </c>
      <c r="AT1" s="33" t="s">
        <v>174</v>
      </c>
      <c r="AU1" s="33" t="s">
        <v>175</v>
      </c>
    </row>
    <row r="2" spans="1:47" x14ac:dyDescent="0.2">
      <c r="A2" s="58" t="s">
        <v>176</v>
      </c>
      <c r="B2" s="58" t="s">
        <v>177</v>
      </c>
      <c r="C2" s="58" t="s">
        <v>178</v>
      </c>
      <c r="D2" s="59">
        <v>14718</v>
      </c>
      <c r="E2" s="59">
        <v>1482</v>
      </c>
      <c r="F2" s="59">
        <v>19112</v>
      </c>
      <c r="G2" s="59">
        <v>0</v>
      </c>
      <c r="H2" s="59">
        <v>33830</v>
      </c>
      <c r="I2" s="59">
        <v>-24150</v>
      </c>
      <c r="J2" s="59">
        <v>0</v>
      </c>
      <c r="K2" s="59">
        <v>0</v>
      </c>
      <c r="L2" s="59">
        <v>0</v>
      </c>
      <c r="M2" s="59">
        <v>0</v>
      </c>
      <c r="N2" s="59">
        <v>0</v>
      </c>
      <c r="O2" s="59">
        <v>0</v>
      </c>
      <c r="P2" s="59">
        <v>9680</v>
      </c>
      <c r="Q2" s="59">
        <v>1620</v>
      </c>
      <c r="R2" s="60">
        <v>25.37114</v>
      </c>
      <c r="S2" s="61">
        <v>28.1</v>
      </c>
      <c r="T2" s="61">
        <v>26.95</v>
      </c>
      <c r="U2" s="61">
        <v>537047.19999999995</v>
      </c>
      <c r="V2" s="61">
        <v>0</v>
      </c>
      <c r="W2" s="61">
        <v>-678615</v>
      </c>
      <c r="X2" s="61">
        <v>0</v>
      </c>
      <c r="Y2" s="61">
        <v>0</v>
      </c>
      <c r="Z2" s="61">
        <v>0</v>
      </c>
      <c r="AA2" s="61">
        <v>0</v>
      </c>
      <c r="AB2" s="61">
        <v>0</v>
      </c>
      <c r="AC2" s="61">
        <v>0</v>
      </c>
      <c r="AD2" s="61">
        <v>426773.34</v>
      </c>
      <c r="AE2" s="62">
        <v>0</v>
      </c>
      <c r="AF2" s="61">
        <v>484893.23</v>
      </c>
      <c r="AG2" s="61">
        <v>0</v>
      </c>
      <c r="AH2" s="61">
        <v>911666.57</v>
      </c>
      <c r="AI2" s="61">
        <v>-650805.43000000005</v>
      </c>
      <c r="AJ2" s="61">
        <v>0</v>
      </c>
      <c r="AK2" s="61">
        <v>0</v>
      </c>
      <c r="AL2" s="61">
        <v>0</v>
      </c>
      <c r="AM2" s="61">
        <v>0</v>
      </c>
      <c r="AN2" s="61">
        <v>0</v>
      </c>
      <c r="AO2" s="61">
        <v>0</v>
      </c>
      <c r="AP2" s="61">
        <v>260861.14</v>
      </c>
      <c r="AQ2" s="61">
        <v>0</v>
      </c>
      <c r="AR2" s="61">
        <v>43656.51</v>
      </c>
      <c r="AS2" s="61">
        <v>-52153.97</v>
      </c>
      <c r="AT2" s="61">
        <v>27809.57</v>
      </c>
      <c r="AU2" s="61">
        <v>0</v>
      </c>
    </row>
    <row r="3" spans="1:47" x14ac:dyDescent="0.2">
      <c r="A3" s="58" t="s">
        <v>179</v>
      </c>
      <c r="B3" s="58" t="s">
        <v>180</v>
      </c>
      <c r="C3" s="58" t="s">
        <v>178</v>
      </c>
      <c r="D3" s="59">
        <v>0</v>
      </c>
      <c r="E3" s="59">
        <v>0</v>
      </c>
      <c r="F3" s="59">
        <v>0</v>
      </c>
      <c r="G3" s="59">
        <v>0</v>
      </c>
      <c r="H3" s="59">
        <v>0</v>
      </c>
      <c r="I3" s="59">
        <v>0</v>
      </c>
      <c r="J3" s="59">
        <v>0</v>
      </c>
      <c r="K3" s="59">
        <v>0</v>
      </c>
      <c r="L3" s="59">
        <v>0</v>
      </c>
      <c r="M3" s="59">
        <v>0</v>
      </c>
      <c r="N3" s="59">
        <v>0</v>
      </c>
      <c r="O3" s="59">
        <v>0</v>
      </c>
      <c r="P3" s="59">
        <v>0</v>
      </c>
      <c r="Q3" s="59">
        <v>0</v>
      </c>
      <c r="R3" s="60">
        <v>0</v>
      </c>
      <c r="S3" s="61">
        <v>26.18</v>
      </c>
      <c r="T3" s="61">
        <v>31.57</v>
      </c>
      <c r="U3" s="61">
        <v>0</v>
      </c>
      <c r="V3" s="61">
        <v>0</v>
      </c>
      <c r="W3" s="61">
        <v>0</v>
      </c>
      <c r="X3" s="61">
        <v>0</v>
      </c>
      <c r="Y3" s="61">
        <v>0</v>
      </c>
      <c r="Z3" s="61">
        <v>0</v>
      </c>
      <c r="AA3" s="61">
        <v>0</v>
      </c>
      <c r="AB3" s="61">
        <v>0</v>
      </c>
      <c r="AC3" s="61">
        <v>0</v>
      </c>
      <c r="AD3" s="61">
        <v>0</v>
      </c>
      <c r="AE3" s="62">
        <v>0</v>
      </c>
      <c r="AF3" s="61">
        <v>0</v>
      </c>
      <c r="AG3" s="61">
        <v>0</v>
      </c>
      <c r="AH3" s="61">
        <v>0</v>
      </c>
      <c r="AI3" s="61">
        <v>0</v>
      </c>
      <c r="AJ3" s="61">
        <v>0</v>
      </c>
      <c r="AK3" s="61">
        <v>0</v>
      </c>
      <c r="AL3" s="61">
        <v>0</v>
      </c>
      <c r="AM3" s="61">
        <v>0</v>
      </c>
      <c r="AN3" s="61">
        <v>0</v>
      </c>
      <c r="AO3" s="61">
        <v>0</v>
      </c>
      <c r="AP3" s="61">
        <v>0</v>
      </c>
      <c r="AQ3" s="61">
        <v>0</v>
      </c>
      <c r="AR3" s="61">
        <v>0</v>
      </c>
      <c r="AS3" s="61">
        <v>0</v>
      </c>
      <c r="AT3" s="61">
        <v>0</v>
      </c>
      <c r="AU3" s="61">
        <v>0</v>
      </c>
    </row>
    <row r="4" spans="1:47" x14ac:dyDescent="0.2">
      <c r="A4" s="58" t="s">
        <v>181</v>
      </c>
      <c r="B4" s="58" t="s">
        <v>182</v>
      </c>
      <c r="C4" s="58" t="s">
        <v>178</v>
      </c>
      <c r="D4" s="59">
        <v>0</v>
      </c>
      <c r="E4" s="59">
        <v>0</v>
      </c>
      <c r="F4" s="59">
        <v>0</v>
      </c>
      <c r="G4" s="59">
        <v>0</v>
      </c>
      <c r="H4" s="59">
        <v>0</v>
      </c>
      <c r="I4" s="59">
        <v>0</v>
      </c>
      <c r="J4" s="59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60">
        <v>0</v>
      </c>
      <c r="S4" s="61">
        <v>26.8</v>
      </c>
      <c r="T4" s="61">
        <v>27.97</v>
      </c>
      <c r="U4" s="61">
        <v>0</v>
      </c>
      <c r="V4" s="61">
        <v>0</v>
      </c>
      <c r="W4" s="61">
        <v>0</v>
      </c>
      <c r="X4" s="61">
        <v>0</v>
      </c>
      <c r="Y4" s="61">
        <v>0</v>
      </c>
      <c r="Z4" s="61">
        <v>0</v>
      </c>
      <c r="AA4" s="61">
        <v>0</v>
      </c>
      <c r="AB4" s="61">
        <v>0</v>
      </c>
      <c r="AC4" s="61">
        <v>0</v>
      </c>
      <c r="AD4" s="61">
        <v>0</v>
      </c>
      <c r="AE4" s="62">
        <v>0</v>
      </c>
      <c r="AF4" s="61">
        <v>0</v>
      </c>
      <c r="AG4" s="61">
        <v>0</v>
      </c>
      <c r="AH4" s="61">
        <v>0</v>
      </c>
      <c r="AI4" s="61">
        <v>0</v>
      </c>
      <c r="AJ4" s="61">
        <v>0</v>
      </c>
      <c r="AK4" s="61">
        <v>0</v>
      </c>
      <c r="AL4" s="61">
        <v>0</v>
      </c>
      <c r="AM4" s="61">
        <v>0</v>
      </c>
      <c r="AN4" s="61">
        <v>0</v>
      </c>
      <c r="AO4" s="61">
        <v>0</v>
      </c>
      <c r="AP4" s="61">
        <v>0</v>
      </c>
      <c r="AQ4" s="61">
        <v>0</v>
      </c>
      <c r="AR4" s="61">
        <v>0</v>
      </c>
      <c r="AS4" s="61">
        <v>0</v>
      </c>
      <c r="AT4" s="61">
        <v>0</v>
      </c>
      <c r="AU4" s="61">
        <v>0</v>
      </c>
    </row>
    <row r="5" spans="1:47" x14ac:dyDescent="0.2">
      <c r="A5" s="58" t="s">
        <v>183</v>
      </c>
      <c r="B5" s="58" t="s">
        <v>184</v>
      </c>
      <c r="C5" s="58" t="s">
        <v>178</v>
      </c>
      <c r="D5" s="59">
        <v>0</v>
      </c>
      <c r="E5" s="59">
        <v>0</v>
      </c>
      <c r="F5" s="59">
        <v>96</v>
      </c>
      <c r="G5" s="59">
        <v>0</v>
      </c>
      <c r="H5" s="59">
        <v>96</v>
      </c>
      <c r="I5" s="59">
        <v>0</v>
      </c>
      <c r="J5" s="59">
        <v>0</v>
      </c>
      <c r="K5" s="59">
        <v>0</v>
      </c>
      <c r="L5" s="59">
        <v>0</v>
      </c>
      <c r="M5" s="59">
        <v>0</v>
      </c>
      <c r="N5" s="59">
        <v>0</v>
      </c>
      <c r="O5" s="59">
        <v>0</v>
      </c>
      <c r="P5" s="59">
        <v>96</v>
      </c>
      <c r="Q5" s="59">
        <v>0</v>
      </c>
      <c r="R5" s="60">
        <v>31.400938</v>
      </c>
      <c r="S5" s="61">
        <v>34.71</v>
      </c>
      <c r="T5" s="61">
        <v>31.4</v>
      </c>
      <c r="U5" s="61">
        <v>3332.16</v>
      </c>
      <c r="V5" s="61">
        <v>0</v>
      </c>
      <c r="W5" s="61">
        <v>0</v>
      </c>
      <c r="X5" s="61">
        <v>0</v>
      </c>
      <c r="Y5" s="61">
        <v>0</v>
      </c>
      <c r="Z5" s="61">
        <v>0</v>
      </c>
      <c r="AA5" s="61">
        <v>0</v>
      </c>
      <c r="AB5" s="61">
        <v>0</v>
      </c>
      <c r="AC5" s="61">
        <v>0</v>
      </c>
      <c r="AD5" s="61">
        <v>0</v>
      </c>
      <c r="AE5" s="62">
        <v>0</v>
      </c>
      <c r="AF5" s="61">
        <v>3014.49</v>
      </c>
      <c r="AG5" s="61">
        <v>0</v>
      </c>
      <c r="AH5" s="61">
        <v>3014.49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0</v>
      </c>
      <c r="AP5" s="61">
        <v>3014.49</v>
      </c>
      <c r="AQ5" s="61">
        <v>0</v>
      </c>
      <c r="AR5" s="61">
        <v>0</v>
      </c>
      <c r="AS5" s="61">
        <v>-317.67</v>
      </c>
      <c r="AT5" s="61">
        <v>0</v>
      </c>
      <c r="AU5" s="61">
        <v>0</v>
      </c>
    </row>
    <row r="6" spans="1:47" x14ac:dyDescent="0.2">
      <c r="A6" s="58" t="s">
        <v>185</v>
      </c>
      <c r="B6" s="58" t="s">
        <v>186</v>
      </c>
      <c r="C6" s="58" t="s">
        <v>178</v>
      </c>
      <c r="D6" s="59">
        <v>7365</v>
      </c>
      <c r="E6" s="59">
        <v>0</v>
      </c>
      <c r="F6" s="59">
        <v>23471</v>
      </c>
      <c r="G6" s="59">
        <v>0</v>
      </c>
      <c r="H6" s="59">
        <v>30836</v>
      </c>
      <c r="I6" s="59">
        <v>-18250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12586</v>
      </c>
      <c r="Q6" s="59">
        <v>4095</v>
      </c>
      <c r="R6" s="60">
        <v>36.103462</v>
      </c>
      <c r="S6" s="61">
        <v>39.700000000000003</v>
      </c>
      <c r="T6" s="61">
        <v>38.58</v>
      </c>
      <c r="U6" s="61">
        <v>931798.7</v>
      </c>
      <c r="V6" s="61">
        <v>0</v>
      </c>
      <c r="W6" s="61">
        <v>-724525</v>
      </c>
      <c r="X6" s="61">
        <v>0</v>
      </c>
      <c r="Y6" s="61">
        <v>0</v>
      </c>
      <c r="Z6" s="61">
        <v>0</v>
      </c>
      <c r="AA6" s="61">
        <v>0</v>
      </c>
      <c r="AB6" s="61">
        <v>0</v>
      </c>
      <c r="AC6" s="61">
        <v>0</v>
      </c>
      <c r="AD6" s="61">
        <v>342312.6</v>
      </c>
      <c r="AE6" s="62">
        <v>0</v>
      </c>
      <c r="AF6" s="61">
        <v>847384.35</v>
      </c>
      <c r="AG6" s="61">
        <v>0</v>
      </c>
      <c r="AH6" s="61">
        <v>1189696.95</v>
      </c>
      <c r="AI6" s="61">
        <v>-704111.08</v>
      </c>
      <c r="AJ6" s="61">
        <v>0</v>
      </c>
      <c r="AK6" s="61">
        <v>0</v>
      </c>
      <c r="AL6" s="61">
        <v>0</v>
      </c>
      <c r="AM6" s="61">
        <v>0</v>
      </c>
      <c r="AN6" s="61">
        <v>0</v>
      </c>
      <c r="AO6" s="61">
        <v>0</v>
      </c>
      <c r="AP6" s="61">
        <v>485585.87</v>
      </c>
      <c r="AQ6" s="61">
        <v>0</v>
      </c>
      <c r="AR6" s="61">
        <v>157990.95000000001</v>
      </c>
      <c r="AS6" s="61">
        <v>-84414.35</v>
      </c>
      <c r="AT6" s="61">
        <v>20413.919999999998</v>
      </c>
      <c r="AU6" s="61">
        <v>0</v>
      </c>
    </row>
    <row r="7" spans="1:47" x14ac:dyDescent="0.2">
      <c r="A7" s="58" t="s">
        <v>187</v>
      </c>
      <c r="B7" s="58" t="s">
        <v>188</v>
      </c>
      <c r="C7" s="58" t="s">
        <v>178</v>
      </c>
      <c r="D7" s="59">
        <v>9564</v>
      </c>
      <c r="E7" s="59">
        <v>0</v>
      </c>
      <c r="F7" s="59">
        <v>19359</v>
      </c>
      <c r="G7" s="59">
        <v>0</v>
      </c>
      <c r="H7" s="59">
        <v>28923</v>
      </c>
      <c r="I7" s="59">
        <v>-17193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11730</v>
      </c>
      <c r="Q7" s="59">
        <v>1385</v>
      </c>
      <c r="R7" s="60">
        <v>29.152846</v>
      </c>
      <c r="S7" s="61">
        <v>32.18</v>
      </c>
      <c r="T7" s="61">
        <v>31.94</v>
      </c>
      <c r="U7" s="61">
        <v>622972.62</v>
      </c>
      <c r="V7" s="61">
        <v>0</v>
      </c>
      <c r="W7" s="61">
        <v>-553270.74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359374.75</v>
      </c>
      <c r="AE7" s="62">
        <v>0</v>
      </c>
      <c r="AF7" s="61">
        <v>564369.94999999995</v>
      </c>
      <c r="AG7" s="61">
        <v>0</v>
      </c>
      <c r="AH7" s="61">
        <v>923744.7</v>
      </c>
      <c r="AI7" s="61">
        <v>-549111.18000000005</v>
      </c>
      <c r="AJ7" s="61">
        <v>0</v>
      </c>
      <c r="AK7" s="61">
        <v>0</v>
      </c>
      <c r="AL7" s="61">
        <v>0</v>
      </c>
      <c r="AM7" s="61">
        <v>0</v>
      </c>
      <c r="AN7" s="61">
        <v>0</v>
      </c>
      <c r="AO7" s="61">
        <v>0</v>
      </c>
      <c r="AP7" s="61">
        <v>374633.52</v>
      </c>
      <c r="AQ7" s="61">
        <v>0</v>
      </c>
      <c r="AR7" s="61">
        <v>44234.22</v>
      </c>
      <c r="AS7" s="61">
        <v>-58602.67</v>
      </c>
      <c r="AT7" s="61">
        <v>4159.5600000000004</v>
      </c>
      <c r="AU7" s="61">
        <v>0</v>
      </c>
    </row>
    <row r="8" spans="1:47" x14ac:dyDescent="0.2">
      <c r="A8" s="58" t="s">
        <v>189</v>
      </c>
      <c r="B8" s="58" t="s">
        <v>190</v>
      </c>
      <c r="C8" s="58" t="s">
        <v>178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60">
        <v>0</v>
      </c>
      <c r="S8" s="61">
        <v>33.51</v>
      </c>
      <c r="T8" s="61">
        <v>37.97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2">
        <v>0</v>
      </c>
      <c r="AF8" s="61">
        <v>0</v>
      </c>
      <c r="AG8" s="61">
        <v>0</v>
      </c>
      <c r="AH8" s="61">
        <v>0</v>
      </c>
      <c r="AI8" s="61">
        <v>0</v>
      </c>
      <c r="AJ8" s="61">
        <v>0</v>
      </c>
      <c r="AK8" s="61">
        <v>0</v>
      </c>
      <c r="AL8" s="61">
        <v>0</v>
      </c>
      <c r="AM8" s="61">
        <v>0</v>
      </c>
      <c r="AN8" s="61">
        <v>0</v>
      </c>
      <c r="AO8" s="61">
        <v>0</v>
      </c>
      <c r="AP8" s="61">
        <v>0</v>
      </c>
      <c r="AQ8" s="61">
        <v>0</v>
      </c>
      <c r="AR8" s="61">
        <v>0</v>
      </c>
      <c r="AS8" s="61">
        <v>0</v>
      </c>
      <c r="AT8" s="61">
        <v>0</v>
      </c>
      <c r="AU8" s="61">
        <v>0</v>
      </c>
    </row>
    <row r="9" spans="1:47" x14ac:dyDescent="0.2">
      <c r="A9" s="58" t="s">
        <v>191</v>
      </c>
      <c r="B9" s="58" t="s">
        <v>192</v>
      </c>
      <c r="C9" s="58" t="s">
        <v>178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60">
        <v>0</v>
      </c>
      <c r="S9" s="61">
        <v>31.04</v>
      </c>
      <c r="T9" s="61">
        <v>31.69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2">
        <v>0</v>
      </c>
      <c r="AF9" s="61">
        <v>0</v>
      </c>
      <c r="AG9" s="61">
        <v>0</v>
      </c>
      <c r="AH9" s="61">
        <v>0</v>
      </c>
      <c r="AI9" s="61">
        <v>0</v>
      </c>
      <c r="AJ9" s="61">
        <v>0</v>
      </c>
      <c r="AK9" s="61">
        <v>0</v>
      </c>
      <c r="AL9" s="61">
        <v>0</v>
      </c>
      <c r="AM9" s="61">
        <v>0</v>
      </c>
      <c r="AN9" s="61">
        <v>0</v>
      </c>
      <c r="AO9" s="61">
        <v>0</v>
      </c>
      <c r="AP9" s="61">
        <v>0</v>
      </c>
      <c r="AQ9" s="61">
        <v>0</v>
      </c>
      <c r="AR9" s="61">
        <v>0</v>
      </c>
      <c r="AS9" s="61">
        <v>0</v>
      </c>
      <c r="AT9" s="61">
        <v>0</v>
      </c>
      <c r="AU9" s="61">
        <v>0</v>
      </c>
    </row>
    <row r="10" spans="1:47" x14ac:dyDescent="0.2">
      <c r="A10" s="58" t="s">
        <v>193</v>
      </c>
      <c r="B10" s="58" t="s">
        <v>194</v>
      </c>
      <c r="C10" s="58" t="s">
        <v>178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60">
        <v>0</v>
      </c>
      <c r="S10" s="61">
        <v>28.23</v>
      </c>
      <c r="T10" s="61">
        <v>33.119999999999997</v>
      </c>
      <c r="U10" s="61">
        <v>0</v>
      </c>
      <c r="V10" s="61">
        <v>0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  <c r="AD10" s="61">
        <v>0</v>
      </c>
      <c r="AE10" s="62">
        <v>0</v>
      </c>
      <c r="AF10" s="61">
        <v>0</v>
      </c>
      <c r="AG10" s="61">
        <v>0</v>
      </c>
      <c r="AH10" s="61">
        <v>0</v>
      </c>
      <c r="AI10" s="61">
        <v>0</v>
      </c>
      <c r="AJ10" s="61">
        <v>0</v>
      </c>
      <c r="AK10" s="61">
        <v>0</v>
      </c>
      <c r="AL10" s="61">
        <v>0</v>
      </c>
      <c r="AM10" s="61">
        <v>0</v>
      </c>
      <c r="AN10" s="61">
        <v>0</v>
      </c>
      <c r="AO10" s="61">
        <v>0</v>
      </c>
      <c r="AP10" s="61">
        <v>0</v>
      </c>
      <c r="AQ10" s="61">
        <v>0</v>
      </c>
      <c r="AR10" s="61">
        <v>0</v>
      </c>
      <c r="AS10" s="61">
        <v>0</v>
      </c>
      <c r="AT10" s="61">
        <v>0</v>
      </c>
      <c r="AU10" s="61">
        <v>0</v>
      </c>
    </row>
    <row r="11" spans="1:47" x14ac:dyDescent="0.2">
      <c r="A11" s="58" t="s">
        <v>195</v>
      </c>
      <c r="B11" s="58" t="s">
        <v>196</v>
      </c>
      <c r="C11" s="58" t="s">
        <v>178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60">
        <v>0</v>
      </c>
      <c r="S11" s="61">
        <v>35.97</v>
      </c>
      <c r="T11" s="61">
        <v>34.71</v>
      </c>
      <c r="U11" s="61">
        <v>0</v>
      </c>
      <c r="V11" s="61">
        <v>0</v>
      </c>
      <c r="W11" s="61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61">
        <v>0</v>
      </c>
      <c r="AE11" s="62">
        <v>0</v>
      </c>
      <c r="AF11" s="61">
        <v>0</v>
      </c>
      <c r="AG11" s="61">
        <v>0</v>
      </c>
      <c r="AH11" s="61">
        <v>0</v>
      </c>
      <c r="AI11" s="61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0</v>
      </c>
      <c r="AT11" s="61">
        <v>0</v>
      </c>
      <c r="AU11" s="61">
        <v>0</v>
      </c>
    </row>
    <row r="12" spans="1:47" x14ac:dyDescent="0.2">
      <c r="A12" s="58" t="s">
        <v>197</v>
      </c>
      <c r="B12" s="58" t="s">
        <v>198</v>
      </c>
      <c r="C12" s="58" t="s">
        <v>178</v>
      </c>
      <c r="D12" s="59">
        <v>1791</v>
      </c>
      <c r="E12" s="59">
        <v>0</v>
      </c>
      <c r="F12" s="59">
        <v>5725</v>
      </c>
      <c r="G12" s="59">
        <v>0</v>
      </c>
      <c r="H12" s="59">
        <v>7516</v>
      </c>
      <c r="I12" s="59">
        <v>-4674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2842</v>
      </c>
      <c r="Q12" s="59">
        <v>924</v>
      </c>
      <c r="R12" s="60">
        <v>33.976494000000002</v>
      </c>
      <c r="S12" s="61">
        <v>37.44</v>
      </c>
      <c r="T12" s="61">
        <v>36.31</v>
      </c>
      <c r="U12" s="61">
        <v>214344</v>
      </c>
      <c r="V12" s="61">
        <v>0</v>
      </c>
      <c r="W12" s="61">
        <v>-174994.56</v>
      </c>
      <c r="X12" s="61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1">
        <v>78387.58</v>
      </c>
      <c r="AE12" s="62">
        <v>0</v>
      </c>
      <c r="AF12" s="61">
        <v>194515.43</v>
      </c>
      <c r="AG12" s="61">
        <v>0</v>
      </c>
      <c r="AH12" s="61">
        <v>272903.01</v>
      </c>
      <c r="AI12" s="61">
        <v>-169711.11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1">
        <v>103191.9</v>
      </c>
      <c r="AQ12" s="61">
        <v>0</v>
      </c>
      <c r="AR12" s="61">
        <v>33550.080000000002</v>
      </c>
      <c r="AS12" s="61">
        <v>-19828.57</v>
      </c>
      <c r="AT12" s="61">
        <v>5283.45</v>
      </c>
      <c r="AU12" s="61">
        <v>0</v>
      </c>
    </row>
    <row r="13" spans="1:47" x14ac:dyDescent="0.2">
      <c r="A13" s="58" t="s">
        <v>199</v>
      </c>
      <c r="B13" s="58" t="s">
        <v>200</v>
      </c>
      <c r="C13" s="58" t="s">
        <v>178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60">
        <v>0</v>
      </c>
      <c r="S13" s="61">
        <v>40.98</v>
      </c>
      <c r="T13" s="61">
        <v>46.16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2">
        <v>0</v>
      </c>
      <c r="AF13" s="61">
        <v>0</v>
      </c>
      <c r="AG13" s="61">
        <v>0</v>
      </c>
      <c r="AH13" s="61">
        <v>0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</row>
    <row r="14" spans="1:47" x14ac:dyDescent="0.2">
      <c r="A14" s="58" t="s">
        <v>201</v>
      </c>
      <c r="B14" s="58" t="s">
        <v>202</v>
      </c>
      <c r="C14" s="58" t="s">
        <v>178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60">
        <v>0</v>
      </c>
      <c r="S14" s="61">
        <v>38.49</v>
      </c>
      <c r="T14" s="61">
        <v>46.01</v>
      </c>
      <c r="U14" s="61">
        <v>0</v>
      </c>
      <c r="V14" s="61">
        <v>0</v>
      </c>
      <c r="W14" s="61">
        <v>0</v>
      </c>
      <c r="X14" s="61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0</v>
      </c>
      <c r="AD14" s="61">
        <v>0</v>
      </c>
      <c r="AE14" s="62">
        <v>0</v>
      </c>
      <c r="AF14" s="61">
        <v>0</v>
      </c>
      <c r="AG14" s="61">
        <v>0</v>
      </c>
      <c r="AH14" s="61">
        <v>0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</row>
    <row r="15" spans="1:47" x14ac:dyDescent="0.2">
      <c r="A15" s="58" t="s">
        <v>203</v>
      </c>
      <c r="B15" s="58" t="s">
        <v>204</v>
      </c>
      <c r="C15" s="58" t="s">
        <v>178</v>
      </c>
      <c r="D15" s="59">
        <v>0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60">
        <v>0</v>
      </c>
      <c r="S15" s="61">
        <v>35.78</v>
      </c>
      <c r="T15" s="61">
        <v>34.54</v>
      </c>
      <c r="U15" s="61">
        <v>0</v>
      </c>
      <c r="V15" s="61">
        <v>0</v>
      </c>
      <c r="W15" s="61">
        <v>0</v>
      </c>
      <c r="X15" s="61">
        <v>0</v>
      </c>
      <c r="Y15" s="61">
        <v>0</v>
      </c>
      <c r="Z15" s="61">
        <v>0</v>
      </c>
      <c r="AA15" s="61">
        <v>0</v>
      </c>
      <c r="AB15" s="61">
        <v>0</v>
      </c>
      <c r="AC15" s="61">
        <v>0</v>
      </c>
      <c r="AD15" s="61">
        <v>0</v>
      </c>
      <c r="AE15" s="62">
        <v>0</v>
      </c>
      <c r="AF15" s="61">
        <v>0</v>
      </c>
      <c r="AG15" s="61">
        <v>0</v>
      </c>
      <c r="AH15" s="61">
        <v>0</v>
      </c>
      <c r="AI15" s="61">
        <v>0</v>
      </c>
      <c r="AJ15" s="61">
        <v>0</v>
      </c>
      <c r="AK15" s="61">
        <v>0</v>
      </c>
      <c r="AL15" s="61">
        <v>0</v>
      </c>
      <c r="AM15" s="61">
        <v>0</v>
      </c>
      <c r="AN15" s="61">
        <v>0</v>
      </c>
      <c r="AO15" s="61">
        <v>0</v>
      </c>
      <c r="AP15" s="61">
        <v>0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</row>
    <row r="16" spans="1:47" x14ac:dyDescent="0.2">
      <c r="A16" s="58" t="s">
        <v>205</v>
      </c>
      <c r="B16" s="58" t="s">
        <v>206</v>
      </c>
      <c r="C16" s="58" t="s">
        <v>178</v>
      </c>
      <c r="D16" s="59">
        <v>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60">
        <v>0</v>
      </c>
      <c r="S16" s="61">
        <v>28.04</v>
      </c>
      <c r="T16" s="61">
        <v>28.63</v>
      </c>
      <c r="U16" s="61">
        <v>0</v>
      </c>
      <c r="V16" s="61">
        <v>0</v>
      </c>
      <c r="W16" s="61">
        <v>0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1">
        <v>0</v>
      </c>
      <c r="AE16" s="62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</row>
    <row r="17" spans="1:47" x14ac:dyDescent="0.2">
      <c r="A17" s="58" t="s">
        <v>411</v>
      </c>
      <c r="B17" s="58" t="s">
        <v>412</v>
      </c>
      <c r="C17" s="58" t="s">
        <v>178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60">
        <v>0</v>
      </c>
      <c r="S17" s="61">
        <v>37.770000000000003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1">
        <v>0</v>
      </c>
      <c r="AE17" s="62">
        <v>0</v>
      </c>
      <c r="AF17" s="61">
        <v>0</v>
      </c>
      <c r="AG17" s="61">
        <v>0</v>
      </c>
      <c r="AH17" s="61">
        <v>0</v>
      </c>
      <c r="AI17" s="61">
        <v>0</v>
      </c>
      <c r="AJ17" s="61">
        <v>0</v>
      </c>
      <c r="AK17" s="61">
        <v>0</v>
      </c>
      <c r="AL17" s="61">
        <v>0</v>
      </c>
      <c r="AM17" s="61">
        <v>0</v>
      </c>
      <c r="AN17" s="61">
        <v>0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</row>
    <row r="18" spans="1:47" x14ac:dyDescent="0.2">
      <c r="A18" s="58" t="s">
        <v>207</v>
      </c>
      <c r="B18" s="58" t="s">
        <v>208</v>
      </c>
      <c r="C18" s="58" t="s">
        <v>178</v>
      </c>
      <c r="D18" s="59">
        <v>1093</v>
      </c>
      <c r="E18" s="59">
        <v>620</v>
      </c>
      <c r="F18" s="59">
        <v>25</v>
      </c>
      <c r="G18" s="59">
        <v>0</v>
      </c>
      <c r="H18" s="59">
        <v>1118</v>
      </c>
      <c r="I18" s="59">
        <v>-842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276</v>
      </c>
      <c r="Q18" s="59">
        <v>0</v>
      </c>
      <c r="R18" s="60">
        <v>30.139199999999999</v>
      </c>
      <c r="S18" s="61">
        <v>33.090000000000003</v>
      </c>
      <c r="T18" s="61">
        <v>36.56</v>
      </c>
      <c r="U18" s="61">
        <v>827.25</v>
      </c>
      <c r="V18" s="61">
        <v>0</v>
      </c>
      <c r="W18" s="61">
        <v>-27861.78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40119.360000000001</v>
      </c>
      <c r="AE18" s="62">
        <v>0</v>
      </c>
      <c r="AF18" s="61">
        <v>753.48</v>
      </c>
      <c r="AG18" s="61">
        <v>0</v>
      </c>
      <c r="AH18" s="61">
        <v>40872.839999999997</v>
      </c>
      <c r="AI18" s="61">
        <v>-30782.58</v>
      </c>
      <c r="AJ18" s="61">
        <v>0</v>
      </c>
      <c r="AK18" s="61">
        <v>0</v>
      </c>
      <c r="AL18" s="61">
        <v>0</v>
      </c>
      <c r="AM18" s="61">
        <v>0</v>
      </c>
      <c r="AN18" s="61">
        <v>0</v>
      </c>
      <c r="AO18" s="61">
        <v>0</v>
      </c>
      <c r="AP18" s="61">
        <v>10090.25</v>
      </c>
      <c r="AQ18" s="61">
        <v>0</v>
      </c>
      <c r="AR18" s="61">
        <v>0</v>
      </c>
      <c r="AS18" s="61">
        <v>-73.77</v>
      </c>
      <c r="AT18" s="61">
        <v>-2920.8</v>
      </c>
      <c r="AU18" s="61">
        <v>0</v>
      </c>
    </row>
    <row r="19" spans="1:47" x14ac:dyDescent="0.2">
      <c r="A19" s="58" t="s">
        <v>209</v>
      </c>
      <c r="B19" s="58" t="s">
        <v>210</v>
      </c>
      <c r="C19" s="58" t="s">
        <v>178</v>
      </c>
      <c r="D19" s="59">
        <v>0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60">
        <v>0</v>
      </c>
      <c r="S19" s="61">
        <v>37.26</v>
      </c>
      <c r="T19" s="61">
        <v>1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2">
        <v>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</row>
    <row r="20" spans="1:47" x14ac:dyDescent="0.2">
      <c r="A20" s="58" t="s">
        <v>24</v>
      </c>
      <c r="B20" s="58" t="s">
        <v>211</v>
      </c>
      <c r="C20" s="58" t="s">
        <v>178</v>
      </c>
      <c r="D20" s="59">
        <v>2103</v>
      </c>
      <c r="E20" s="59">
        <v>822</v>
      </c>
      <c r="F20" s="59">
        <v>6020</v>
      </c>
      <c r="G20" s="59">
        <v>0</v>
      </c>
      <c r="H20" s="59">
        <v>8123</v>
      </c>
      <c r="I20" s="59">
        <v>-5766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2357</v>
      </c>
      <c r="Q20" s="59">
        <v>1010</v>
      </c>
      <c r="R20" s="60">
        <v>29.814012000000002</v>
      </c>
      <c r="S20" s="61">
        <v>32.74</v>
      </c>
      <c r="T20" s="61">
        <v>31.52</v>
      </c>
      <c r="U20" s="61">
        <v>197094.8</v>
      </c>
      <c r="V20" s="61">
        <v>0</v>
      </c>
      <c r="W20" s="61">
        <v>-188778.84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76587.679999999993</v>
      </c>
      <c r="AE20" s="62">
        <v>0</v>
      </c>
      <c r="AF20" s="61">
        <v>179480.35</v>
      </c>
      <c r="AG20" s="61">
        <v>0</v>
      </c>
      <c r="AH20" s="61">
        <v>256068.03</v>
      </c>
      <c r="AI20" s="61">
        <v>-181766.37</v>
      </c>
      <c r="AJ20" s="61"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0</v>
      </c>
      <c r="AP20" s="61">
        <v>74301.649999999994</v>
      </c>
      <c r="AQ20" s="61">
        <v>0</v>
      </c>
      <c r="AR20" s="61">
        <v>31839.06</v>
      </c>
      <c r="AS20" s="61">
        <v>-17614.45</v>
      </c>
      <c r="AT20" s="61">
        <v>7012.47</v>
      </c>
      <c r="AU20" s="61">
        <v>0</v>
      </c>
    </row>
    <row r="21" spans="1:47" x14ac:dyDescent="0.2">
      <c r="A21" s="58" t="s">
        <v>212</v>
      </c>
      <c r="B21" s="58" t="s">
        <v>213</v>
      </c>
      <c r="C21" s="58" t="s">
        <v>178</v>
      </c>
      <c r="D21" s="59">
        <v>19</v>
      </c>
      <c r="E21" s="59">
        <v>0</v>
      </c>
      <c r="F21" s="59">
        <v>0</v>
      </c>
      <c r="G21" s="59">
        <v>0</v>
      </c>
      <c r="H21" s="59">
        <v>19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19</v>
      </c>
      <c r="Q21" s="59">
        <v>0</v>
      </c>
      <c r="R21" s="60">
        <v>0</v>
      </c>
      <c r="S21" s="61">
        <v>36.46</v>
      </c>
      <c r="T21" s="61">
        <v>46.4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881.63</v>
      </c>
      <c r="AE21" s="62">
        <v>0</v>
      </c>
      <c r="AF21" s="61">
        <v>0</v>
      </c>
      <c r="AG21" s="61">
        <v>0</v>
      </c>
      <c r="AH21" s="61">
        <v>881.63</v>
      </c>
      <c r="AI21" s="61">
        <v>0</v>
      </c>
      <c r="AJ21" s="61">
        <v>0</v>
      </c>
      <c r="AK21" s="61">
        <v>0</v>
      </c>
      <c r="AL21" s="61">
        <v>0</v>
      </c>
      <c r="AM21" s="61">
        <v>0</v>
      </c>
      <c r="AN21" s="61">
        <v>0</v>
      </c>
      <c r="AO21" s="61">
        <v>0</v>
      </c>
      <c r="AP21" s="61">
        <v>881.63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</row>
    <row r="22" spans="1:47" x14ac:dyDescent="0.2">
      <c r="A22" s="58" t="s">
        <v>214</v>
      </c>
      <c r="B22" s="58" t="s">
        <v>215</v>
      </c>
      <c r="C22" s="58" t="s">
        <v>178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60">
        <v>0</v>
      </c>
      <c r="S22" s="61">
        <v>54.2</v>
      </c>
      <c r="T22" s="61">
        <v>53.4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2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0</v>
      </c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</row>
    <row r="23" spans="1:47" x14ac:dyDescent="0.2">
      <c r="A23" s="58" t="s">
        <v>216</v>
      </c>
      <c r="B23" s="58" t="s">
        <v>217</v>
      </c>
      <c r="C23" s="58" t="s">
        <v>178</v>
      </c>
      <c r="D23" s="59">
        <v>173</v>
      </c>
      <c r="E23" s="59">
        <v>0</v>
      </c>
      <c r="F23" s="59">
        <v>0</v>
      </c>
      <c r="G23" s="59">
        <v>0</v>
      </c>
      <c r="H23" s="59">
        <v>173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173</v>
      </c>
      <c r="Q23" s="59">
        <v>0</v>
      </c>
      <c r="R23" s="60">
        <v>0</v>
      </c>
      <c r="S23" s="61">
        <v>56.76</v>
      </c>
      <c r="T23" s="61">
        <v>54.02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9345.41</v>
      </c>
      <c r="AE23" s="62">
        <v>0</v>
      </c>
      <c r="AF23" s="61">
        <v>0</v>
      </c>
      <c r="AG23" s="61">
        <v>0</v>
      </c>
      <c r="AH23" s="61">
        <v>9345.41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0</v>
      </c>
      <c r="AP23" s="61">
        <v>9345.41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</row>
    <row r="24" spans="1:47" x14ac:dyDescent="0.2">
      <c r="A24" s="58" t="s">
        <v>218</v>
      </c>
      <c r="B24" s="58" t="s">
        <v>219</v>
      </c>
      <c r="C24" s="58" t="s">
        <v>178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60">
        <v>0</v>
      </c>
      <c r="S24" s="61">
        <v>34.22</v>
      </c>
      <c r="T24" s="61">
        <v>39.33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2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0</v>
      </c>
      <c r="AO24" s="61">
        <v>0</v>
      </c>
      <c r="AP24" s="61">
        <v>0</v>
      </c>
      <c r="AQ24" s="61">
        <v>0</v>
      </c>
      <c r="AR24" s="61">
        <v>0</v>
      </c>
      <c r="AS24" s="61">
        <v>0</v>
      </c>
      <c r="AT24" s="61">
        <v>0</v>
      </c>
      <c r="AU24" s="61">
        <v>0</v>
      </c>
    </row>
    <row r="25" spans="1:47" x14ac:dyDescent="0.2">
      <c r="A25" s="58" t="s">
        <v>220</v>
      </c>
      <c r="B25" s="58" t="s">
        <v>221</v>
      </c>
      <c r="C25" s="58" t="s">
        <v>178</v>
      </c>
      <c r="D25" s="59">
        <v>192</v>
      </c>
      <c r="E25" s="59">
        <v>0</v>
      </c>
      <c r="F25" s="59">
        <v>0</v>
      </c>
      <c r="G25" s="59">
        <v>0</v>
      </c>
      <c r="H25" s="59">
        <v>192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192</v>
      </c>
      <c r="Q25" s="59">
        <v>0</v>
      </c>
      <c r="R25" s="60">
        <v>0</v>
      </c>
      <c r="S25" s="61">
        <v>46.29</v>
      </c>
      <c r="T25" s="61">
        <v>45.46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8727.74</v>
      </c>
      <c r="AE25" s="62">
        <v>0</v>
      </c>
      <c r="AF25" s="61">
        <v>0</v>
      </c>
      <c r="AG25" s="61">
        <v>0</v>
      </c>
      <c r="AH25" s="61">
        <v>8727.74</v>
      </c>
      <c r="AI25" s="61">
        <v>0</v>
      </c>
      <c r="AJ25" s="61">
        <v>0</v>
      </c>
      <c r="AK25" s="61">
        <v>0</v>
      </c>
      <c r="AL25" s="61">
        <v>0</v>
      </c>
      <c r="AM25" s="61">
        <v>0</v>
      </c>
      <c r="AN25" s="61">
        <v>0</v>
      </c>
      <c r="AO25" s="61">
        <v>0</v>
      </c>
      <c r="AP25" s="61">
        <v>8727.74</v>
      </c>
      <c r="AQ25" s="61">
        <v>0</v>
      </c>
      <c r="AR25" s="61">
        <v>0</v>
      </c>
      <c r="AS25" s="61">
        <v>0</v>
      </c>
      <c r="AT25" s="61">
        <v>0</v>
      </c>
      <c r="AU25" s="61">
        <v>0</v>
      </c>
    </row>
    <row r="26" spans="1:47" x14ac:dyDescent="0.2">
      <c r="A26" s="58" t="s">
        <v>222</v>
      </c>
      <c r="B26" s="58" t="s">
        <v>223</v>
      </c>
      <c r="C26" s="58" t="s">
        <v>178</v>
      </c>
      <c r="D26" s="59">
        <v>115</v>
      </c>
      <c r="E26" s="59">
        <v>0</v>
      </c>
      <c r="F26" s="59">
        <v>0</v>
      </c>
      <c r="G26" s="59">
        <v>0</v>
      </c>
      <c r="H26" s="59">
        <v>115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115</v>
      </c>
      <c r="Q26" s="59">
        <v>0</v>
      </c>
      <c r="R26" s="60">
        <v>0</v>
      </c>
      <c r="S26" s="61">
        <v>36.909999999999997</v>
      </c>
      <c r="T26" s="61">
        <v>44.98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5172.28</v>
      </c>
      <c r="AE26" s="62">
        <v>0</v>
      </c>
      <c r="AF26" s="61">
        <v>0</v>
      </c>
      <c r="AG26" s="61">
        <v>0</v>
      </c>
      <c r="AH26" s="61">
        <v>5172.28</v>
      </c>
      <c r="AI26" s="61">
        <v>0</v>
      </c>
      <c r="AJ26" s="61">
        <v>0</v>
      </c>
      <c r="AK26" s="61">
        <v>0</v>
      </c>
      <c r="AL26" s="61">
        <v>0</v>
      </c>
      <c r="AM26" s="61">
        <v>0</v>
      </c>
      <c r="AN26" s="61">
        <v>0</v>
      </c>
      <c r="AO26" s="61">
        <v>0</v>
      </c>
      <c r="AP26" s="61">
        <v>5172.28</v>
      </c>
      <c r="AQ26" s="61">
        <v>0</v>
      </c>
      <c r="AR26" s="61">
        <v>0</v>
      </c>
      <c r="AS26" s="61">
        <v>0</v>
      </c>
      <c r="AT26" s="61">
        <v>0</v>
      </c>
      <c r="AU26" s="61">
        <v>0</v>
      </c>
    </row>
    <row r="27" spans="1:47" x14ac:dyDescent="0.2">
      <c r="A27" s="58" t="s">
        <v>224</v>
      </c>
      <c r="B27" s="58" t="s">
        <v>225</v>
      </c>
      <c r="C27" s="58" t="s">
        <v>178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60">
        <v>0</v>
      </c>
      <c r="S27" s="61">
        <v>37.200000000000003</v>
      </c>
      <c r="T27" s="61">
        <v>61.59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0</v>
      </c>
      <c r="AE27" s="62">
        <v>0</v>
      </c>
      <c r="AF27" s="61">
        <v>0</v>
      </c>
      <c r="AG27" s="61">
        <v>0</v>
      </c>
      <c r="AH27" s="61">
        <v>0</v>
      </c>
      <c r="AI27" s="61">
        <v>0</v>
      </c>
      <c r="AJ27" s="61">
        <v>0</v>
      </c>
      <c r="AK27" s="61">
        <v>0</v>
      </c>
      <c r="AL27" s="61">
        <v>0</v>
      </c>
      <c r="AM27" s="61">
        <v>0</v>
      </c>
      <c r="AN27" s="61">
        <v>0</v>
      </c>
      <c r="AO27" s="61">
        <v>0</v>
      </c>
      <c r="AP27" s="61">
        <v>0</v>
      </c>
      <c r="AQ27" s="61">
        <v>0</v>
      </c>
      <c r="AR27" s="61">
        <v>0</v>
      </c>
      <c r="AS27" s="61">
        <v>0</v>
      </c>
      <c r="AT27" s="61">
        <v>0</v>
      </c>
      <c r="AU27" s="61">
        <v>0</v>
      </c>
    </row>
    <row r="28" spans="1:47" x14ac:dyDescent="0.2">
      <c r="A28" s="58" t="s">
        <v>226</v>
      </c>
      <c r="B28" s="58" t="s">
        <v>227</v>
      </c>
      <c r="C28" s="58" t="s">
        <v>178</v>
      </c>
      <c r="D28" s="59">
        <v>4</v>
      </c>
      <c r="E28" s="59">
        <v>10</v>
      </c>
      <c r="F28" s="59">
        <v>186</v>
      </c>
      <c r="G28" s="59">
        <v>0</v>
      </c>
      <c r="H28" s="59">
        <v>190</v>
      </c>
      <c r="I28" s="59">
        <v>-154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36</v>
      </c>
      <c r="Q28" s="59">
        <v>122</v>
      </c>
      <c r="R28" s="60">
        <v>37.863441000000002</v>
      </c>
      <c r="S28" s="61">
        <v>41.03</v>
      </c>
      <c r="T28" s="61">
        <v>37.89</v>
      </c>
      <c r="U28" s="61">
        <v>7631.58</v>
      </c>
      <c r="V28" s="61">
        <v>0</v>
      </c>
      <c r="W28" s="61">
        <v>-6318.62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155.83000000000001</v>
      </c>
      <c r="AE28" s="62">
        <v>0</v>
      </c>
      <c r="AF28" s="61">
        <v>7042.6</v>
      </c>
      <c r="AG28" s="61">
        <v>0</v>
      </c>
      <c r="AH28" s="61">
        <v>7198.43</v>
      </c>
      <c r="AI28" s="61">
        <v>-5834.51</v>
      </c>
      <c r="AJ28" s="61">
        <v>0</v>
      </c>
      <c r="AK28" s="61">
        <v>0</v>
      </c>
      <c r="AL28" s="61">
        <v>0</v>
      </c>
      <c r="AM28" s="61">
        <v>0</v>
      </c>
      <c r="AN28" s="61">
        <v>0</v>
      </c>
      <c r="AO28" s="61">
        <v>0</v>
      </c>
      <c r="AP28" s="61">
        <v>1363.91</v>
      </c>
      <c r="AQ28" s="61">
        <v>0</v>
      </c>
      <c r="AR28" s="61">
        <v>4622.1499999999996</v>
      </c>
      <c r="AS28" s="61">
        <v>-588.98</v>
      </c>
      <c r="AT28" s="61">
        <v>484.11</v>
      </c>
      <c r="AU28" s="61">
        <v>0</v>
      </c>
    </row>
    <row r="29" spans="1:47" x14ac:dyDescent="0.2">
      <c r="A29" s="58" t="s">
        <v>581</v>
      </c>
      <c r="B29" s="58" t="s">
        <v>582</v>
      </c>
      <c r="C29" s="58" t="s">
        <v>178</v>
      </c>
      <c r="D29" s="59">
        <v>0</v>
      </c>
      <c r="E29" s="59">
        <v>0</v>
      </c>
      <c r="F29" s="59">
        <v>72</v>
      </c>
      <c r="G29" s="59">
        <v>0</v>
      </c>
      <c r="H29" s="59">
        <v>72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72</v>
      </c>
      <c r="Q29" s="59">
        <v>0</v>
      </c>
      <c r="R29" s="60">
        <v>34.262500000000003</v>
      </c>
      <c r="S29" s="61">
        <v>37.42</v>
      </c>
      <c r="T29" s="61">
        <v>34.26</v>
      </c>
      <c r="U29" s="61">
        <v>2694.24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2">
        <v>0</v>
      </c>
      <c r="AF29" s="61">
        <v>2466.9</v>
      </c>
      <c r="AG29" s="61">
        <v>0</v>
      </c>
      <c r="AH29" s="61">
        <v>2466.9</v>
      </c>
      <c r="AI29" s="61">
        <v>0</v>
      </c>
      <c r="AJ29" s="61">
        <v>0</v>
      </c>
      <c r="AK29" s="61">
        <v>0</v>
      </c>
      <c r="AL29" s="61">
        <v>0</v>
      </c>
      <c r="AM29" s="61">
        <v>0</v>
      </c>
      <c r="AN29" s="61">
        <v>0</v>
      </c>
      <c r="AO29" s="61">
        <v>0</v>
      </c>
      <c r="AP29" s="61">
        <v>2466.9</v>
      </c>
      <c r="AQ29" s="61">
        <v>0</v>
      </c>
      <c r="AR29" s="61">
        <v>0</v>
      </c>
      <c r="AS29" s="61">
        <v>-227.34</v>
      </c>
      <c r="AT29" s="61">
        <v>0</v>
      </c>
      <c r="AU29" s="61">
        <v>0</v>
      </c>
    </row>
    <row r="30" spans="1:47" x14ac:dyDescent="0.2">
      <c r="A30" s="58" t="s">
        <v>228</v>
      </c>
      <c r="B30" s="58" t="s">
        <v>229</v>
      </c>
      <c r="C30" s="58" t="s">
        <v>178</v>
      </c>
      <c r="D30" s="59">
        <v>441</v>
      </c>
      <c r="E30" s="59">
        <v>0</v>
      </c>
      <c r="F30" s="59">
        <v>0</v>
      </c>
      <c r="G30" s="59">
        <v>0</v>
      </c>
      <c r="H30" s="59">
        <v>441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0</v>
      </c>
      <c r="O30" s="59">
        <v>0</v>
      </c>
      <c r="P30" s="59">
        <v>441</v>
      </c>
      <c r="Q30" s="59">
        <v>0</v>
      </c>
      <c r="R30" s="60">
        <v>0</v>
      </c>
      <c r="S30" s="61">
        <v>29.3</v>
      </c>
      <c r="T30" s="61">
        <v>27.79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12254.49</v>
      </c>
      <c r="AE30" s="62">
        <v>0</v>
      </c>
      <c r="AF30" s="61">
        <v>0</v>
      </c>
      <c r="AG30" s="61">
        <v>0</v>
      </c>
      <c r="AH30" s="61">
        <v>12254.49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0</v>
      </c>
      <c r="AP30" s="61">
        <v>12254.49</v>
      </c>
      <c r="AQ30" s="61">
        <v>0</v>
      </c>
      <c r="AR30" s="61">
        <v>0</v>
      </c>
      <c r="AS30" s="61">
        <v>0</v>
      </c>
      <c r="AT30" s="61">
        <v>0</v>
      </c>
      <c r="AU30" s="61">
        <v>0</v>
      </c>
    </row>
    <row r="31" spans="1:47" x14ac:dyDescent="0.2">
      <c r="A31" s="58" t="s">
        <v>27</v>
      </c>
      <c r="B31" s="58" t="s">
        <v>230</v>
      </c>
      <c r="C31" s="58" t="s">
        <v>178</v>
      </c>
      <c r="D31" s="59">
        <v>3092</v>
      </c>
      <c r="E31" s="59">
        <v>197</v>
      </c>
      <c r="F31" s="59">
        <v>71</v>
      </c>
      <c r="G31" s="59">
        <v>0</v>
      </c>
      <c r="H31" s="59">
        <v>3163</v>
      </c>
      <c r="I31" s="59">
        <v>-2729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59">
        <v>0</v>
      </c>
      <c r="P31" s="59">
        <v>434</v>
      </c>
      <c r="Q31" s="59">
        <v>0</v>
      </c>
      <c r="R31" s="60">
        <v>35.129717999999997</v>
      </c>
      <c r="S31" s="61">
        <v>38.08</v>
      </c>
      <c r="T31" s="61">
        <v>41.78</v>
      </c>
      <c r="U31" s="61">
        <v>2703.68</v>
      </c>
      <c r="V31" s="61">
        <v>0</v>
      </c>
      <c r="W31" s="61">
        <v>-103920.32000000001</v>
      </c>
      <c r="X31" s="61">
        <v>0</v>
      </c>
      <c r="Y31" s="61">
        <v>0</v>
      </c>
      <c r="Z31" s="61">
        <v>0</v>
      </c>
      <c r="AA31" s="61">
        <v>0</v>
      </c>
      <c r="AB31" s="61">
        <v>0</v>
      </c>
      <c r="AC31" s="61">
        <v>0</v>
      </c>
      <c r="AD31" s="61">
        <v>129658.69</v>
      </c>
      <c r="AE31" s="62">
        <v>0</v>
      </c>
      <c r="AF31" s="61">
        <v>2494.21</v>
      </c>
      <c r="AG31" s="61">
        <v>0</v>
      </c>
      <c r="AH31" s="61">
        <v>132152.9</v>
      </c>
      <c r="AI31" s="61">
        <v>-114020</v>
      </c>
      <c r="AJ31" s="61">
        <v>0</v>
      </c>
      <c r="AK31" s="61">
        <v>0</v>
      </c>
      <c r="AL31" s="61">
        <v>0</v>
      </c>
      <c r="AM31" s="61">
        <v>0</v>
      </c>
      <c r="AN31" s="61">
        <v>0</v>
      </c>
      <c r="AO31" s="61">
        <v>0</v>
      </c>
      <c r="AP31" s="61">
        <v>18132.900000000001</v>
      </c>
      <c r="AQ31" s="61">
        <v>0</v>
      </c>
      <c r="AR31" s="61">
        <v>0</v>
      </c>
      <c r="AS31" s="61">
        <v>-209.47</v>
      </c>
      <c r="AT31" s="61">
        <v>-10099.68</v>
      </c>
      <c r="AU31" s="61">
        <v>0</v>
      </c>
    </row>
    <row r="32" spans="1:47" x14ac:dyDescent="0.2">
      <c r="A32" s="58" t="s">
        <v>29</v>
      </c>
      <c r="B32" s="58" t="s">
        <v>231</v>
      </c>
      <c r="C32" s="58" t="s">
        <v>178</v>
      </c>
      <c r="D32" s="59">
        <v>617</v>
      </c>
      <c r="E32" s="59">
        <v>96</v>
      </c>
      <c r="F32" s="59">
        <v>2531</v>
      </c>
      <c r="G32" s="59">
        <v>0</v>
      </c>
      <c r="H32" s="59">
        <v>3148</v>
      </c>
      <c r="I32" s="59">
        <v>-1017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2131</v>
      </c>
      <c r="Q32" s="59">
        <v>472</v>
      </c>
      <c r="R32" s="60">
        <v>29.761948</v>
      </c>
      <c r="S32" s="61">
        <v>32.76</v>
      </c>
      <c r="T32" s="61">
        <v>30.76</v>
      </c>
      <c r="U32" s="61">
        <v>82915.56</v>
      </c>
      <c r="V32" s="61">
        <v>0</v>
      </c>
      <c r="W32" s="61">
        <v>-33316.92</v>
      </c>
      <c r="X32" s="61">
        <v>0</v>
      </c>
      <c r="Y32" s="61">
        <v>0</v>
      </c>
      <c r="Z32" s="61">
        <v>0</v>
      </c>
      <c r="AA32" s="61">
        <v>0</v>
      </c>
      <c r="AB32" s="61">
        <v>0</v>
      </c>
      <c r="AC32" s="61">
        <v>0</v>
      </c>
      <c r="AD32" s="61">
        <v>21502.9</v>
      </c>
      <c r="AE32" s="62">
        <v>0</v>
      </c>
      <c r="AF32" s="61">
        <v>75327.490000000005</v>
      </c>
      <c r="AG32" s="61">
        <v>0</v>
      </c>
      <c r="AH32" s="61">
        <v>96830.39</v>
      </c>
      <c r="AI32" s="61">
        <v>-31282.25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0</v>
      </c>
      <c r="AP32" s="61">
        <v>65548.149999999994</v>
      </c>
      <c r="AQ32" s="61">
        <v>0</v>
      </c>
      <c r="AR32" s="61">
        <v>14518.41</v>
      </c>
      <c r="AS32" s="61">
        <v>-7588.07</v>
      </c>
      <c r="AT32" s="61">
        <v>2034.67</v>
      </c>
      <c r="AU32" s="61">
        <v>0</v>
      </c>
    </row>
    <row r="33" spans="1:47" x14ac:dyDescent="0.2">
      <c r="A33" s="58" t="s">
        <v>232</v>
      </c>
      <c r="B33" s="58" t="s">
        <v>233</v>
      </c>
      <c r="C33" s="58" t="s">
        <v>178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59">
        <v>0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0</v>
      </c>
      <c r="R33" s="60">
        <v>0</v>
      </c>
      <c r="S33" s="61">
        <v>30.23</v>
      </c>
      <c r="T33" s="61">
        <v>33.14</v>
      </c>
      <c r="U33" s="61">
        <v>0</v>
      </c>
      <c r="V33" s="61">
        <v>0</v>
      </c>
      <c r="W33" s="61">
        <v>0</v>
      </c>
      <c r="X33" s="61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2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0</v>
      </c>
      <c r="AP33" s="61">
        <v>0</v>
      </c>
      <c r="AQ33" s="61">
        <v>0</v>
      </c>
      <c r="AR33" s="61">
        <v>0</v>
      </c>
      <c r="AS33" s="61">
        <v>0</v>
      </c>
      <c r="AT33" s="61">
        <v>0</v>
      </c>
      <c r="AU33" s="61">
        <v>0</v>
      </c>
    </row>
    <row r="34" spans="1:47" x14ac:dyDescent="0.2">
      <c r="A34" s="58" t="s">
        <v>31</v>
      </c>
      <c r="B34" s="58" t="s">
        <v>234</v>
      </c>
      <c r="C34" s="58" t="s">
        <v>178</v>
      </c>
      <c r="D34" s="59">
        <v>2816</v>
      </c>
      <c r="E34" s="59">
        <v>0</v>
      </c>
      <c r="F34" s="59">
        <v>10591</v>
      </c>
      <c r="G34" s="59">
        <v>0</v>
      </c>
      <c r="H34" s="59">
        <v>13407</v>
      </c>
      <c r="I34" s="59">
        <v>-12969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438</v>
      </c>
      <c r="Q34" s="59">
        <v>0</v>
      </c>
      <c r="R34" s="60">
        <v>29.406027999999999</v>
      </c>
      <c r="S34" s="61">
        <v>32.42</v>
      </c>
      <c r="T34" s="61">
        <v>30.31</v>
      </c>
      <c r="U34" s="61">
        <v>343360.22</v>
      </c>
      <c r="V34" s="61">
        <v>0</v>
      </c>
      <c r="W34" s="61">
        <v>-420454.98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  <c r="AD34" s="61">
        <v>94874.63</v>
      </c>
      <c r="AE34" s="62">
        <v>0</v>
      </c>
      <c r="AF34" s="61">
        <v>311439.24</v>
      </c>
      <c r="AG34" s="61">
        <v>0</v>
      </c>
      <c r="AH34" s="61">
        <v>406313.87</v>
      </c>
      <c r="AI34" s="61">
        <v>-393039.8</v>
      </c>
      <c r="AJ34" s="61">
        <v>0</v>
      </c>
      <c r="AK34" s="61">
        <v>0</v>
      </c>
      <c r="AL34" s="61">
        <v>0</v>
      </c>
      <c r="AM34" s="61">
        <v>0</v>
      </c>
      <c r="AN34" s="61">
        <v>0</v>
      </c>
      <c r="AO34" s="61">
        <v>0</v>
      </c>
      <c r="AP34" s="61">
        <v>13274.07</v>
      </c>
      <c r="AQ34" s="61">
        <v>0</v>
      </c>
      <c r="AR34" s="61">
        <v>0</v>
      </c>
      <c r="AS34" s="61">
        <v>-31920.98</v>
      </c>
      <c r="AT34" s="61">
        <v>27415.18</v>
      </c>
      <c r="AU34" s="61">
        <v>0</v>
      </c>
    </row>
    <row r="35" spans="1:47" x14ac:dyDescent="0.2">
      <c r="A35" s="58" t="s">
        <v>33</v>
      </c>
      <c r="B35" s="58" t="s">
        <v>235</v>
      </c>
      <c r="C35" s="58" t="s">
        <v>178</v>
      </c>
      <c r="D35" s="59">
        <v>1279</v>
      </c>
      <c r="E35" s="59">
        <v>548</v>
      </c>
      <c r="F35" s="59">
        <v>55</v>
      </c>
      <c r="G35" s="59">
        <v>0</v>
      </c>
      <c r="H35" s="59">
        <v>1334</v>
      </c>
      <c r="I35" s="59">
        <v>-1149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185</v>
      </c>
      <c r="Q35" s="59">
        <v>0</v>
      </c>
      <c r="R35" s="60">
        <v>40.376545</v>
      </c>
      <c r="S35" s="61">
        <v>43.78</v>
      </c>
      <c r="T35" s="61">
        <v>47.17</v>
      </c>
      <c r="U35" s="61">
        <v>2407.9</v>
      </c>
      <c r="V35" s="61">
        <v>0</v>
      </c>
      <c r="W35" s="61">
        <v>-50303.22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0</v>
      </c>
      <c r="AD35" s="61">
        <v>60707.63</v>
      </c>
      <c r="AE35" s="62">
        <v>0</v>
      </c>
      <c r="AF35" s="61">
        <v>2220.71</v>
      </c>
      <c r="AG35" s="61">
        <v>0</v>
      </c>
      <c r="AH35" s="61">
        <v>62928.34</v>
      </c>
      <c r="AI35" s="61">
        <v>-54201.39</v>
      </c>
      <c r="AJ35" s="61">
        <v>0</v>
      </c>
      <c r="AK35" s="61">
        <v>0</v>
      </c>
      <c r="AL35" s="61">
        <v>0</v>
      </c>
      <c r="AM35" s="61">
        <v>0</v>
      </c>
      <c r="AN35" s="61">
        <v>0</v>
      </c>
      <c r="AO35" s="61">
        <v>0</v>
      </c>
      <c r="AP35" s="61">
        <v>8726.94</v>
      </c>
      <c r="AQ35" s="61">
        <v>0</v>
      </c>
      <c r="AR35" s="61">
        <v>0</v>
      </c>
      <c r="AS35" s="61">
        <v>-187.19</v>
      </c>
      <c r="AT35" s="61">
        <v>-3898.17</v>
      </c>
      <c r="AU35" s="61">
        <v>0</v>
      </c>
    </row>
    <row r="36" spans="1:47" x14ac:dyDescent="0.2">
      <c r="A36" s="58" t="s">
        <v>35</v>
      </c>
      <c r="B36" s="58" t="s">
        <v>236</v>
      </c>
      <c r="C36" s="58" t="s">
        <v>178</v>
      </c>
      <c r="D36" s="59">
        <v>577</v>
      </c>
      <c r="E36" s="59">
        <v>136</v>
      </c>
      <c r="F36" s="59">
        <v>1787</v>
      </c>
      <c r="G36" s="59">
        <v>0</v>
      </c>
      <c r="H36" s="59">
        <v>2364</v>
      </c>
      <c r="I36" s="59">
        <v>-568</v>
      </c>
      <c r="J36" s="59">
        <v>0</v>
      </c>
      <c r="K36" s="59">
        <v>0</v>
      </c>
      <c r="L36" s="59">
        <v>0</v>
      </c>
      <c r="M36" s="59">
        <v>0</v>
      </c>
      <c r="N36" s="59">
        <v>0</v>
      </c>
      <c r="O36" s="59">
        <v>0</v>
      </c>
      <c r="P36" s="59">
        <v>1796</v>
      </c>
      <c r="Q36" s="59">
        <v>0</v>
      </c>
      <c r="R36" s="60">
        <v>31.749400999999999</v>
      </c>
      <c r="S36" s="61">
        <v>34.9</v>
      </c>
      <c r="T36" s="61">
        <v>32.869999999999997</v>
      </c>
      <c r="U36" s="61">
        <v>62366.3</v>
      </c>
      <c r="V36" s="61">
        <v>0</v>
      </c>
      <c r="W36" s="61">
        <v>-19823.2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20979.37</v>
      </c>
      <c r="AE36" s="62">
        <v>0</v>
      </c>
      <c r="AF36" s="61">
        <v>56736.18</v>
      </c>
      <c r="AG36" s="61">
        <v>0</v>
      </c>
      <c r="AH36" s="61">
        <v>77715.55</v>
      </c>
      <c r="AI36" s="61">
        <v>-18672.77</v>
      </c>
      <c r="AJ36" s="61">
        <v>0</v>
      </c>
      <c r="AK36" s="61">
        <v>0</v>
      </c>
      <c r="AL36" s="61">
        <v>0</v>
      </c>
      <c r="AM36" s="61">
        <v>0</v>
      </c>
      <c r="AN36" s="61">
        <v>0</v>
      </c>
      <c r="AO36" s="61">
        <v>0</v>
      </c>
      <c r="AP36" s="61">
        <v>59042.78</v>
      </c>
      <c r="AQ36" s="61">
        <v>0</v>
      </c>
      <c r="AR36" s="61">
        <v>0</v>
      </c>
      <c r="AS36" s="61">
        <v>-5630.12</v>
      </c>
      <c r="AT36" s="61">
        <v>1150.43</v>
      </c>
      <c r="AU36" s="61">
        <v>0</v>
      </c>
    </row>
    <row r="37" spans="1:47" x14ac:dyDescent="0.2">
      <c r="A37" s="58" t="s">
        <v>237</v>
      </c>
      <c r="B37" s="58" t="s">
        <v>238</v>
      </c>
      <c r="C37" s="58" t="s">
        <v>178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v>0</v>
      </c>
      <c r="J37" s="59">
        <v>0</v>
      </c>
      <c r="K37" s="59">
        <v>0</v>
      </c>
      <c r="L37" s="59">
        <v>0</v>
      </c>
      <c r="M37" s="59">
        <v>0</v>
      </c>
      <c r="N37" s="59">
        <v>0</v>
      </c>
      <c r="O37" s="59">
        <v>0</v>
      </c>
      <c r="P37" s="59">
        <v>0</v>
      </c>
      <c r="Q37" s="59">
        <v>0</v>
      </c>
      <c r="R37" s="60">
        <v>0</v>
      </c>
      <c r="S37" s="61">
        <v>29.28</v>
      </c>
      <c r="T37" s="61">
        <v>35.49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2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0</v>
      </c>
      <c r="AL37" s="61">
        <v>0</v>
      </c>
      <c r="AM37" s="61">
        <v>0</v>
      </c>
      <c r="AN37" s="61">
        <v>0</v>
      </c>
      <c r="AO37" s="61">
        <v>0</v>
      </c>
      <c r="AP37" s="61">
        <v>0</v>
      </c>
      <c r="AQ37" s="61">
        <v>0</v>
      </c>
      <c r="AR37" s="61">
        <v>0</v>
      </c>
      <c r="AS37" s="61">
        <v>0</v>
      </c>
      <c r="AT37" s="61">
        <v>0</v>
      </c>
      <c r="AU37" s="61">
        <v>0</v>
      </c>
    </row>
    <row r="38" spans="1:47" x14ac:dyDescent="0.2">
      <c r="A38" s="58" t="s">
        <v>239</v>
      </c>
      <c r="B38" s="58" t="s">
        <v>240</v>
      </c>
      <c r="C38" s="58" t="s">
        <v>178</v>
      </c>
      <c r="D38" s="59">
        <v>0</v>
      </c>
      <c r="E38" s="59">
        <v>0</v>
      </c>
      <c r="F38" s="59">
        <v>0</v>
      </c>
      <c r="G38" s="59">
        <v>0</v>
      </c>
      <c r="H38" s="59">
        <v>0</v>
      </c>
      <c r="I38" s="59">
        <v>0</v>
      </c>
      <c r="J38" s="59">
        <v>0</v>
      </c>
      <c r="K38" s="59">
        <v>0</v>
      </c>
      <c r="L38" s="59">
        <v>0</v>
      </c>
      <c r="M38" s="59">
        <v>0</v>
      </c>
      <c r="N38" s="59">
        <v>0</v>
      </c>
      <c r="O38" s="59">
        <v>0</v>
      </c>
      <c r="P38" s="59">
        <v>0</v>
      </c>
      <c r="Q38" s="59">
        <v>0</v>
      </c>
      <c r="R38" s="60">
        <v>0</v>
      </c>
      <c r="S38" s="61">
        <v>41.04</v>
      </c>
      <c r="T38" s="61">
        <v>45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2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  <c r="AS38" s="61">
        <v>0</v>
      </c>
      <c r="AT38" s="61">
        <v>0</v>
      </c>
      <c r="AU38" s="61">
        <v>0</v>
      </c>
    </row>
    <row r="39" spans="1:47" x14ac:dyDescent="0.2">
      <c r="A39" s="58" t="s">
        <v>241</v>
      </c>
      <c r="B39" s="58" t="s">
        <v>242</v>
      </c>
      <c r="C39" s="58" t="s">
        <v>178</v>
      </c>
      <c r="D39" s="59">
        <v>11</v>
      </c>
      <c r="E39" s="59">
        <v>0</v>
      </c>
      <c r="F39" s="59">
        <v>0</v>
      </c>
      <c r="G39" s="59">
        <v>0</v>
      </c>
      <c r="H39" s="59">
        <v>11</v>
      </c>
      <c r="I39" s="59">
        <v>0</v>
      </c>
      <c r="J39" s="59">
        <v>0</v>
      </c>
      <c r="K39" s="59">
        <v>0</v>
      </c>
      <c r="L39" s="59">
        <v>0</v>
      </c>
      <c r="M39" s="59">
        <v>0</v>
      </c>
      <c r="N39" s="59">
        <v>0</v>
      </c>
      <c r="O39" s="59">
        <v>0</v>
      </c>
      <c r="P39" s="59">
        <v>11</v>
      </c>
      <c r="Q39" s="59">
        <v>0</v>
      </c>
      <c r="R39" s="60">
        <v>0</v>
      </c>
      <c r="S39" s="61">
        <v>34.72</v>
      </c>
      <c r="T39" s="61">
        <v>41.15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452.69</v>
      </c>
      <c r="AE39" s="62">
        <v>0</v>
      </c>
      <c r="AF39" s="61">
        <v>0</v>
      </c>
      <c r="AG39" s="61">
        <v>0</v>
      </c>
      <c r="AH39" s="61">
        <v>452.69</v>
      </c>
      <c r="AI39" s="61">
        <v>0</v>
      </c>
      <c r="AJ39" s="61">
        <v>0</v>
      </c>
      <c r="AK39" s="61">
        <v>0</v>
      </c>
      <c r="AL39" s="61">
        <v>0</v>
      </c>
      <c r="AM39" s="61">
        <v>0</v>
      </c>
      <c r="AN39" s="61">
        <v>0</v>
      </c>
      <c r="AO39" s="61">
        <v>0</v>
      </c>
      <c r="AP39" s="61">
        <v>452.69</v>
      </c>
      <c r="AQ39" s="61">
        <v>0</v>
      </c>
      <c r="AR39" s="61">
        <v>0</v>
      </c>
      <c r="AS39" s="61">
        <v>0</v>
      </c>
      <c r="AT39" s="61">
        <v>0</v>
      </c>
      <c r="AU39" s="61">
        <v>0</v>
      </c>
    </row>
    <row r="40" spans="1:47" x14ac:dyDescent="0.2">
      <c r="A40" s="58" t="s">
        <v>243</v>
      </c>
      <c r="B40" s="58" t="s">
        <v>244</v>
      </c>
      <c r="C40" s="58" t="s">
        <v>178</v>
      </c>
      <c r="D40" s="59">
        <v>132</v>
      </c>
      <c r="E40" s="59">
        <v>0</v>
      </c>
      <c r="F40" s="59">
        <v>2</v>
      </c>
      <c r="G40" s="59">
        <v>0</v>
      </c>
      <c r="H40" s="59">
        <v>134</v>
      </c>
      <c r="I40" s="59">
        <v>-130</v>
      </c>
      <c r="J40" s="59">
        <v>0</v>
      </c>
      <c r="K40" s="59">
        <v>0</v>
      </c>
      <c r="L40" s="59">
        <v>0</v>
      </c>
      <c r="M40" s="59">
        <v>0</v>
      </c>
      <c r="N40" s="59">
        <v>0</v>
      </c>
      <c r="O40" s="59">
        <v>0</v>
      </c>
      <c r="P40" s="59">
        <v>4</v>
      </c>
      <c r="Q40" s="59">
        <v>0</v>
      </c>
      <c r="R40" s="60">
        <v>35.594999999999999</v>
      </c>
      <c r="S40" s="61">
        <v>39.42</v>
      </c>
      <c r="T40" s="61">
        <v>37.65</v>
      </c>
      <c r="U40" s="61">
        <v>78.84</v>
      </c>
      <c r="V40" s="61">
        <v>0</v>
      </c>
      <c r="W40" s="61">
        <v>-5124.6000000000004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4973.8900000000003</v>
      </c>
      <c r="AE40" s="62">
        <v>0</v>
      </c>
      <c r="AF40" s="61">
        <v>71.19</v>
      </c>
      <c r="AG40" s="61">
        <v>0</v>
      </c>
      <c r="AH40" s="61">
        <v>5045.08</v>
      </c>
      <c r="AI40" s="61">
        <v>-4894.4799999999996</v>
      </c>
      <c r="AJ40" s="61">
        <v>0</v>
      </c>
      <c r="AK40" s="61">
        <v>0</v>
      </c>
      <c r="AL40" s="61">
        <v>0</v>
      </c>
      <c r="AM40" s="61">
        <v>0</v>
      </c>
      <c r="AN40" s="61">
        <v>0</v>
      </c>
      <c r="AO40" s="61">
        <v>0</v>
      </c>
      <c r="AP40" s="61">
        <v>150.6</v>
      </c>
      <c r="AQ40" s="61">
        <v>0</v>
      </c>
      <c r="AR40" s="61">
        <v>0</v>
      </c>
      <c r="AS40" s="61">
        <v>-7.65</v>
      </c>
      <c r="AT40" s="61">
        <v>230.12</v>
      </c>
      <c r="AU40" s="61">
        <v>0</v>
      </c>
    </row>
    <row r="41" spans="1:47" x14ac:dyDescent="0.2">
      <c r="A41" s="58" t="s">
        <v>245</v>
      </c>
      <c r="B41" s="58" t="s">
        <v>246</v>
      </c>
      <c r="C41" s="58" t="s">
        <v>178</v>
      </c>
      <c r="D41" s="59">
        <v>322</v>
      </c>
      <c r="E41" s="59">
        <v>0</v>
      </c>
      <c r="F41" s="59">
        <v>0</v>
      </c>
      <c r="G41" s="59">
        <v>0</v>
      </c>
      <c r="H41" s="59">
        <v>322</v>
      </c>
      <c r="I41" s="59">
        <v>0</v>
      </c>
      <c r="J41" s="59">
        <v>0</v>
      </c>
      <c r="K41" s="59">
        <v>0</v>
      </c>
      <c r="L41" s="59">
        <v>0</v>
      </c>
      <c r="M41" s="59">
        <v>0</v>
      </c>
      <c r="N41" s="59">
        <v>0</v>
      </c>
      <c r="O41" s="59">
        <v>0</v>
      </c>
      <c r="P41" s="59">
        <v>322</v>
      </c>
      <c r="Q41" s="59">
        <v>0</v>
      </c>
      <c r="R41" s="60">
        <v>0</v>
      </c>
      <c r="S41" s="61">
        <v>45.39</v>
      </c>
      <c r="T41" s="61">
        <v>42.93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13824.82</v>
      </c>
      <c r="AE41" s="62">
        <v>0</v>
      </c>
      <c r="AF41" s="61">
        <v>0</v>
      </c>
      <c r="AG41" s="61">
        <v>0</v>
      </c>
      <c r="AH41" s="61">
        <v>13824.82</v>
      </c>
      <c r="AI41" s="61">
        <v>0</v>
      </c>
      <c r="AJ41" s="61">
        <v>0</v>
      </c>
      <c r="AK41" s="61">
        <v>0</v>
      </c>
      <c r="AL41" s="61">
        <v>0</v>
      </c>
      <c r="AM41" s="61">
        <v>0</v>
      </c>
      <c r="AN41" s="61">
        <v>0</v>
      </c>
      <c r="AO41" s="61">
        <v>0</v>
      </c>
      <c r="AP41" s="61">
        <v>13824.82</v>
      </c>
      <c r="AQ41" s="61">
        <v>0</v>
      </c>
      <c r="AR41" s="61">
        <v>0</v>
      </c>
      <c r="AS41" s="61">
        <v>0</v>
      </c>
      <c r="AT41" s="61">
        <v>0</v>
      </c>
      <c r="AU41" s="61">
        <v>0</v>
      </c>
    </row>
    <row r="42" spans="1:47" x14ac:dyDescent="0.2">
      <c r="A42" s="58" t="s">
        <v>37</v>
      </c>
      <c r="B42" s="58" t="s">
        <v>247</v>
      </c>
      <c r="C42" s="58" t="s">
        <v>178</v>
      </c>
      <c r="D42" s="59">
        <v>1327</v>
      </c>
      <c r="E42" s="59">
        <v>0</v>
      </c>
      <c r="F42" s="59">
        <v>2</v>
      </c>
      <c r="G42" s="59">
        <v>0</v>
      </c>
      <c r="H42" s="59">
        <v>1329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1329</v>
      </c>
      <c r="Q42" s="59">
        <v>0</v>
      </c>
      <c r="R42" s="60">
        <v>28.445</v>
      </c>
      <c r="S42" s="61">
        <v>31.78</v>
      </c>
      <c r="T42" s="61">
        <v>30.78</v>
      </c>
      <c r="U42" s="61">
        <v>63.56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40843.120000000003</v>
      </c>
      <c r="AE42" s="62">
        <v>0</v>
      </c>
      <c r="AF42" s="61">
        <v>56.89</v>
      </c>
      <c r="AG42" s="61">
        <v>0</v>
      </c>
      <c r="AH42" s="61">
        <v>40900.01</v>
      </c>
      <c r="AI42" s="61">
        <v>0</v>
      </c>
      <c r="AJ42" s="61">
        <v>0</v>
      </c>
      <c r="AK42" s="61">
        <v>0</v>
      </c>
      <c r="AL42" s="61">
        <v>0</v>
      </c>
      <c r="AM42" s="61">
        <v>0</v>
      </c>
      <c r="AN42" s="61">
        <v>0</v>
      </c>
      <c r="AO42" s="61">
        <v>0</v>
      </c>
      <c r="AP42" s="61">
        <v>40900.01</v>
      </c>
      <c r="AQ42" s="61">
        <v>0</v>
      </c>
      <c r="AR42" s="61">
        <v>0</v>
      </c>
      <c r="AS42" s="61">
        <v>-6.67</v>
      </c>
      <c r="AT42" s="61">
        <v>0</v>
      </c>
      <c r="AU42" s="61">
        <v>0</v>
      </c>
    </row>
    <row r="43" spans="1:47" x14ac:dyDescent="0.2">
      <c r="A43" s="58" t="s">
        <v>39</v>
      </c>
      <c r="B43" s="58" t="s">
        <v>248</v>
      </c>
      <c r="C43" s="58" t="s">
        <v>178</v>
      </c>
      <c r="D43" s="59">
        <v>1996</v>
      </c>
      <c r="E43" s="59">
        <v>1003</v>
      </c>
      <c r="F43" s="59">
        <v>716</v>
      </c>
      <c r="G43" s="59">
        <v>0</v>
      </c>
      <c r="H43" s="59">
        <v>2712</v>
      </c>
      <c r="I43" s="59">
        <v>-2605</v>
      </c>
      <c r="J43" s="59">
        <v>0</v>
      </c>
      <c r="K43" s="59">
        <v>0</v>
      </c>
      <c r="L43" s="59">
        <v>0</v>
      </c>
      <c r="M43" s="59">
        <v>0</v>
      </c>
      <c r="N43" s="59">
        <v>0</v>
      </c>
      <c r="O43" s="59">
        <v>0</v>
      </c>
      <c r="P43" s="59">
        <v>107</v>
      </c>
      <c r="Q43" s="59">
        <v>0</v>
      </c>
      <c r="R43" s="60">
        <v>34.127960999999999</v>
      </c>
      <c r="S43" s="61">
        <v>37.409999999999997</v>
      </c>
      <c r="T43" s="61">
        <v>39.71</v>
      </c>
      <c r="U43" s="61">
        <v>26785.56</v>
      </c>
      <c r="V43" s="61">
        <v>0</v>
      </c>
      <c r="W43" s="61">
        <v>-97453.05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83257.45</v>
      </c>
      <c r="AE43" s="62">
        <v>0</v>
      </c>
      <c r="AF43" s="61">
        <v>24435.62</v>
      </c>
      <c r="AG43" s="61">
        <v>0</v>
      </c>
      <c r="AH43" s="61">
        <v>107693.07</v>
      </c>
      <c r="AI43" s="61">
        <v>-103444.12</v>
      </c>
      <c r="AJ43" s="61">
        <v>0</v>
      </c>
      <c r="AK43" s="61">
        <v>0</v>
      </c>
      <c r="AL43" s="61">
        <v>0</v>
      </c>
      <c r="AM43" s="61">
        <v>0</v>
      </c>
      <c r="AN43" s="61">
        <v>0</v>
      </c>
      <c r="AO43" s="61">
        <v>0</v>
      </c>
      <c r="AP43" s="61">
        <v>4248.95</v>
      </c>
      <c r="AQ43" s="61">
        <v>0</v>
      </c>
      <c r="AR43" s="61">
        <v>0</v>
      </c>
      <c r="AS43" s="61">
        <v>-2349.94</v>
      </c>
      <c r="AT43" s="61">
        <v>-5991.07</v>
      </c>
      <c r="AU43" s="61">
        <v>0</v>
      </c>
    </row>
    <row r="44" spans="1:47" x14ac:dyDescent="0.2">
      <c r="A44" s="58" t="s">
        <v>249</v>
      </c>
      <c r="B44" s="58" t="s">
        <v>250</v>
      </c>
      <c r="C44" s="58" t="s">
        <v>178</v>
      </c>
      <c r="D44" s="59">
        <v>3</v>
      </c>
      <c r="E44" s="59">
        <v>0</v>
      </c>
      <c r="F44" s="59">
        <v>0</v>
      </c>
      <c r="G44" s="59">
        <v>0</v>
      </c>
      <c r="H44" s="59">
        <v>3</v>
      </c>
      <c r="I44" s="59">
        <v>0</v>
      </c>
      <c r="J44" s="59">
        <v>0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3</v>
      </c>
      <c r="Q44" s="59">
        <v>0</v>
      </c>
      <c r="R44" s="60">
        <v>0</v>
      </c>
      <c r="S44" s="61">
        <v>44.12</v>
      </c>
      <c r="T44" s="61">
        <v>53.22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159.66999999999999</v>
      </c>
      <c r="AE44" s="62">
        <v>0</v>
      </c>
      <c r="AF44" s="61">
        <v>0</v>
      </c>
      <c r="AG44" s="61">
        <v>0</v>
      </c>
      <c r="AH44" s="61">
        <v>159.66999999999999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0</v>
      </c>
      <c r="AP44" s="61">
        <v>159.66999999999999</v>
      </c>
      <c r="AQ44" s="61">
        <v>0</v>
      </c>
      <c r="AR44" s="61">
        <v>0</v>
      </c>
      <c r="AS44" s="61">
        <v>0</v>
      </c>
      <c r="AT44" s="61">
        <v>0</v>
      </c>
      <c r="AU44" s="61">
        <v>0</v>
      </c>
    </row>
    <row r="45" spans="1:47" x14ac:dyDescent="0.2">
      <c r="A45" s="58" t="s">
        <v>41</v>
      </c>
      <c r="B45" s="58" t="s">
        <v>251</v>
      </c>
      <c r="C45" s="58" t="s">
        <v>178</v>
      </c>
      <c r="D45" s="59">
        <v>1902</v>
      </c>
      <c r="E45" s="59">
        <v>716</v>
      </c>
      <c r="F45" s="59">
        <v>3120</v>
      </c>
      <c r="G45" s="59">
        <v>0</v>
      </c>
      <c r="H45" s="59">
        <v>5022</v>
      </c>
      <c r="I45" s="59">
        <v>-4720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302</v>
      </c>
      <c r="Q45" s="59">
        <v>112</v>
      </c>
      <c r="R45" s="60">
        <v>41.078394000000003</v>
      </c>
      <c r="S45" s="61">
        <v>44.61</v>
      </c>
      <c r="T45" s="61">
        <v>43.49</v>
      </c>
      <c r="U45" s="61">
        <v>139183.20000000001</v>
      </c>
      <c r="V45" s="61">
        <v>0</v>
      </c>
      <c r="W45" s="61">
        <v>-210559.2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90234.23</v>
      </c>
      <c r="AE45" s="62">
        <v>0</v>
      </c>
      <c r="AF45" s="61">
        <v>128164.59</v>
      </c>
      <c r="AG45" s="61">
        <v>0</v>
      </c>
      <c r="AH45" s="61">
        <v>218398.82</v>
      </c>
      <c r="AI45" s="61">
        <v>-205265.32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0</v>
      </c>
      <c r="AP45" s="61">
        <v>13133.5</v>
      </c>
      <c r="AQ45" s="61">
        <v>0</v>
      </c>
      <c r="AR45" s="61">
        <v>4870.7</v>
      </c>
      <c r="AS45" s="61">
        <v>-11018.61</v>
      </c>
      <c r="AT45" s="61">
        <v>5293.88</v>
      </c>
      <c r="AU45" s="61">
        <v>0</v>
      </c>
    </row>
    <row r="46" spans="1:47" x14ac:dyDescent="0.2">
      <c r="A46" s="58" t="s">
        <v>252</v>
      </c>
      <c r="B46" s="58" t="s">
        <v>253</v>
      </c>
      <c r="C46" s="58" t="s">
        <v>178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59">
        <v>0</v>
      </c>
      <c r="J46" s="59">
        <v>0</v>
      </c>
      <c r="K46" s="59">
        <v>0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60">
        <v>0</v>
      </c>
      <c r="S46" s="61">
        <v>48.21</v>
      </c>
      <c r="T46" s="61">
        <v>45.76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2">
        <v>0</v>
      </c>
      <c r="AF46" s="61">
        <v>0</v>
      </c>
      <c r="AG46" s="61">
        <v>0</v>
      </c>
      <c r="AH46" s="61">
        <v>0</v>
      </c>
      <c r="AI46" s="61">
        <v>0</v>
      </c>
      <c r="AJ46" s="61">
        <v>0</v>
      </c>
      <c r="AK46" s="61">
        <v>0</v>
      </c>
      <c r="AL46" s="61">
        <v>0</v>
      </c>
      <c r="AM46" s="61">
        <v>0</v>
      </c>
      <c r="AN46" s="61">
        <v>0</v>
      </c>
      <c r="AO46" s="61">
        <v>0</v>
      </c>
      <c r="AP46" s="61">
        <v>0</v>
      </c>
      <c r="AQ46" s="61">
        <v>0</v>
      </c>
      <c r="AR46" s="61">
        <v>0</v>
      </c>
      <c r="AS46" s="61">
        <v>0</v>
      </c>
      <c r="AT46" s="61">
        <v>0</v>
      </c>
      <c r="AU46" s="61">
        <v>0</v>
      </c>
    </row>
    <row r="47" spans="1:47" x14ac:dyDescent="0.2">
      <c r="A47" s="58" t="s">
        <v>44</v>
      </c>
      <c r="B47" s="58" t="s">
        <v>254</v>
      </c>
      <c r="C47" s="58" t="s">
        <v>178</v>
      </c>
      <c r="D47" s="59">
        <v>82</v>
      </c>
      <c r="E47" s="59">
        <v>12</v>
      </c>
      <c r="F47" s="59">
        <v>4184</v>
      </c>
      <c r="G47" s="59">
        <v>0</v>
      </c>
      <c r="H47" s="59">
        <v>4266</v>
      </c>
      <c r="I47" s="59">
        <v>-2587</v>
      </c>
      <c r="J47" s="59">
        <v>0</v>
      </c>
      <c r="K47" s="59">
        <v>0</v>
      </c>
      <c r="L47" s="59">
        <v>0</v>
      </c>
      <c r="M47" s="59">
        <v>0</v>
      </c>
      <c r="N47" s="59">
        <v>0</v>
      </c>
      <c r="O47" s="59">
        <v>0</v>
      </c>
      <c r="P47" s="59">
        <v>1679</v>
      </c>
      <c r="Q47" s="59">
        <v>133</v>
      </c>
      <c r="R47" s="60">
        <v>41.362513999999997</v>
      </c>
      <c r="S47" s="61">
        <v>44.92</v>
      </c>
      <c r="T47" s="61">
        <v>41.38</v>
      </c>
      <c r="U47" s="61">
        <v>187945.28</v>
      </c>
      <c r="V47" s="61">
        <v>0</v>
      </c>
      <c r="W47" s="61">
        <v>-116208.04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3466.34</v>
      </c>
      <c r="AE47" s="62">
        <v>0</v>
      </c>
      <c r="AF47" s="61">
        <v>173060.76</v>
      </c>
      <c r="AG47" s="61">
        <v>0</v>
      </c>
      <c r="AH47" s="61">
        <v>176527.1</v>
      </c>
      <c r="AI47" s="61">
        <v>-107050.07</v>
      </c>
      <c r="AJ47" s="61">
        <v>0</v>
      </c>
      <c r="AK47" s="61">
        <v>0</v>
      </c>
      <c r="AL47" s="61">
        <v>0</v>
      </c>
      <c r="AM47" s="61">
        <v>0</v>
      </c>
      <c r="AN47" s="61">
        <v>0</v>
      </c>
      <c r="AO47" s="61">
        <v>0</v>
      </c>
      <c r="AP47" s="61">
        <v>69477.03</v>
      </c>
      <c r="AQ47" s="61">
        <v>0</v>
      </c>
      <c r="AR47" s="61">
        <v>5503.54</v>
      </c>
      <c r="AS47" s="61">
        <v>-14884.52</v>
      </c>
      <c r="AT47" s="61">
        <v>9157.9699999999993</v>
      </c>
      <c r="AU47" s="61">
        <v>0</v>
      </c>
    </row>
    <row r="48" spans="1:47" x14ac:dyDescent="0.2">
      <c r="A48" s="58" t="s">
        <v>46</v>
      </c>
      <c r="B48" s="58" t="s">
        <v>255</v>
      </c>
      <c r="C48" s="58" t="s">
        <v>178</v>
      </c>
      <c r="D48" s="59">
        <v>230</v>
      </c>
      <c r="E48" s="59">
        <v>439</v>
      </c>
      <c r="F48" s="59">
        <v>6240</v>
      </c>
      <c r="G48" s="59">
        <v>0</v>
      </c>
      <c r="H48" s="59">
        <v>6470</v>
      </c>
      <c r="I48" s="59">
        <v>-4563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59">
        <v>0</v>
      </c>
      <c r="P48" s="59">
        <v>1907</v>
      </c>
      <c r="Q48" s="59">
        <v>1692</v>
      </c>
      <c r="R48" s="60">
        <v>42.834929000000002</v>
      </c>
      <c r="S48" s="61">
        <v>46.37</v>
      </c>
      <c r="T48" s="61">
        <v>42.98</v>
      </c>
      <c r="U48" s="61">
        <v>289348.8</v>
      </c>
      <c r="V48" s="61">
        <v>0</v>
      </c>
      <c r="W48" s="61">
        <v>-211586.31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0</v>
      </c>
      <c r="AD48" s="61">
        <v>10781.37</v>
      </c>
      <c r="AE48" s="62">
        <v>0</v>
      </c>
      <c r="AF48" s="61">
        <v>267289.96000000002</v>
      </c>
      <c r="AG48" s="61">
        <v>0</v>
      </c>
      <c r="AH48" s="61">
        <v>278071.33</v>
      </c>
      <c r="AI48" s="61">
        <v>-196111.2</v>
      </c>
      <c r="AJ48" s="61">
        <v>0</v>
      </c>
      <c r="AK48" s="61">
        <v>0</v>
      </c>
      <c r="AL48" s="61">
        <v>0</v>
      </c>
      <c r="AM48" s="61">
        <v>0</v>
      </c>
      <c r="AN48" s="61">
        <v>0</v>
      </c>
      <c r="AO48" s="61">
        <v>0</v>
      </c>
      <c r="AP48" s="61">
        <v>81960.13</v>
      </c>
      <c r="AQ48" s="61">
        <v>0</v>
      </c>
      <c r="AR48" s="61">
        <v>72719.740000000005</v>
      </c>
      <c r="AS48" s="61">
        <v>-22058.84</v>
      </c>
      <c r="AT48" s="61">
        <v>15475.11</v>
      </c>
      <c r="AU48" s="61">
        <v>0</v>
      </c>
    </row>
    <row r="49" spans="1:47" x14ac:dyDescent="0.2">
      <c r="A49" s="58" t="s">
        <v>256</v>
      </c>
      <c r="B49" s="58" t="s">
        <v>257</v>
      </c>
      <c r="C49" s="58" t="s">
        <v>178</v>
      </c>
      <c r="D49" s="59">
        <v>0</v>
      </c>
      <c r="E49" s="59">
        <v>0</v>
      </c>
      <c r="F49" s="59">
        <v>0</v>
      </c>
      <c r="G49" s="59">
        <v>0</v>
      </c>
      <c r="H49" s="59">
        <v>0</v>
      </c>
      <c r="I49" s="59">
        <v>0</v>
      </c>
      <c r="J49" s="59">
        <v>0</v>
      </c>
      <c r="K49" s="59">
        <v>0</v>
      </c>
      <c r="L49" s="59">
        <v>0</v>
      </c>
      <c r="M49" s="59">
        <v>0</v>
      </c>
      <c r="N49" s="59">
        <v>0</v>
      </c>
      <c r="O49" s="59">
        <v>0</v>
      </c>
      <c r="P49" s="59">
        <v>0</v>
      </c>
      <c r="Q49" s="59">
        <v>0</v>
      </c>
      <c r="R49" s="60">
        <v>0</v>
      </c>
      <c r="S49" s="61">
        <v>50.17</v>
      </c>
      <c r="T49" s="61">
        <v>47.39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2">
        <v>0</v>
      </c>
      <c r="AF49" s="61">
        <v>0</v>
      </c>
      <c r="AG49" s="61">
        <v>0</v>
      </c>
      <c r="AH49" s="61">
        <v>0</v>
      </c>
      <c r="AI49" s="61">
        <v>0</v>
      </c>
      <c r="AJ49" s="61">
        <v>0</v>
      </c>
      <c r="AK49" s="61">
        <v>0</v>
      </c>
      <c r="AL49" s="61">
        <v>0</v>
      </c>
      <c r="AM49" s="61">
        <v>0</v>
      </c>
      <c r="AN49" s="61">
        <v>0</v>
      </c>
      <c r="AO49" s="61">
        <v>0</v>
      </c>
      <c r="AP49" s="61">
        <v>0</v>
      </c>
      <c r="AQ49" s="61">
        <v>0</v>
      </c>
      <c r="AR49" s="61">
        <v>0</v>
      </c>
      <c r="AS49" s="61">
        <v>0</v>
      </c>
      <c r="AT49" s="61">
        <v>0</v>
      </c>
      <c r="AU49" s="61">
        <v>0</v>
      </c>
    </row>
    <row r="50" spans="1:47" x14ac:dyDescent="0.2">
      <c r="A50" s="58" t="s">
        <v>48</v>
      </c>
      <c r="B50" s="58" t="s">
        <v>258</v>
      </c>
      <c r="C50" s="58" t="s">
        <v>178</v>
      </c>
      <c r="D50" s="59">
        <v>350</v>
      </c>
      <c r="E50" s="59">
        <v>2</v>
      </c>
      <c r="F50" s="59">
        <v>1810</v>
      </c>
      <c r="G50" s="59">
        <v>0</v>
      </c>
      <c r="H50" s="59">
        <v>2160</v>
      </c>
      <c r="I50" s="59">
        <v>-1243</v>
      </c>
      <c r="J50" s="59">
        <v>0</v>
      </c>
      <c r="K50" s="59">
        <v>0</v>
      </c>
      <c r="L50" s="59">
        <v>0</v>
      </c>
      <c r="M50" s="59">
        <v>0</v>
      </c>
      <c r="N50" s="59">
        <v>0</v>
      </c>
      <c r="O50" s="59">
        <v>0</v>
      </c>
      <c r="P50" s="59">
        <v>917</v>
      </c>
      <c r="Q50" s="59">
        <v>567</v>
      </c>
      <c r="R50" s="60">
        <v>40.712425000000003</v>
      </c>
      <c r="S50" s="61">
        <v>44.06</v>
      </c>
      <c r="T50" s="61">
        <v>40.71</v>
      </c>
      <c r="U50" s="61">
        <v>79748.600000000006</v>
      </c>
      <c r="V50" s="61">
        <v>0</v>
      </c>
      <c r="W50" s="61">
        <v>-54766.58</v>
      </c>
      <c r="X50" s="61">
        <v>0</v>
      </c>
      <c r="Y50" s="61">
        <v>0</v>
      </c>
      <c r="Z50" s="61">
        <v>0</v>
      </c>
      <c r="AA50" s="61">
        <v>0</v>
      </c>
      <c r="AB50" s="61">
        <v>0</v>
      </c>
      <c r="AC50" s="61">
        <v>0</v>
      </c>
      <c r="AD50" s="61">
        <v>14239.64</v>
      </c>
      <c r="AE50" s="62">
        <v>0</v>
      </c>
      <c r="AF50" s="61">
        <v>73689.490000000005</v>
      </c>
      <c r="AG50" s="61">
        <v>0</v>
      </c>
      <c r="AH50" s="61">
        <v>87929.13</v>
      </c>
      <c r="AI50" s="61">
        <v>-50599.96</v>
      </c>
      <c r="AJ50" s="61">
        <v>0</v>
      </c>
      <c r="AK50" s="61">
        <v>0</v>
      </c>
      <c r="AL50" s="61">
        <v>0</v>
      </c>
      <c r="AM50" s="61">
        <v>0</v>
      </c>
      <c r="AN50" s="61">
        <v>0</v>
      </c>
      <c r="AO50" s="61">
        <v>0</v>
      </c>
      <c r="AP50" s="61">
        <v>37329.17</v>
      </c>
      <c r="AQ50" s="61">
        <v>0</v>
      </c>
      <c r="AR50" s="61">
        <v>23081.4</v>
      </c>
      <c r="AS50" s="61">
        <v>-6059.11</v>
      </c>
      <c r="AT50" s="61">
        <v>4166.62</v>
      </c>
      <c r="AU50" s="61">
        <v>0</v>
      </c>
    </row>
    <row r="51" spans="1:47" x14ac:dyDescent="0.2">
      <c r="A51" s="58" t="s">
        <v>259</v>
      </c>
      <c r="B51" s="58" t="s">
        <v>260</v>
      </c>
      <c r="C51" s="58" t="s">
        <v>178</v>
      </c>
      <c r="D51" s="59">
        <v>0</v>
      </c>
      <c r="E51" s="59">
        <v>0</v>
      </c>
      <c r="F51" s="59">
        <v>0</v>
      </c>
      <c r="G51" s="59">
        <v>0</v>
      </c>
      <c r="H51" s="59">
        <v>0</v>
      </c>
      <c r="I51" s="59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60">
        <v>0</v>
      </c>
      <c r="S51" s="61">
        <v>49.87</v>
      </c>
      <c r="T51" s="61">
        <v>46.94</v>
      </c>
      <c r="U51" s="61">
        <v>0</v>
      </c>
      <c r="V51" s="61">
        <v>0</v>
      </c>
      <c r="W51" s="61">
        <v>0</v>
      </c>
      <c r="X51" s="61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0</v>
      </c>
      <c r="AD51" s="61">
        <v>0</v>
      </c>
      <c r="AE51" s="62">
        <v>0</v>
      </c>
      <c r="AF51" s="61">
        <v>0</v>
      </c>
      <c r="AG51" s="61">
        <v>0</v>
      </c>
      <c r="AH51" s="61">
        <v>0</v>
      </c>
      <c r="AI51" s="61">
        <v>0</v>
      </c>
      <c r="AJ51" s="61">
        <v>0</v>
      </c>
      <c r="AK51" s="61">
        <v>0</v>
      </c>
      <c r="AL51" s="61">
        <v>0</v>
      </c>
      <c r="AM51" s="61">
        <v>0</v>
      </c>
      <c r="AN51" s="61">
        <v>0</v>
      </c>
      <c r="AO51" s="61">
        <v>0</v>
      </c>
      <c r="AP51" s="61">
        <v>0</v>
      </c>
      <c r="AQ51" s="61">
        <v>0</v>
      </c>
      <c r="AR51" s="61">
        <v>0</v>
      </c>
      <c r="AS51" s="61">
        <v>0</v>
      </c>
      <c r="AT51" s="61">
        <v>0</v>
      </c>
      <c r="AU51" s="61">
        <v>0</v>
      </c>
    </row>
    <row r="52" spans="1:47" x14ac:dyDescent="0.2">
      <c r="A52" s="58" t="s">
        <v>50</v>
      </c>
      <c r="B52" s="58" t="s">
        <v>261</v>
      </c>
      <c r="C52" s="58" t="s">
        <v>178</v>
      </c>
      <c r="D52" s="59">
        <v>158</v>
      </c>
      <c r="E52" s="59">
        <v>0</v>
      </c>
      <c r="F52" s="59">
        <v>3179</v>
      </c>
      <c r="G52" s="59">
        <v>0</v>
      </c>
      <c r="H52" s="59">
        <v>3337</v>
      </c>
      <c r="I52" s="59">
        <v>-2315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1022</v>
      </c>
      <c r="Q52" s="59">
        <v>827</v>
      </c>
      <c r="R52" s="60">
        <v>45.354706</v>
      </c>
      <c r="S52" s="61">
        <v>49.07</v>
      </c>
      <c r="T52" s="61">
        <v>45.41</v>
      </c>
      <c r="U52" s="61">
        <v>155993.53</v>
      </c>
      <c r="V52" s="61">
        <v>0</v>
      </c>
      <c r="W52" s="61">
        <v>-113597.05</v>
      </c>
      <c r="X52" s="61">
        <v>0</v>
      </c>
      <c r="Y52" s="61">
        <v>0</v>
      </c>
      <c r="Z52" s="61">
        <v>0</v>
      </c>
      <c r="AA52" s="61">
        <v>0</v>
      </c>
      <c r="AB52" s="61">
        <v>0</v>
      </c>
      <c r="AC52" s="61">
        <v>0</v>
      </c>
      <c r="AD52" s="61">
        <v>7361.99</v>
      </c>
      <c r="AE52" s="62">
        <v>0</v>
      </c>
      <c r="AF52" s="61">
        <v>144182.60999999999</v>
      </c>
      <c r="AG52" s="61">
        <v>0</v>
      </c>
      <c r="AH52" s="61">
        <v>151544.6</v>
      </c>
      <c r="AI52" s="61">
        <v>-105132.08</v>
      </c>
      <c r="AJ52" s="61">
        <v>0</v>
      </c>
      <c r="AK52" s="61">
        <v>0</v>
      </c>
      <c r="AL52" s="61">
        <v>0</v>
      </c>
      <c r="AM52" s="61">
        <v>0</v>
      </c>
      <c r="AN52" s="61">
        <v>0</v>
      </c>
      <c r="AO52" s="61">
        <v>0</v>
      </c>
      <c r="AP52" s="61">
        <v>46412.52</v>
      </c>
      <c r="AQ52" s="61">
        <v>0</v>
      </c>
      <c r="AR52" s="61">
        <v>37556.9</v>
      </c>
      <c r="AS52" s="61">
        <v>-11810.92</v>
      </c>
      <c r="AT52" s="61">
        <v>8464.9699999999993</v>
      </c>
      <c r="AU52" s="61">
        <v>0</v>
      </c>
    </row>
    <row r="53" spans="1:47" x14ac:dyDescent="0.2">
      <c r="A53" s="58" t="s">
        <v>262</v>
      </c>
      <c r="B53" s="58" t="s">
        <v>263</v>
      </c>
      <c r="C53" s="58" t="s">
        <v>178</v>
      </c>
      <c r="D53" s="59">
        <v>0</v>
      </c>
      <c r="E53" s="59">
        <v>0</v>
      </c>
      <c r="F53" s="59">
        <v>0</v>
      </c>
      <c r="G53" s="59">
        <v>0</v>
      </c>
      <c r="H53" s="59">
        <v>0</v>
      </c>
      <c r="I53" s="59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60">
        <v>0</v>
      </c>
      <c r="S53" s="61">
        <v>35.520000000000003</v>
      </c>
      <c r="T53" s="61">
        <v>33.57</v>
      </c>
      <c r="U53" s="61">
        <v>0</v>
      </c>
      <c r="V53" s="61">
        <v>0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2">
        <v>0</v>
      </c>
      <c r="AF53" s="61">
        <v>0</v>
      </c>
      <c r="AG53" s="61">
        <v>0</v>
      </c>
      <c r="AH53" s="61">
        <v>0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>
        <v>0</v>
      </c>
      <c r="AU53" s="61">
        <v>0</v>
      </c>
    </row>
    <row r="54" spans="1:47" x14ac:dyDescent="0.2">
      <c r="A54" s="58" t="s">
        <v>264</v>
      </c>
      <c r="B54" s="58" t="s">
        <v>265</v>
      </c>
      <c r="C54" s="58" t="s">
        <v>178</v>
      </c>
      <c r="D54" s="59">
        <v>0</v>
      </c>
      <c r="E54" s="59">
        <v>0</v>
      </c>
      <c r="F54" s="59">
        <v>0</v>
      </c>
      <c r="G54" s="59">
        <v>0</v>
      </c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60">
        <v>0</v>
      </c>
      <c r="S54" s="61">
        <v>34.799999999999997</v>
      </c>
      <c r="T54" s="61">
        <v>36.15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2">
        <v>0</v>
      </c>
      <c r="AF54" s="61">
        <v>0</v>
      </c>
      <c r="AG54" s="61">
        <v>0</v>
      </c>
      <c r="AH54" s="61">
        <v>0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0</v>
      </c>
      <c r="AP54" s="61">
        <v>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</row>
    <row r="55" spans="1:47" x14ac:dyDescent="0.2">
      <c r="A55" s="58" t="s">
        <v>52</v>
      </c>
      <c r="B55" s="58" t="s">
        <v>266</v>
      </c>
      <c r="C55" s="58" t="s">
        <v>178</v>
      </c>
      <c r="D55" s="59">
        <v>214</v>
      </c>
      <c r="E55" s="59">
        <v>0</v>
      </c>
      <c r="F55" s="59">
        <v>0</v>
      </c>
      <c r="G55" s="59">
        <v>0</v>
      </c>
      <c r="H55" s="59">
        <v>214</v>
      </c>
      <c r="I55" s="59">
        <v>-200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14</v>
      </c>
      <c r="Q55" s="59">
        <v>0</v>
      </c>
      <c r="R55" s="60">
        <v>0</v>
      </c>
      <c r="S55" s="61">
        <v>27.58</v>
      </c>
      <c r="T55" s="61">
        <v>30.22</v>
      </c>
      <c r="U55" s="61">
        <v>0</v>
      </c>
      <c r="V55" s="61">
        <v>0</v>
      </c>
      <c r="W55" s="61">
        <v>-5516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6467.95</v>
      </c>
      <c r="AE55" s="62">
        <v>0</v>
      </c>
      <c r="AF55" s="61">
        <v>0</v>
      </c>
      <c r="AG55" s="61">
        <v>0</v>
      </c>
      <c r="AH55" s="61">
        <v>6467.95</v>
      </c>
      <c r="AI55" s="61">
        <v>-6044.81</v>
      </c>
      <c r="AJ55" s="61">
        <v>0</v>
      </c>
      <c r="AK55" s="61">
        <v>0</v>
      </c>
      <c r="AL55" s="61">
        <v>0</v>
      </c>
      <c r="AM55" s="61">
        <v>0</v>
      </c>
      <c r="AN55" s="61">
        <v>0</v>
      </c>
      <c r="AO55" s="61">
        <v>0</v>
      </c>
      <c r="AP55" s="61">
        <v>423.14</v>
      </c>
      <c r="AQ55" s="61">
        <v>0</v>
      </c>
      <c r="AR55" s="61">
        <v>0</v>
      </c>
      <c r="AS55" s="61">
        <v>0</v>
      </c>
      <c r="AT55" s="61">
        <v>-528.80999999999995</v>
      </c>
      <c r="AU55" s="61">
        <v>0</v>
      </c>
    </row>
    <row r="56" spans="1:47" x14ac:dyDescent="0.2">
      <c r="A56" s="58" t="s">
        <v>54</v>
      </c>
      <c r="B56" s="58" t="s">
        <v>267</v>
      </c>
      <c r="C56" s="58" t="s">
        <v>178</v>
      </c>
      <c r="D56" s="59">
        <v>1526</v>
      </c>
      <c r="E56" s="59">
        <v>872</v>
      </c>
      <c r="F56" s="59">
        <v>2520</v>
      </c>
      <c r="G56" s="59">
        <v>0</v>
      </c>
      <c r="H56" s="59">
        <v>4046</v>
      </c>
      <c r="I56" s="59">
        <v>-3494</v>
      </c>
      <c r="J56" s="59">
        <v>0</v>
      </c>
      <c r="K56" s="59">
        <v>0</v>
      </c>
      <c r="L56" s="59">
        <v>0</v>
      </c>
      <c r="M56" s="59">
        <v>0</v>
      </c>
      <c r="N56" s="59">
        <v>0</v>
      </c>
      <c r="O56" s="59">
        <v>0</v>
      </c>
      <c r="P56" s="59">
        <v>552</v>
      </c>
      <c r="Q56" s="59">
        <v>444</v>
      </c>
      <c r="R56" s="60">
        <v>35.125380999999997</v>
      </c>
      <c r="S56" s="61">
        <v>38.46</v>
      </c>
      <c r="T56" s="61">
        <v>38.4</v>
      </c>
      <c r="U56" s="61">
        <v>96919.2</v>
      </c>
      <c r="V56" s="61">
        <v>0</v>
      </c>
      <c r="W56" s="61">
        <v>-134379.24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66835.649999999994</v>
      </c>
      <c r="AE56" s="62">
        <v>0</v>
      </c>
      <c r="AF56" s="61">
        <v>88515.96</v>
      </c>
      <c r="AG56" s="61">
        <v>0</v>
      </c>
      <c r="AH56" s="61">
        <v>155351.60999999999</v>
      </c>
      <c r="AI56" s="61">
        <v>-134156.82999999999</v>
      </c>
      <c r="AJ56" s="61">
        <v>0</v>
      </c>
      <c r="AK56" s="61">
        <v>0</v>
      </c>
      <c r="AL56" s="61">
        <v>0</v>
      </c>
      <c r="AM56" s="61">
        <v>0</v>
      </c>
      <c r="AN56" s="61">
        <v>0</v>
      </c>
      <c r="AO56" s="61">
        <v>0</v>
      </c>
      <c r="AP56" s="61">
        <v>21194.78</v>
      </c>
      <c r="AQ56" s="61">
        <v>0</v>
      </c>
      <c r="AR56" s="61">
        <v>17047.98</v>
      </c>
      <c r="AS56" s="61">
        <v>-8403.24</v>
      </c>
      <c r="AT56" s="61">
        <v>222.41</v>
      </c>
      <c r="AU56" s="61">
        <v>0</v>
      </c>
    </row>
    <row r="57" spans="1:47" x14ac:dyDescent="0.2">
      <c r="A57" s="58" t="s">
        <v>268</v>
      </c>
      <c r="B57" s="58" t="s">
        <v>269</v>
      </c>
      <c r="C57" s="58" t="s">
        <v>178</v>
      </c>
      <c r="D57" s="59">
        <v>860</v>
      </c>
      <c r="E57" s="59">
        <v>0</v>
      </c>
      <c r="F57" s="59">
        <v>741</v>
      </c>
      <c r="G57" s="59">
        <v>0</v>
      </c>
      <c r="H57" s="59">
        <v>1601</v>
      </c>
      <c r="I57" s="59">
        <v>-532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1069</v>
      </c>
      <c r="Q57" s="59">
        <v>0</v>
      </c>
      <c r="R57" s="60">
        <v>34.015762000000002</v>
      </c>
      <c r="S57" s="61">
        <v>37.18</v>
      </c>
      <c r="T57" s="61">
        <v>38.18</v>
      </c>
      <c r="U57" s="61">
        <v>27550.38</v>
      </c>
      <c r="V57" s="61">
        <v>0</v>
      </c>
      <c r="W57" s="61">
        <v>-19779.759999999998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35926.71</v>
      </c>
      <c r="AE57" s="62">
        <v>0</v>
      </c>
      <c r="AF57" s="61">
        <v>25205.68</v>
      </c>
      <c r="AG57" s="61">
        <v>0</v>
      </c>
      <c r="AH57" s="61">
        <v>61132.39</v>
      </c>
      <c r="AI57" s="61">
        <v>-20313.82</v>
      </c>
      <c r="AJ57" s="61">
        <v>0</v>
      </c>
      <c r="AK57" s="61">
        <v>0</v>
      </c>
      <c r="AL57" s="61">
        <v>0</v>
      </c>
      <c r="AM57" s="61">
        <v>0</v>
      </c>
      <c r="AN57" s="61">
        <v>0</v>
      </c>
      <c r="AO57" s="61">
        <v>0</v>
      </c>
      <c r="AP57" s="61">
        <v>40818.57</v>
      </c>
      <c r="AQ57" s="61">
        <v>0</v>
      </c>
      <c r="AR57" s="61">
        <v>0</v>
      </c>
      <c r="AS57" s="61">
        <v>-2344.6999999999998</v>
      </c>
      <c r="AT57" s="61">
        <v>-534.05999999999995</v>
      </c>
      <c r="AU57" s="61">
        <v>0</v>
      </c>
    </row>
    <row r="58" spans="1:47" x14ac:dyDescent="0.2">
      <c r="A58" s="58" t="s">
        <v>583</v>
      </c>
      <c r="B58" s="58" t="s">
        <v>584</v>
      </c>
      <c r="C58" s="58" t="s">
        <v>178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60">
        <v>0</v>
      </c>
      <c r="S58" s="61">
        <v>38.36</v>
      </c>
      <c r="T58" s="61">
        <v>0</v>
      </c>
      <c r="U58" s="61">
        <v>0</v>
      </c>
      <c r="V58" s="61">
        <v>0</v>
      </c>
      <c r="W58" s="61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61">
        <v>0</v>
      </c>
      <c r="AE58" s="62">
        <v>0</v>
      </c>
      <c r="AF58" s="61">
        <v>0</v>
      </c>
      <c r="AG58" s="61">
        <v>0</v>
      </c>
      <c r="AH58" s="61">
        <v>0</v>
      </c>
      <c r="AI58" s="61">
        <v>0</v>
      </c>
      <c r="AJ58" s="61">
        <v>0</v>
      </c>
      <c r="AK58" s="61">
        <v>0</v>
      </c>
      <c r="AL58" s="61">
        <v>0</v>
      </c>
      <c r="AM58" s="61">
        <v>0</v>
      </c>
      <c r="AN58" s="61">
        <v>0</v>
      </c>
      <c r="AO58" s="61">
        <v>0</v>
      </c>
      <c r="AP58" s="61">
        <v>0</v>
      </c>
      <c r="AQ58" s="61">
        <v>0</v>
      </c>
      <c r="AR58" s="61">
        <v>0</v>
      </c>
      <c r="AS58" s="61">
        <v>0</v>
      </c>
      <c r="AT58" s="61">
        <v>0</v>
      </c>
      <c r="AU58" s="61">
        <v>0</v>
      </c>
    </row>
    <row r="59" spans="1:47" x14ac:dyDescent="0.2">
      <c r="A59" s="58" t="s">
        <v>56</v>
      </c>
      <c r="B59" s="58" t="s">
        <v>270</v>
      </c>
      <c r="C59" s="58" t="s">
        <v>178</v>
      </c>
      <c r="D59" s="59">
        <v>360</v>
      </c>
      <c r="E59" s="59">
        <v>0</v>
      </c>
      <c r="F59" s="59">
        <v>2</v>
      </c>
      <c r="G59" s="59">
        <v>0</v>
      </c>
      <c r="H59" s="59">
        <v>362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362</v>
      </c>
      <c r="Q59" s="59">
        <v>0</v>
      </c>
      <c r="R59" s="60">
        <v>25.364999999999998</v>
      </c>
      <c r="S59" s="61">
        <v>28.44</v>
      </c>
      <c r="T59" s="61">
        <v>26.52</v>
      </c>
      <c r="U59" s="61">
        <v>56.88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9550.5</v>
      </c>
      <c r="AE59" s="62">
        <v>0</v>
      </c>
      <c r="AF59" s="61">
        <v>50.73</v>
      </c>
      <c r="AG59" s="61">
        <v>0</v>
      </c>
      <c r="AH59" s="61">
        <v>9601.23</v>
      </c>
      <c r="AI59" s="61">
        <v>0</v>
      </c>
      <c r="AJ59" s="61">
        <v>0</v>
      </c>
      <c r="AK59" s="61">
        <v>0</v>
      </c>
      <c r="AL59" s="61">
        <v>0</v>
      </c>
      <c r="AM59" s="61">
        <v>0</v>
      </c>
      <c r="AN59" s="61">
        <v>0</v>
      </c>
      <c r="AO59" s="61">
        <v>0</v>
      </c>
      <c r="AP59" s="61">
        <v>9601.23</v>
      </c>
      <c r="AQ59" s="61">
        <v>0</v>
      </c>
      <c r="AR59" s="61">
        <v>0</v>
      </c>
      <c r="AS59" s="61">
        <v>-6.15</v>
      </c>
      <c r="AT59" s="61">
        <v>0</v>
      </c>
      <c r="AU59" s="61">
        <v>0</v>
      </c>
    </row>
    <row r="60" spans="1:47" x14ac:dyDescent="0.2">
      <c r="A60" s="58" t="s">
        <v>271</v>
      </c>
      <c r="B60" s="58" t="s">
        <v>272</v>
      </c>
      <c r="C60" s="58" t="s">
        <v>178</v>
      </c>
      <c r="D60" s="59">
        <v>801</v>
      </c>
      <c r="E60" s="59">
        <v>324</v>
      </c>
      <c r="F60" s="59">
        <v>924</v>
      </c>
      <c r="G60" s="59">
        <v>0</v>
      </c>
      <c r="H60" s="59">
        <v>1725</v>
      </c>
      <c r="I60" s="59">
        <v>-809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916</v>
      </c>
      <c r="Q60" s="59">
        <v>0</v>
      </c>
      <c r="R60" s="60">
        <v>39.060844000000003</v>
      </c>
      <c r="S60" s="61">
        <v>42.43</v>
      </c>
      <c r="T60" s="61">
        <v>42.31</v>
      </c>
      <c r="U60" s="61">
        <v>39205.32</v>
      </c>
      <c r="V60" s="61">
        <v>0</v>
      </c>
      <c r="W60" s="61">
        <v>-34325.870000000003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36886.85</v>
      </c>
      <c r="AE60" s="62">
        <v>0</v>
      </c>
      <c r="AF60" s="61">
        <v>36092.22</v>
      </c>
      <c r="AG60" s="61">
        <v>0</v>
      </c>
      <c r="AH60" s="61">
        <v>72979.070000000007</v>
      </c>
      <c r="AI60" s="61">
        <v>-34226.120000000003</v>
      </c>
      <c r="AJ60" s="61">
        <v>0</v>
      </c>
      <c r="AK60" s="61">
        <v>0</v>
      </c>
      <c r="AL60" s="61">
        <v>0</v>
      </c>
      <c r="AM60" s="61">
        <v>0</v>
      </c>
      <c r="AN60" s="61">
        <v>0</v>
      </c>
      <c r="AO60" s="61">
        <v>0</v>
      </c>
      <c r="AP60" s="61">
        <v>38752.94</v>
      </c>
      <c r="AQ60" s="61">
        <v>0</v>
      </c>
      <c r="AR60" s="61">
        <v>0</v>
      </c>
      <c r="AS60" s="61">
        <v>-3113.1</v>
      </c>
      <c r="AT60" s="61">
        <v>99.75</v>
      </c>
      <c r="AU60" s="61">
        <v>0</v>
      </c>
    </row>
    <row r="61" spans="1:47" x14ac:dyDescent="0.2">
      <c r="A61" s="58" t="s">
        <v>58</v>
      </c>
      <c r="B61" s="58" t="s">
        <v>273</v>
      </c>
      <c r="C61" s="58" t="s">
        <v>178</v>
      </c>
      <c r="D61" s="59">
        <v>2170</v>
      </c>
      <c r="E61" s="59">
        <v>370</v>
      </c>
      <c r="F61" s="59">
        <v>4848</v>
      </c>
      <c r="G61" s="59">
        <v>0</v>
      </c>
      <c r="H61" s="59">
        <v>7018</v>
      </c>
      <c r="I61" s="59">
        <v>-5531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59">
        <v>1487</v>
      </c>
      <c r="Q61" s="59">
        <v>0</v>
      </c>
      <c r="R61" s="60">
        <v>26.532176</v>
      </c>
      <c r="S61" s="61">
        <v>29.26</v>
      </c>
      <c r="T61" s="61">
        <v>28.38</v>
      </c>
      <c r="U61" s="61">
        <v>141852.48000000001</v>
      </c>
      <c r="V61" s="61">
        <v>0</v>
      </c>
      <c r="W61" s="61">
        <v>-161837.06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70569.11</v>
      </c>
      <c r="AE61" s="62">
        <v>0</v>
      </c>
      <c r="AF61" s="61">
        <v>128627.99</v>
      </c>
      <c r="AG61" s="61">
        <v>0</v>
      </c>
      <c r="AH61" s="61">
        <v>199197.1</v>
      </c>
      <c r="AI61" s="61">
        <v>-156990.48000000001</v>
      </c>
      <c r="AJ61" s="61">
        <v>0</v>
      </c>
      <c r="AK61" s="61">
        <v>0</v>
      </c>
      <c r="AL61" s="61">
        <v>0</v>
      </c>
      <c r="AM61" s="61">
        <v>0</v>
      </c>
      <c r="AN61" s="61">
        <v>0</v>
      </c>
      <c r="AO61" s="61">
        <v>0</v>
      </c>
      <c r="AP61" s="61">
        <v>42206.62</v>
      </c>
      <c r="AQ61" s="61">
        <v>0</v>
      </c>
      <c r="AR61" s="61">
        <v>0</v>
      </c>
      <c r="AS61" s="61">
        <v>-13224.49</v>
      </c>
      <c r="AT61" s="61">
        <v>4846.58</v>
      </c>
      <c r="AU61" s="61">
        <v>0</v>
      </c>
    </row>
    <row r="62" spans="1:47" x14ac:dyDescent="0.2">
      <c r="A62" s="58" t="s">
        <v>60</v>
      </c>
      <c r="B62" s="58" t="s">
        <v>274</v>
      </c>
      <c r="C62" s="58" t="s">
        <v>178</v>
      </c>
      <c r="D62" s="59">
        <v>2120</v>
      </c>
      <c r="E62" s="59">
        <v>837</v>
      </c>
      <c r="F62" s="59">
        <v>1720</v>
      </c>
      <c r="G62" s="59">
        <v>0</v>
      </c>
      <c r="H62" s="59">
        <v>3840</v>
      </c>
      <c r="I62" s="59">
        <v>-3371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469</v>
      </c>
      <c r="Q62" s="59">
        <v>229</v>
      </c>
      <c r="R62" s="60">
        <v>40.403092999999998</v>
      </c>
      <c r="S62" s="61">
        <v>43.93</v>
      </c>
      <c r="T62" s="61">
        <v>45.43</v>
      </c>
      <c r="U62" s="61">
        <v>75559.600000000006</v>
      </c>
      <c r="V62" s="61">
        <v>0</v>
      </c>
      <c r="W62" s="61">
        <v>-148088.03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104945.35</v>
      </c>
      <c r="AE62" s="62">
        <v>0</v>
      </c>
      <c r="AF62" s="61">
        <v>69493.320000000007</v>
      </c>
      <c r="AG62" s="61">
        <v>0</v>
      </c>
      <c r="AH62" s="61">
        <v>174438.67</v>
      </c>
      <c r="AI62" s="61">
        <v>-153133.53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0</v>
      </c>
      <c r="AP62" s="61">
        <v>21305.14</v>
      </c>
      <c r="AQ62" s="61">
        <v>0</v>
      </c>
      <c r="AR62" s="61">
        <v>10402.719999999999</v>
      </c>
      <c r="AS62" s="61">
        <v>-6066.28</v>
      </c>
      <c r="AT62" s="61">
        <v>-5045.5</v>
      </c>
      <c r="AU62" s="61">
        <v>0</v>
      </c>
    </row>
    <row r="63" spans="1:47" x14ac:dyDescent="0.2">
      <c r="A63" s="58" t="s">
        <v>62</v>
      </c>
      <c r="B63" s="58" t="s">
        <v>275</v>
      </c>
      <c r="C63" s="58" t="s">
        <v>178</v>
      </c>
      <c r="D63" s="59">
        <v>63</v>
      </c>
      <c r="E63" s="59">
        <v>0</v>
      </c>
      <c r="F63" s="59">
        <v>0</v>
      </c>
      <c r="G63" s="59">
        <v>0</v>
      </c>
      <c r="H63" s="59">
        <v>63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63</v>
      </c>
      <c r="Q63" s="59">
        <v>0</v>
      </c>
      <c r="R63" s="60">
        <v>0</v>
      </c>
      <c r="S63" s="61">
        <v>51.16</v>
      </c>
      <c r="T63" s="61">
        <v>46.6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2935.99</v>
      </c>
      <c r="AE63" s="62">
        <v>0</v>
      </c>
      <c r="AF63" s="61">
        <v>0</v>
      </c>
      <c r="AG63" s="61">
        <v>0</v>
      </c>
      <c r="AH63" s="61">
        <v>2935.99</v>
      </c>
      <c r="AI63" s="61">
        <v>0</v>
      </c>
      <c r="AJ63" s="61">
        <v>0</v>
      </c>
      <c r="AK63" s="61">
        <v>0</v>
      </c>
      <c r="AL63" s="61">
        <v>0</v>
      </c>
      <c r="AM63" s="61">
        <v>0</v>
      </c>
      <c r="AN63" s="61">
        <v>0</v>
      </c>
      <c r="AO63" s="61">
        <v>0</v>
      </c>
      <c r="AP63" s="61">
        <v>2935.99</v>
      </c>
      <c r="AQ63" s="61">
        <v>0</v>
      </c>
      <c r="AR63" s="61">
        <v>0</v>
      </c>
      <c r="AS63" s="61">
        <v>0</v>
      </c>
      <c r="AT63" s="61">
        <v>0</v>
      </c>
      <c r="AU63" s="61">
        <v>0</v>
      </c>
    </row>
    <row r="64" spans="1:47" x14ac:dyDescent="0.2">
      <c r="A64" s="58" t="s">
        <v>64</v>
      </c>
      <c r="B64" s="58" t="s">
        <v>276</v>
      </c>
      <c r="C64" s="58" t="s">
        <v>178</v>
      </c>
      <c r="D64" s="59">
        <v>6564</v>
      </c>
      <c r="E64" s="59">
        <v>1127</v>
      </c>
      <c r="F64" s="59">
        <v>16338</v>
      </c>
      <c r="G64" s="59">
        <v>0</v>
      </c>
      <c r="H64" s="59">
        <v>22902</v>
      </c>
      <c r="I64" s="59">
        <v>-16953</v>
      </c>
      <c r="J64" s="59">
        <v>0</v>
      </c>
      <c r="K64" s="59">
        <v>0</v>
      </c>
      <c r="L64" s="59">
        <v>0</v>
      </c>
      <c r="M64" s="59">
        <v>0</v>
      </c>
      <c r="N64" s="59">
        <v>0</v>
      </c>
      <c r="O64" s="59">
        <v>0</v>
      </c>
      <c r="P64" s="59">
        <v>5949</v>
      </c>
      <c r="Q64" s="59">
        <v>0</v>
      </c>
      <c r="R64" s="60">
        <v>27.394259999999999</v>
      </c>
      <c r="S64" s="61">
        <v>30.14</v>
      </c>
      <c r="T64" s="61">
        <v>29.09</v>
      </c>
      <c r="U64" s="61">
        <v>492427.32</v>
      </c>
      <c r="V64" s="61">
        <v>0</v>
      </c>
      <c r="W64" s="61">
        <v>-510963.42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218740.61</v>
      </c>
      <c r="AE64" s="62">
        <v>0</v>
      </c>
      <c r="AF64" s="61">
        <v>447567.42</v>
      </c>
      <c r="AG64" s="61">
        <v>0</v>
      </c>
      <c r="AH64" s="61">
        <v>666308.03</v>
      </c>
      <c r="AI64" s="61">
        <v>-493228.54</v>
      </c>
      <c r="AJ64" s="61">
        <v>0</v>
      </c>
      <c r="AK64" s="61">
        <v>0</v>
      </c>
      <c r="AL64" s="61">
        <v>0</v>
      </c>
      <c r="AM64" s="61">
        <v>0</v>
      </c>
      <c r="AN64" s="61">
        <v>0</v>
      </c>
      <c r="AO64" s="61">
        <v>0</v>
      </c>
      <c r="AP64" s="61">
        <v>173079.49</v>
      </c>
      <c r="AQ64" s="61">
        <v>0</v>
      </c>
      <c r="AR64" s="61">
        <v>0</v>
      </c>
      <c r="AS64" s="61">
        <v>-44859.9</v>
      </c>
      <c r="AT64" s="61">
        <v>17734.88</v>
      </c>
      <c r="AU64" s="61">
        <v>0</v>
      </c>
    </row>
    <row r="65" spans="1:47" x14ac:dyDescent="0.2">
      <c r="A65" s="58" t="s">
        <v>277</v>
      </c>
      <c r="B65" s="58" t="s">
        <v>278</v>
      </c>
      <c r="C65" s="58" t="s">
        <v>178</v>
      </c>
      <c r="D65" s="59">
        <v>240</v>
      </c>
      <c r="E65" s="59">
        <v>0</v>
      </c>
      <c r="F65" s="59">
        <v>195</v>
      </c>
      <c r="G65" s="59">
        <v>0</v>
      </c>
      <c r="H65" s="59">
        <v>435</v>
      </c>
      <c r="I65" s="59">
        <v>-234</v>
      </c>
      <c r="J65" s="59">
        <v>0</v>
      </c>
      <c r="K65" s="59">
        <v>0</v>
      </c>
      <c r="L65" s="59">
        <v>0</v>
      </c>
      <c r="M65" s="59">
        <v>0</v>
      </c>
      <c r="N65" s="59">
        <v>0</v>
      </c>
      <c r="O65" s="59">
        <v>0</v>
      </c>
      <c r="P65" s="59">
        <v>201</v>
      </c>
      <c r="Q65" s="59">
        <v>0</v>
      </c>
      <c r="R65" s="60">
        <v>32.632154</v>
      </c>
      <c r="S65" s="61">
        <v>35.799999999999997</v>
      </c>
      <c r="T65" s="61">
        <v>37.049999999999997</v>
      </c>
      <c r="U65" s="61">
        <v>6981</v>
      </c>
      <c r="V65" s="61">
        <v>0</v>
      </c>
      <c r="W65" s="61">
        <v>-8377.2000000000007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9754.52</v>
      </c>
      <c r="AE65" s="62">
        <v>0</v>
      </c>
      <c r="AF65" s="61">
        <v>6363.27</v>
      </c>
      <c r="AG65" s="61">
        <v>0</v>
      </c>
      <c r="AH65" s="61">
        <v>16117.79</v>
      </c>
      <c r="AI65" s="61">
        <v>-8670.26</v>
      </c>
      <c r="AJ65" s="61">
        <v>0</v>
      </c>
      <c r="AK65" s="61">
        <v>0</v>
      </c>
      <c r="AL65" s="61">
        <v>0</v>
      </c>
      <c r="AM65" s="61">
        <v>0</v>
      </c>
      <c r="AN65" s="61">
        <v>0</v>
      </c>
      <c r="AO65" s="61">
        <v>0</v>
      </c>
      <c r="AP65" s="61">
        <v>7447.53</v>
      </c>
      <c r="AQ65" s="61">
        <v>0</v>
      </c>
      <c r="AR65" s="61">
        <v>0</v>
      </c>
      <c r="AS65" s="61">
        <v>-617.73</v>
      </c>
      <c r="AT65" s="61">
        <v>-293.06</v>
      </c>
      <c r="AU65" s="61">
        <v>0</v>
      </c>
    </row>
    <row r="66" spans="1:47" x14ac:dyDescent="0.2">
      <c r="A66" s="58" t="s">
        <v>66</v>
      </c>
      <c r="B66" s="58" t="s">
        <v>279</v>
      </c>
      <c r="C66" s="58" t="s">
        <v>178</v>
      </c>
      <c r="D66" s="59">
        <v>21</v>
      </c>
      <c r="E66" s="59">
        <v>0</v>
      </c>
      <c r="F66" s="59">
        <v>0</v>
      </c>
      <c r="G66" s="59">
        <v>0</v>
      </c>
      <c r="H66" s="59">
        <v>21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21</v>
      </c>
      <c r="Q66" s="59">
        <v>0</v>
      </c>
      <c r="R66" s="60">
        <v>0</v>
      </c>
      <c r="S66" s="61">
        <v>38.270000000000003</v>
      </c>
      <c r="T66" s="61">
        <v>74.069999999999993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1555.54</v>
      </c>
      <c r="AE66" s="62">
        <v>0</v>
      </c>
      <c r="AF66" s="61">
        <v>0</v>
      </c>
      <c r="AG66" s="61">
        <v>0</v>
      </c>
      <c r="AH66" s="61">
        <v>1555.54</v>
      </c>
      <c r="AI66" s="61">
        <v>0</v>
      </c>
      <c r="AJ66" s="61">
        <v>0</v>
      </c>
      <c r="AK66" s="61">
        <v>0</v>
      </c>
      <c r="AL66" s="61">
        <v>0</v>
      </c>
      <c r="AM66" s="61">
        <v>0</v>
      </c>
      <c r="AN66" s="61">
        <v>0</v>
      </c>
      <c r="AO66" s="61">
        <v>0</v>
      </c>
      <c r="AP66" s="61">
        <v>1555.54</v>
      </c>
      <c r="AQ66" s="61">
        <v>0</v>
      </c>
      <c r="AR66" s="61">
        <v>0</v>
      </c>
      <c r="AS66" s="61">
        <v>0</v>
      </c>
      <c r="AT66" s="61">
        <v>0</v>
      </c>
      <c r="AU66" s="61">
        <v>0</v>
      </c>
    </row>
    <row r="67" spans="1:47" x14ac:dyDescent="0.2">
      <c r="A67" s="58" t="s">
        <v>68</v>
      </c>
      <c r="B67" s="58" t="s">
        <v>280</v>
      </c>
      <c r="C67" s="58" t="s">
        <v>178</v>
      </c>
      <c r="D67" s="59">
        <v>2450</v>
      </c>
      <c r="E67" s="59">
        <v>6</v>
      </c>
      <c r="F67" s="59">
        <v>3570</v>
      </c>
      <c r="G67" s="59">
        <v>0</v>
      </c>
      <c r="H67" s="59">
        <v>6020</v>
      </c>
      <c r="I67" s="59">
        <v>-4275</v>
      </c>
      <c r="J67" s="59">
        <v>0</v>
      </c>
      <c r="K67" s="59">
        <v>0</v>
      </c>
      <c r="L67" s="59">
        <v>0</v>
      </c>
      <c r="M67" s="59">
        <v>0</v>
      </c>
      <c r="N67" s="59">
        <v>0</v>
      </c>
      <c r="O67" s="59">
        <v>0</v>
      </c>
      <c r="P67" s="59">
        <v>1745</v>
      </c>
      <c r="Q67" s="59">
        <v>1112</v>
      </c>
      <c r="R67" s="60">
        <v>44.389364</v>
      </c>
      <c r="S67" s="61">
        <v>48.04</v>
      </c>
      <c r="T67" s="61">
        <v>48.34</v>
      </c>
      <c r="U67" s="61">
        <v>171502.8</v>
      </c>
      <c r="V67" s="61">
        <v>0</v>
      </c>
      <c r="W67" s="61">
        <v>-205371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132513.68</v>
      </c>
      <c r="AE67" s="62">
        <v>0</v>
      </c>
      <c r="AF67" s="61">
        <v>158470.03</v>
      </c>
      <c r="AG67" s="61">
        <v>0</v>
      </c>
      <c r="AH67" s="61">
        <v>290983.71000000002</v>
      </c>
      <c r="AI67" s="61">
        <v>-206637.1</v>
      </c>
      <c r="AJ67" s="61">
        <v>0</v>
      </c>
      <c r="AK67" s="61">
        <v>0</v>
      </c>
      <c r="AL67" s="61">
        <v>0</v>
      </c>
      <c r="AM67" s="61">
        <v>0</v>
      </c>
      <c r="AN67" s="61">
        <v>0</v>
      </c>
      <c r="AO67" s="61">
        <v>0</v>
      </c>
      <c r="AP67" s="61">
        <v>84346.61</v>
      </c>
      <c r="AQ67" s="61">
        <v>0</v>
      </c>
      <c r="AR67" s="61">
        <v>53749.81</v>
      </c>
      <c r="AS67" s="61">
        <v>-13032.77</v>
      </c>
      <c r="AT67" s="61">
        <v>-1266.0999999999999</v>
      </c>
      <c r="AU67" s="61">
        <v>0</v>
      </c>
    </row>
    <row r="68" spans="1:47" x14ac:dyDescent="0.2">
      <c r="A68" s="58" t="s">
        <v>281</v>
      </c>
      <c r="B68" s="58" t="s">
        <v>282</v>
      </c>
      <c r="C68" s="58" t="s">
        <v>178</v>
      </c>
      <c r="D68" s="59">
        <v>279</v>
      </c>
      <c r="E68" s="59">
        <v>0</v>
      </c>
      <c r="F68" s="59">
        <v>560</v>
      </c>
      <c r="G68" s="59">
        <v>0</v>
      </c>
      <c r="H68" s="59">
        <v>839</v>
      </c>
      <c r="I68" s="59">
        <v>-270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569</v>
      </c>
      <c r="Q68" s="59">
        <v>0</v>
      </c>
      <c r="R68" s="60">
        <v>48.228499999999997</v>
      </c>
      <c r="S68" s="61">
        <v>52.02</v>
      </c>
      <c r="T68" s="61">
        <v>48.41</v>
      </c>
      <c r="U68" s="61">
        <v>29131.200000000001</v>
      </c>
      <c r="V68" s="61">
        <v>0</v>
      </c>
      <c r="W68" s="61">
        <v>-14045.4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13604.62</v>
      </c>
      <c r="AE68" s="62">
        <v>0</v>
      </c>
      <c r="AF68" s="61">
        <v>27007.96</v>
      </c>
      <c r="AG68" s="61">
        <v>0</v>
      </c>
      <c r="AH68" s="61">
        <v>40612.58</v>
      </c>
      <c r="AI68" s="61">
        <v>-13069.6</v>
      </c>
      <c r="AJ68" s="61">
        <v>0</v>
      </c>
      <c r="AK68" s="61">
        <v>0</v>
      </c>
      <c r="AL68" s="61">
        <v>0</v>
      </c>
      <c r="AM68" s="61">
        <v>0</v>
      </c>
      <c r="AN68" s="61">
        <v>0</v>
      </c>
      <c r="AO68" s="61">
        <v>0</v>
      </c>
      <c r="AP68" s="61">
        <v>27542.98</v>
      </c>
      <c r="AQ68" s="61">
        <v>0</v>
      </c>
      <c r="AR68" s="61">
        <v>0</v>
      </c>
      <c r="AS68" s="61">
        <v>-2123.2399999999998</v>
      </c>
      <c r="AT68" s="61">
        <v>975.8</v>
      </c>
      <c r="AU68" s="61">
        <v>0</v>
      </c>
    </row>
    <row r="69" spans="1:47" x14ac:dyDescent="0.2">
      <c r="A69" s="58" t="s">
        <v>70</v>
      </c>
      <c r="B69" s="58" t="s">
        <v>283</v>
      </c>
      <c r="C69" s="58" t="s">
        <v>178</v>
      </c>
      <c r="D69" s="59">
        <v>65</v>
      </c>
      <c r="E69" s="59">
        <v>387</v>
      </c>
      <c r="F69" s="59">
        <v>2880</v>
      </c>
      <c r="G69" s="59">
        <v>0</v>
      </c>
      <c r="H69" s="59">
        <v>2945</v>
      </c>
      <c r="I69" s="59">
        <v>-1302</v>
      </c>
      <c r="J69" s="59">
        <v>0</v>
      </c>
      <c r="K69" s="59">
        <v>0</v>
      </c>
      <c r="L69" s="59">
        <v>0</v>
      </c>
      <c r="M69" s="59">
        <v>0</v>
      </c>
      <c r="N69" s="59">
        <v>0</v>
      </c>
      <c r="O69" s="59">
        <v>0</v>
      </c>
      <c r="P69" s="59">
        <v>1643</v>
      </c>
      <c r="Q69" s="59">
        <v>651</v>
      </c>
      <c r="R69" s="60">
        <v>46.042087000000002</v>
      </c>
      <c r="S69" s="61">
        <v>49.76</v>
      </c>
      <c r="T69" s="61">
        <v>46.13</v>
      </c>
      <c r="U69" s="61">
        <v>143308.79999999999</v>
      </c>
      <c r="V69" s="61">
        <v>0</v>
      </c>
      <c r="W69" s="61">
        <v>-64787.519999999997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3238.06</v>
      </c>
      <c r="AE69" s="62">
        <v>0</v>
      </c>
      <c r="AF69" s="61">
        <v>132601.21</v>
      </c>
      <c r="AG69" s="61">
        <v>0</v>
      </c>
      <c r="AH69" s="61">
        <v>135839.26999999999</v>
      </c>
      <c r="AI69" s="61">
        <v>-60055.25</v>
      </c>
      <c r="AJ69" s="61">
        <v>0</v>
      </c>
      <c r="AK69" s="61">
        <v>0</v>
      </c>
      <c r="AL69" s="61">
        <v>0</v>
      </c>
      <c r="AM69" s="61">
        <v>0</v>
      </c>
      <c r="AN69" s="61">
        <v>0</v>
      </c>
      <c r="AO69" s="61">
        <v>0</v>
      </c>
      <c r="AP69" s="61">
        <v>75784.009999999995</v>
      </c>
      <c r="AQ69" s="61">
        <v>0</v>
      </c>
      <c r="AR69" s="61">
        <v>30027.63</v>
      </c>
      <c r="AS69" s="61">
        <v>-10707.59</v>
      </c>
      <c r="AT69" s="61">
        <v>4732.2700000000004</v>
      </c>
      <c r="AU69" s="61">
        <v>0</v>
      </c>
    </row>
    <row r="70" spans="1:47" x14ac:dyDescent="0.2">
      <c r="A70" s="58" t="s">
        <v>284</v>
      </c>
      <c r="B70" s="58" t="s">
        <v>285</v>
      </c>
      <c r="C70" s="58" t="s">
        <v>178</v>
      </c>
      <c r="D70" s="59">
        <v>104</v>
      </c>
      <c r="E70" s="59">
        <v>0</v>
      </c>
      <c r="F70" s="59">
        <v>0</v>
      </c>
      <c r="G70" s="59">
        <v>0</v>
      </c>
      <c r="H70" s="59">
        <v>104</v>
      </c>
      <c r="I70" s="59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104</v>
      </c>
      <c r="Q70" s="59">
        <v>0</v>
      </c>
      <c r="R70" s="60">
        <v>0</v>
      </c>
      <c r="S70" s="61">
        <v>57.27</v>
      </c>
      <c r="T70" s="61">
        <v>50.95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5298.85</v>
      </c>
      <c r="AE70" s="62">
        <v>0</v>
      </c>
      <c r="AF70" s="61">
        <v>0</v>
      </c>
      <c r="AG70" s="61">
        <v>0</v>
      </c>
      <c r="AH70" s="61">
        <v>5298.85</v>
      </c>
      <c r="AI70" s="61">
        <v>0</v>
      </c>
      <c r="AJ70" s="61">
        <v>0</v>
      </c>
      <c r="AK70" s="61">
        <v>0</v>
      </c>
      <c r="AL70" s="61">
        <v>0</v>
      </c>
      <c r="AM70" s="61">
        <v>0</v>
      </c>
      <c r="AN70" s="61">
        <v>0</v>
      </c>
      <c r="AO70" s="61">
        <v>0</v>
      </c>
      <c r="AP70" s="61">
        <v>5298.85</v>
      </c>
      <c r="AQ70" s="61">
        <v>0</v>
      </c>
      <c r="AR70" s="61">
        <v>0</v>
      </c>
      <c r="AS70" s="61">
        <v>0</v>
      </c>
      <c r="AT70" s="61">
        <v>0</v>
      </c>
      <c r="AU70" s="61">
        <v>0</v>
      </c>
    </row>
    <row r="71" spans="1:47" x14ac:dyDescent="0.2">
      <c r="A71" s="58" t="s">
        <v>72</v>
      </c>
      <c r="B71" s="58" t="s">
        <v>286</v>
      </c>
      <c r="C71" s="58" t="s">
        <v>178</v>
      </c>
      <c r="D71" s="59">
        <v>253</v>
      </c>
      <c r="E71" s="59">
        <v>0</v>
      </c>
      <c r="F71" s="59">
        <v>0</v>
      </c>
      <c r="G71" s="59">
        <v>0</v>
      </c>
      <c r="H71" s="59">
        <v>253</v>
      </c>
      <c r="I71" s="59">
        <v>0</v>
      </c>
      <c r="J71" s="59">
        <v>0</v>
      </c>
      <c r="K71" s="59">
        <v>0</v>
      </c>
      <c r="L71" s="59">
        <v>0</v>
      </c>
      <c r="M71" s="59">
        <v>0</v>
      </c>
      <c r="N71" s="59">
        <v>0</v>
      </c>
      <c r="O71" s="59">
        <v>0</v>
      </c>
      <c r="P71" s="59">
        <v>253</v>
      </c>
      <c r="Q71" s="59">
        <v>0</v>
      </c>
      <c r="R71" s="60">
        <v>0</v>
      </c>
      <c r="S71" s="61">
        <v>30.76</v>
      </c>
      <c r="T71" s="61">
        <v>30.96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7832.01</v>
      </c>
      <c r="AE71" s="62">
        <v>0</v>
      </c>
      <c r="AF71" s="61">
        <v>0</v>
      </c>
      <c r="AG71" s="61">
        <v>0</v>
      </c>
      <c r="AH71" s="61">
        <v>7832.01</v>
      </c>
      <c r="AI71" s="61">
        <v>0</v>
      </c>
      <c r="AJ71" s="61">
        <v>0</v>
      </c>
      <c r="AK71" s="61">
        <v>0</v>
      </c>
      <c r="AL71" s="61">
        <v>0</v>
      </c>
      <c r="AM71" s="61">
        <v>0</v>
      </c>
      <c r="AN71" s="61">
        <v>0</v>
      </c>
      <c r="AO71" s="61">
        <v>0</v>
      </c>
      <c r="AP71" s="61">
        <v>7832.01</v>
      </c>
      <c r="AQ71" s="61">
        <v>0</v>
      </c>
      <c r="AR71" s="61">
        <v>0</v>
      </c>
      <c r="AS71" s="61">
        <v>0</v>
      </c>
      <c r="AT71" s="61">
        <v>0</v>
      </c>
      <c r="AU71" s="61">
        <v>0</v>
      </c>
    </row>
    <row r="72" spans="1:47" x14ac:dyDescent="0.2">
      <c r="A72" s="58" t="s">
        <v>287</v>
      </c>
      <c r="B72" s="58" t="s">
        <v>288</v>
      </c>
      <c r="C72" s="58" t="s">
        <v>178</v>
      </c>
      <c r="D72" s="59">
        <v>125</v>
      </c>
      <c r="E72" s="59">
        <v>110</v>
      </c>
      <c r="F72" s="59">
        <v>744</v>
      </c>
      <c r="G72" s="59">
        <v>0</v>
      </c>
      <c r="H72" s="59">
        <v>869</v>
      </c>
      <c r="I72" s="59">
        <v>-80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789</v>
      </c>
      <c r="Q72" s="59">
        <v>0</v>
      </c>
      <c r="R72" s="60">
        <v>31.402809000000001</v>
      </c>
      <c r="S72" s="61">
        <v>34.5</v>
      </c>
      <c r="T72" s="61">
        <v>31.41</v>
      </c>
      <c r="U72" s="61">
        <v>25668</v>
      </c>
      <c r="V72" s="61">
        <v>0</v>
      </c>
      <c r="W72" s="61">
        <v>-2760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3935.71</v>
      </c>
      <c r="AE72" s="62">
        <v>0</v>
      </c>
      <c r="AF72" s="61">
        <v>23363.69</v>
      </c>
      <c r="AG72" s="61">
        <v>0</v>
      </c>
      <c r="AH72" s="61">
        <v>27299.4</v>
      </c>
      <c r="AI72" s="61">
        <v>-2513.1799999999998</v>
      </c>
      <c r="AJ72" s="61">
        <v>0</v>
      </c>
      <c r="AK72" s="61">
        <v>0</v>
      </c>
      <c r="AL72" s="61">
        <v>0</v>
      </c>
      <c r="AM72" s="61">
        <v>0</v>
      </c>
      <c r="AN72" s="61">
        <v>0</v>
      </c>
      <c r="AO72" s="61">
        <v>0</v>
      </c>
      <c r="AP72" s="61">
        <v>24786.22</v>
      </c>
      <c r="AQ72" s="61">
        <v>0</v>
      </c>
      <c r="AR72" s="61">
        <v>0</v>
      </c>
      <c r="AS72" s="61">
        <v>-2304.31</v>
      </c>
      <c r="AT72" s="61">
        <v>246.82</v>
      </c>
      <c r="AU72" s="61">
        <v>0</v>
      </c>
    </row>
    <row r="73" spans="1:47" x14ac:dyDescent="0.2">
      <c r="A73" s="58" t="s">
        <v>289</v>
      </c>
      <c r="B73" s="58" t="s">
        <v>290</v>
      </c>
      <c r="C73" s="58" t="s">
        <v>178</v>
      </c>
      <c r="D73" s="59">
        <v>97</v>
      </c>
      <c r="E73" s="59">
        <v>0</v>
      </c>
      <c r="F73" s="59">
        <v>0</v>
      </c>
      <c r="G73" s="59">
        <v>0</v>
      </c>
      <c r="H73" s="59">
        <v>97</v>
      </c>
      <c r="I73" s="59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97</v>
      </c>
      <c r="Q73" s="59">
        <v>0</v>
      </c>
      <c r="R73" s="60">
        <v>0</v>
      </c>
      <c r="S73" s="61">
        <v>47.17</v>
      </c>
      <c r="T73" s="61">
        <v>42.97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4167.7299999999996</v>
      </c>
      <c r="AE73" s="62">
        <v>0</v>
      </c>
      <c r="AF73" s="61">
        <v>0</v>
      </c>
      <c r="AG73" s="61">
        <v>0</v>
      </c>
      <c r="AH73" s="61">
        <v>4167.7299999999996</v>
      </c>
      <c r="AI73" s="61">
        <v>0</v>
      </c>
      <c r="AJ73" s="61">
        <v>0</v>
      </c>
      <c r="AK73" s="61">
        <v>0</v>
      </c>
      <c r="AL73" s="61">
        <v>0</v>
      </c>
      <c r="AM73" s="61">
        <v>0</v>
      </c>
      <c r="AN73" s="61">
        <v>0</v>
      </c>
      <c r="AO73" s="61">
        <v>0</v>
      </c>
      <c r="AP73" s="61">
        <v>4167.7299999999996</v>
      </c>
      <c r="AQ73" s="61">
        <v>0</v>
      </c>
      <c r="AR73" s="61">
        <v>0</v>
      </c>
      <c r="AS73" s="61">
        <v>0</v>
      </c>
      <c r="AT73" s="61">
        <v>0</v>
      </c>
      <c r="AU73" s="61">
        <v>0</v>
      </c>
    </row>
    <row r="74" spans="1:47" x14ac:dyDescent="0.2">
      <c r="A74" s="58" t="s">
        <v>291</v>
      </c>
      <c r="B74" s="58" t="s">
        <v>292</v>
      </c>
      <c r="C74" s="58" t="s">
        <v>178</v>
      </c>
      <c r="D74" s="59">
        <v>64</v>
      </c>
      <c r="E74" s="59">
        <v>0</v>
      </c>
      <c r="F74" s="59">
        <v>0</v>
      </c>
      <c r="G74" s="59">
        <v>0</v>
      </c>
      <c r="H74" s="59">
        <v>64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64</v>
      </c>
      <c r="Q74" s="59">
        <v>0</v>
      </c>
      <c r="R74" s="60">
        <v>0</v>
      </c>
      <c r="S74" s="61">
        <v>54.59</v>
      </c>
      <c r="T74" s="61">
        <v>44.76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2864.88</v>
      </c>
      <c r="AE74" s="62">
        <v>0</v>
      </c>
      <c r="AF74" s="61">
        <v>0</v>
      </c>
      <c r="AG74" s="61">
        <v>0</v>
      </c>
      <c r="AH74" s="61">
        <v>2864.88</v>
      </c>
      <c r="AI74" s="61">
        <v>0</v>
      </c>
      <c r="AJ74" s="61">
        <v>0</v>
      </c>
      <c r="AK74" s="61">
        <v>0</v>
      </c>
      <c r="AL74" s="61">
        <v>0</v>
      </c>
      <c r="AM74" s="61">
        <v>0</v>
      </c>
      <c r="AN74" s="61">
        <v>0</v>
      </c>
      <c r="AO74" s="61">
        <v>0</v>
      </c>
      <c r="AP74" s="61">
        <v>2864.88</v>
      </c>
      <c r="AQ74" s="61">
        <v>0</v>
      </c>
      <c r="AR74" s="61">
        <v>0</v>
      </c>
      <c r="AS74" s="61">
        <v>0</v>
      </c>
      <c r="AT74" s="61">
        <v>0</v>
      </c>
      <c r="AU74" s="61">
        <v>0</v>
      </c>
    </row>
    <row r="75" spans="1:47" x14ac:dyDescent="0.2">
      <c r="A75" s="58" t="s">
        <v>74</v>
      </c>
      <c r="B75" s="58" t="s">
        <v>293</v>
      </c>
      <c r="C75" s="58" t="s">
        <v>178</v>
      </c>
      <c r="D75" s="59">
        <v>90</v>
      </c>
      <c r="E75" s="59">
        <v>0</v>
      </c>
      <c r="F75" s="59">
        <v>0</v>
      </c>
      <c r="G75" s="59">
        <v>0</v>
      </c>
      <c r="H75" s="59">
        <v>90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59">
        <v>0</v>
      </c>
      <c r="P75" s="59">
        <v>90</v>
      </c>
      <c r="Q75" s="59">
        <v>0</v>
      </c>
      <c r="R75" s="60">
        <v>0</v>
      </c>
      <c r="S75" s="61">
        <v>41.48</v>
      </c>
      <c r="T75" s="61">
        <v>40.380000000000003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3633.94</v>
      </c>
      <c r="AE75" s="62">
        <v>0</v>
      </c>
      <c r="AF75" s="61">
        <v>0</v>
      </c>
      <c r="AG75" s="61">
        <v>0</v>
      </c>
      <c r="AH75" s="61">
        <v>3633.94</v>
      </c>
      <c r="AI75" s="61">
        <v>0</v>
      </c>
      <c r="AJ75" s="61">
        <v>0</v>
      </c>
      <c r="AK75" s="61">
        <v>0</v>
      </c>
      <c r="AL75" s="61">
        <v>0</v>
      </c>
      <c r="AM75" s="61">
        <v>0</v>
      </c>
      <c r="AN75" s="61">
        <v>0</v>
      </c>
      <c r="AO75" s="61">
        <v>0</v>
      </c>
      <c r="AP75" s="61">
        <v>3633.94</v>
      </c>
      <c r="AQ75" s="61">
        <v>0</v>
      </c>
      <c r="AR75" s="61">
        <v>0</v>
      </c>
      <c r="AS75" s="61">
        <v>0</v>
      </c>
      <c r="AT75" s="61">
        <v>0</v>
      </c>
      <c r="AU75" s="61">
        <v>0</v>
      </c>
    </row>
    <row r="76" spans="1:47" x14ac:dyDescent="0.2">
      <c r="A76" s="58" t="s">
        <v>294</v>
      </c>
      <c r="B76" s="58" t="s">
        <v>295</v>
      </c>
      <c r="C76" s="58" t="s">
        <v>178</v>
      </c>
      <c r="D76" s="59">
        <v>0</v>
      </c>
      <c r="E76" s="59">
        <v>0</v>
      </c>
      <c r="F76" s="59">
        <v>0</v>
      </c>
      <c r="G76" s="59">
        <v>0</v>
      </c>
      <c r="H76" s="59">
        <v>0</v>
      </c>
      <c r="I76" s="59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0</v>
      </c>
      <c r="P76" s="59">
        <v>0</v>
      </c>
      <c r="Q76" s="59">
        <v>0</v>
      </c>
      <c r="R76" s="60">
        <v>0</v>
      </c>
      <c r="S76" s="61">
        <v>39.119999999999997</v>
      </c>
      <c r="T76" s="61">
        <v>51.62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2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1">
        <v>0</v>
      </c>
      <c r="AQ76" s="61">
        <v>0</v>
      </c>
      <c r="AR76" s="61">
        <v>0</v>
      </c>
      <c r="AS76" s="61">
        <v>0</v>
      </c>
      <c r="AT76" s="61">
        <v>0</v>
      </c>
      <c r="AU76" s="61">
        <v>0</v>
      </c>
    </row>
    <row r="77" spans="1:47" x14ac:dyDescent="0.2">
      <c r="A77" s="58" t="s">
        <v>296</v>
      </c>
      <c r="B77" s="58" t="s">
        <v>297</v>
      </c>
      <c r="C77" s="58" t="s">
        <v>178</v>
      </c>
      <c r="D77" s="59">
        <v>0</v>
      </c>
      <c r="E77" s="59">
        <v>0</v>
      </c>
      <c r="F77" s="59">
        <v>0</v>
      </c>
      <c r="G77" s="59">
        <v>0</v>
      </c>
      <c r="H77" s="59">
        <v>0</v>
      </c>
      <c r="I77" s="59">
        <v>0</v>
      </c>
      <c r="J77" s="59">
        <v>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0</v>
      </c>
      <c r="R77" s="60">
        <v>0</v>
      </c>
      <c r="S77" s="61">
        <v>49.75</v>
      </c>
      <c r="T77" s="61">
        <v>45.95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2">
        <v>0</v>
      </c>
      <c r="AF77" s="61">
        <v>0</v>
      </c>
      <c r="AG77" s="61">
        <v>0</v>
      </c>
      <c r="AH77" s="61">
        <v>0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>
        <v>0</v>
      </c>
      <c r="AU77" s="61">
        <v>0</v>
      </c>
    </row>
    <row r="78" spans="1:47" x14ac:dyDescent="0.2">
      <c r="A78" s="58" t="s">
        <v>448</v>
      </c>
      <c r="B78" s="58" t="s">
        <v>449</v>
      </c>
      <c r="C78" s="58" t="s">
        <v>178</v>
      </c>
      <c r="D78" s="59">
        <v>58</v>
      </c>
      <c r="E78" s="59">
        <v>0</v>
      </c>
      <c r="F78" s="59">
        <v>0</v>
      </c>
      <c r="G78" s="59">
        <v>0</v>
      </c>
      <c r="H78" s="59">
        <v>58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v>0</v>
      </c>
      <c r="O78" s="59">
        <v>0</v>
      </c>
      <c r="P78" s="59">
        <v>58</v>
      </c>
      <c r="Q78" s="59">
        <v>0</v>
      </c>
      <c r="R78" s="60">
        <v>0</v>
      </c>
      <c r="S78" s="61">
        <v>29.81</v>
      </c>
      <c r="T78" s="61">
        <v>29.76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1725.92</v>
      </c>
      <c r="AE78" s="62">
        <v>0</v>
      </c>
      <c r="AF78" s="61">
        <v>0</v>
      </c>
      <c r="AG78" s="61">
        <v>0</v>
      </c>
      <c r="AH78" s="61">
        <v>1725.92</v>
      </c>
      <c r="AI78" s="61">
        <v>0</v>
      </c>
      <c r="AJ78" s="61">
        <v>0</v>
      </c>
      <c r="AK78" s="61">
        <v>0</v>
      </c>
      <c r="AL78" s="61">
        <v>0</v>
      </c>
      <c r="AM78" s="61">
        <v>0</v>
      </c>
      <c r="AN78" s="61">
        <v>0</v>
      </c>
      <c r="AO78" s="61">
        <v>0</v>
      </c>
      <c r="AP78" s="61">
        <v>1725.92</v>
      </c>
      <c r="AQ78" s="61">
        <v>0</v>
      </c>
      <c r="AR78" s="61">
        <v>0</v>
      </c>
      <c r="AS78" s="61">
        <v>0</v>
      </c>
      <c r="AT78" s="61">
        <v>0</v>
      </c>
      <c r="AU78" s="61">
        <v>0</v>
      </c>
    </row>
    <row r="79" spans="1:47" x14ac:dyDescent="0.2">
      <c r="A79" s="58" t="s">
        <v>413</v>
      </c>
      <c r="B79" s="58" t="s">
        <v>414</v>
      </c>
      <c r="C79" s="58" t="s">
        <v>178</v>
      </c>
      <c r="D79" s="59">
        <v>73</v>
      </c>
      <c r="E79" s="59">
        <v>0</v>
      </c>
      <c r="F79" s="59">
        <v>0</v>
      </c>
      <c r="G79" s="59">
        <v>0</v>
      </c>
      <c r="H79" s="59">
        <v>73</v>
      </c>
      <c r="I79" s="59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73</v>
      </c>
      <c r="Q79" s="59">
        <v>0</v>
      </c>
      <c r="R79" s="60">
        <v>0</v>
      </c>
      <c r="S79" s="61">
        <v>36.79</v>
      </c>
      <c r="T79" s="61">
        <v>36.28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2648.15</v>
      </c>
      <c r="AE79" s="62">
        <v>0</v>
      </c>
      <c r="AF79" s="61">
        <v>0</v>
      </c>
      <c r="AG79" s="61">
        <v>0</v>
      </c>
      <c r="AH79" s="61">
        <v>2648.15</v>
      </c>
      <c r="AI79" s="61">
        <v>0</v>
      </c>
      <c r="AJ79" s="61">
        <v>0</v>
      </c>
      <c r="AK79" s="61">
        <v>0</v>
      </c>
      <c r="AL79" s="61">
        <v>0</v>
      </c>
      <c r="AM79" s="61">
        <v>0</v>
      </c>
      <c r="AN79" s="61">
        <v>0</v>
      </c>
      <c r="AO79" s="61">
        <v>0</v>
      </c>
      <c r="AP79" s="61">
        <v>2648.15</v>
      </c>
      <c r="AQ79" s="61">
        <v>0</v>
      </c>
      <c r="AR79" s="61">
        <v>0</v>
      </c>
      <c r="AS79" s="61">
        <v>0</v>
      </c>
      <c r="AT79" s="61">
        <v>0</v>
      </c>
      <c r="AU79" s="61">
        <v>0</v>
      </c>
    </row>
    <row r="80" spans="1:47" x14ac:dyDescent="0.2">
      <c r="A80" s="58" t="s">
        <v>415</v>
      </c>
      <c r="B80" s="58" t="s">
        <v>416</v>
      </c>
      <c r="C80" s="58" t="s">
        <v>178</v>
      </c>
      <c r="D80" s="59">
        <v>75</v>
      </c>
      <c r="E80" s="59">
        <v>0</v>
      </c>
      <c r="F80" s="59">
        <v>0</v>
      </c>
      <c r="G80" s="59">
        <v>0</v>
      </c>
      <c r="H80" s="59">
        <v>75</v>
      </c>
      <c r="I80" s="59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75</v>
      </c>
      <c r="Q80" s="59">
        <v>0</v>
      </c>
      <c r="R80" s="60">
        <v>0</v>
      </c>
      <c r="S80" s="61">
        <v>37.96</v>
      </c>
      <c r="T80" s="61">
        <v>37.81</v>
      </c>
      <c r="U80" s="61">
        <v>0</v>
      </c>
      <c r="V80" s="61">
        <v>0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2835.83</v>
      </c>
      <c r="AE80" s="62">
        <v>0</v>
      </c>
      <c r="AF80" s="61">
        <v>0</v>
      </c>
      <c r="AG80" s="61">
        <v>0</v>
      </c>
      <c r="AH80" s="61">
        <v>2835.83</v>
      </c>
      <c r="AI80" s="61">
        <v>0</v>
      </c>
      <c r="AJ80" s="61">
        <v>0</v>
      </c>
      <c r="AK80" s="61">
        <v>0</v>
      </c>
      <c r="AL80" s="61">
        <v>0</v>
      </c>
      <c r="AM80" s="61">
        <v>0</v>
      </c>
      <c r="AN80" s="61">
        <v>0</v>
      </c>
      <c r="AO80" s="61">
        <v>0</v>
      </c>
      <c r="AP80" s="61">
        <v>2835.83</v>
      </c>
      <c r="AQ80" s="61">
        <v>0</v>
      </c>
      <c r="AR80" s="61">
        <v>0</v>
      </c>
      <c r="AS80" s="61">
        <v>0</v>
      </c>
      <c r="AT80" s="61">
        <v>0</v>
      </c>
      <c r="AU80" s="61">
        <v>0</v>
      </c>
    </row>
    <row r="81" spans="1:47" x14ac:dyDescent="0.2">
      <c r="A81" s="58" t="s">
        <v>298</v>
      </c>
      <c r="B81" s="58" t="s">
        <v>299</v>
      </c>
      <c r="C81" s="58" t="s">
        <v>178</v>
      </c>
      <c r="D81" s="59">
        <v>55</v>
      </c>
      <c r="E81" s="59">
        <v>0</v>
      </c>
      <c r="F81" s="59">
        <v>2</v>
      </c>
      <c r="G81" s="59">
        <v>0</v>
      </c>
      <c r="H81" s="59">
        <v>57</v>
      </c>
      <c r="I81" s="59">
        <v>0</v>
      </c>
      <c r="J81" s="59">
        <v>0</v>
      </c>
      <c r="K81" s="59">
        <v>0</v>
      </c>
      <c r="L81" s="59">
        <v>0</v>
      </c>
      <c r="M81" s="59">
        <v>0</v>
      </c>
      <c r="N81" s="59">
        <v>0</v>
      </c>
      <c r="O81" s="59">
        <v>0</v>
      </c>
      <c r="P81" s="59">
        <v>57</v>
      </c>
      <c r="Q81" s="59">
        <v>0</v>
      </c>
      <c r="R81" s="60">
        <v>35.115000000000002</v>
      </c>
      <c r="S81" s="61">
        <v>38.520000000000003</v>
      </c>
      <c r="T81" s="61">
        <v>37.78</v>
      </c>
      <c r="U81" s="61">
        <v>77.040000000000006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2083.13</v>
      </c>
      <c r="AE81" s="62">
        <v>0</v>
      </c>
      <c r="AF81" s="61">
        <v>70.23</v>
      </c>
      <c r="AG81" s="61">
        <v>0</v>
      </c>
      <c r="AH81" s="61">
        <v>2153.36</v>
      </c>
      <c r="AI81" s="61">
        <v>0</v>
      </c>
      <c r="AJ81" s="61">
        <v>0</v>
      </c>
      <c r="AK81" s="61">
        <v>0</v>
      </c>
      <c r="AL81" s="61">
        <v>0</v>
      </c>
      <c r="AM81" s="61">
        <v>0</v>
      </c>
      <c r="AN81" s="61">
        <v>0</v>
      </c>
      <c r="AO81" s="61">
        <v>0</v>
      </c>
      <c r="AP81" s="61">
        <v>2153.36</v>
      </c>
      <c r="AQ81" s="61">
        <v>0</v>
      </c>
      <c r="AR81" s="61">
        <v>0</v>
      </c>
      <c r="AS81" s="61">
        <v>-6.81</v>
      </c>
      <c r="AT81" s="61">
        <v>0</v>
      </c>
      <c r="AU81" s="61">
        <v>0</v>
      </c>
    </row>
    <row r="82" spans="1:47" x14ac:dyDescent="0.2">
      <c r="A82" s="58" t="s">
        <v>300</v>
      </c>
      <c r="B82" s="58" t="s">
        <v>301</v>
      </c>
      <c r="C82" s="58" t="s">
        <v>178</v>
      </c>
      <c r="D82" s="59">
        <v>0</v>
      </c>
      <c r="E82" s="59">
        <v>0</v>
      </c>
      <c r="F82" s="59">
        <v>0</v>
      </c>
      <c r="G82" s="59">
        <v>0</v>
      </c>
      <c r="H82" s="59">
        <v>0</v>
      </c>
      <c r="I82" s="59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0</v>
      </c>
      <c r="P82" s="59">
        <v>0</v>
      </c>
      <c r="Q82" s="59">
        <v>0</v>
      </c>
      <c r="R82" s="60">
        <v>0</v>
      </c>
      <c r="S82" s="61">
        <v>32.74</v>
      </c>
      <c r="T82" s="61">
        <v>30.68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2">
        <v>0</v>
      </c>
      <c r="AF82" s="61">
        <v>0</v>
      </c>
      <c r="AG82" s="61">
        <v>0</v>
      </c>
      <c r="AH82" s="61">
        <v>0</v>
      </c>
      <c r="AI82" s="61">
        <v>0</v>
      </c>
      <c r="AJ82" s="61">
        <v>0</v>
      </c>
      <c r="AK82" s="61">
        <v>0</v>
      </c>
      <c r="AL82" s="61">
        <v>0</v>
      </c>
      <c r="AM82" s="61">
        <v>0</v>
      </c>
      <c r="AN82" s="61">
        <v>0</v>
      </c>
      <c r="AO82" s="61">
        <v>0</v>
      </c>
      <c r="AP82" s="61">
        <v>0</v>
      </c>
      <c r="AQ82" s="61">
        <v>0</v>
      </c>
      <c r="AR82" s="61">
        <v>0</v>
      </c>
      <c r="AS82" s="61">
        <v>0</v>
      </c>
      <c r="AT82" s="61">
        <v>0</v>
      </c>
      <c r="AU82" s="61">
        <v>0</v>
      </c>
    </row>
    <row r="83" spans="1:47" x14ac:dyDescent="0.2">
      <c r="A83" s="58" t="s">
        <v>76</v>
      </c>
      <c r="B83" s="58" t="s">
        <v>302</v>
      </c>
      <c r="C83" s="58" t="s">
        <v>178</v>
      </c>
      <c r="D83" s="59">
        <v>1838</v>
      </c>
      <c r="E83" s="59">
        <v>1002</v>
      </c>
      <c r="F83" s="59">
        <v>6452</v>
      </c>
      <c r="G83" s="59">
        <v>0</v>
      </c>
      <c r="H83" s="59">
        <v>8290</v>
      </c>
      <c r="I83" s="59">
        <v>-6200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2090</v>
      </c>
      <c r="Q83" s="59">
        <v>0</v>
      </c>
      <c r="R83" s="60">
        <v>27.804667999999999</v>
      </c>
      <c r="S83" s="61">
        <v>30.57</v>
      </c>
      <c r="T83" s="61">
        <v>29.11</v>
      </c>
      <c r="U83" s="61">
        <v>197237.64</v>
      </c>
      <c r="V83" s="61">
        <v>0</v>
      </c>
      <c r="W83" s="61">
        <v>-189534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61942.92</v>
      </c>
      <c r="AE83" s="62">
        <v>0</v>
      </c>
      <c r="AF83" s="61">
        <v>179395.72</v>
      </c>
      <c r="AG83" s="61">
        <v>0</v>
      </c>
      <c r="AH83" s="61">
        <v>241338.64</v>
      </c>
      <c r="AI83" s="61">
        <v>-180494.52</v>
      </c>
      <c r="AJ83" s="61">
        <v>0</v>
      </c>
      <c r="AK83" s="61">
        <v>0</v>
      </c>
      <c r="AL83" s="61">
        <v>0</v>
      </c>
      <c r="AM83" s="61">
        <v>0</v>
      </c>
      <c r="AN83" s="61">
        <v>0</v>
      </c>
      <c r="AO83" s="61">
        <v>0</v>
      </c>
      <c r="AP83" s="61">
        <v>60844.12</v>
      </c>
      <c r="AQ83" s="61">
        <v>0</v>
      </c>
      <c r="AR83" s="61">
        <v>0</v>
      </c>
      <c r="AS83" s="61">
        <v>-17841.919999999998</v>
      </c>
      <c r="AT83" s="61">
        <v>9039.48</v>
      </c>
      <c r="AU83" s="61">
        <v>0</v>
      </c>
    </row>
    <row r="84" spans="1:47" x14ac:dyDescent="0.2">
      <c r="A84" s="58" t="s">
        <v>303</v>
      </c>
      <c r="B84" s="58" t="s">
        <v>304</v>
      </c>
      <c r="C84" s="58" t="s">
        <v>178</v>
      </c>
      <c r="D84" s="59">
        <v>38</v>
      </c>
      <c r="E84" s="59">
        <v>10</v>
      </c>
      <c r="F84" s="59">
        <v>648</v>
      </c>
      <c r="G84" s="59">
        <v>0</v>
      </c>
      <c r="H84" s="59">
        <v>686</v>
      </c>
      <c r="I84" s="59">
        <v>-30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656</v>
      </c>
      <c r="Q84" s="59">
        <v>17</v>
      </c>
      <c r="R84" s="60">
        <v>34.184105000000002</v>
      </c>
      <c r="S84" s="61">
        <v>37.549999999999997</v>
      </c>
      <c r="T84" s="61">
        <v>34.18</v>
      </c>
      <c r="U84" s="61">
        <v>24332.400000000001</v>
      </c>
      <c r="V84" s="61">
        <v>0</v>
      </c>
      <c r="W84" s="61">
        <v>-1126.5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1">
        <v>1299.47</v>
      </c>
      <c r="AE84" s="62">
        <v>0</v>
      </c>
      <c r="AF84" s="61">
        <v>22151.3</v>
      </c>
      <c r="AG84" s="61">
        <v>0</v>
      </c>
      <c r="AH84" s="61">
        <v>23450.77</v>
      </c>
      <c r="AI84" s="61">
        <v>-1025.54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0</v>
      </c>
      <c r="AP84" s="61">
        <v>22425.22</v>
      </c>
      <c r="AQ84" s="61">
        <v>0</v>
      </c>
      <c r="AR84" s="61">
        <v>581.14</v>
      </c>
      <c r="AS84" s="61">
        <v>-2181.1</v>
      </c>
      <c r="AT84" s="61">
        <v>100.96</v>
      </c>
      <c r="AU84" s="61">
        <v>0</v>
      </c>
    </row>
    <row r="85" spans="1:47" x14ac:dyDescent="0.2">
      <c r="A85" s="58" t="s">
        <v>305</v>
      </c>
      <c r="B85" s="58" t="s">
        <v>306</v>
      </c>
      <c r="C85" s="58" t="s">
        <v>178</v>
      </c>
      <c r="D85" s="59">
        <v>203</v>
      </c>
      <c r="E85" s="59">
        <v>0</v>
      </c>
      <c r="F85" s="59">
        <v>0</v>
      </c>
      <c r="G85" s="59">
        <v>0</v>
      </c>
      <c r="H85" s="59">
        <v>203</v>
      </c>
      <c r="I85" s="59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203</v>
      </c>
      <c r="Q85" s="59">
        <v>0</v>
      </c>
      <c r="R85" s="60">
        <v>0</v>
      </c>
      <c r="S85" s="61">
        <v>35.5</v>
      </c>
      <c r="T85" s="61">
        <v>36.19</v>
      </c>
      <c r="U85" s="61">
        <v>0</v>
      </c>
      <c r="V85" s="61">
        <v>0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7345.98</v>
      </c>
      <c r="AE85" s="62">
        <v>0</v>
      </c>
      <c r="AF85" s="61">
        <v>0</v>
      </c>
      <c r="AG85" s="61">
        <v>0</v>
      </c>
      <c r="AH85" s="61">
        <v>7345.98</v>
      </c>
      <c r="AI85" s="61">
        <v>0</v>
      </c>
      <c r="AJ85" s="61">
        <v>0</v>
      </c>
      <c r="AK85" s="61">
        <v>0</v>
      </c>
      <c r="AL85" s="61">
        <v>0</v>
      </c>
      <c r="AM85" s="61">
        <v>0</v>
      </c>
      <c r="AN85" s="61">
        <v>0</v>
      </c>
      <c r="AO85" s="61">
        <v>0</v>
      </c>
      <c r="AP85" s="61">
        <v>7345.98</v>
      </c>
      <c r="AQ85" s="61">
        <v>0</v>
      </c>
      <c r="AR85" s="61">
        <v>0</v>
      </c>
      <c r="AS85" s="61">
        <v>0</v>
      </c>
      <c r="AT85" s="61">
        <v>0</v>
      </c>
      <c r="AU85" s="61">
        <v>0</v>
      </c>
    </row>
    <row r="86" spans="1:47" x14ac:dyDescent="0.2">
      <c r="A86" s="58" t="s">
        <v>307</v>
      </c>
      <c r="B86" s="58" t="s">
        <v>308</v>
      </c>
      <c r="C86" s="58" t="s">
        <v>178</v>
      </c>
      <c r="D86" s="59">
        <v>2014</v>
      </c>
      <c r="E86" s="59">
        <v>0</v>
      </c>
      <c r="F86" s="59">
        <v>0</v>
      </c>
      <c r="G86" s="59">
        <v>0</v>
      </c>
      <c r="H86" s="59">
        <v>2014</v>
      </c>
      <c r="I86" s="59">
        <v>0</v>
      </c>
      <c r="J86" s="59">
        <v>0</v>
      </c>
      <c r="K86" s="59">
        <v>0</v>
      </c>
      <c r="L86" s="59">
        <v>0</v>
      </c>
      <c r="M86" s="59">
        <v>0</v>
      </c>
      <c r="N86" s="59">
        <v>0</v>
      </c>
      <c r="O86" s="59">
        <v>0</v>
      </c>
      <c r="P86" s="59">
        <v>2014</v>
      </c>
      <c r="Q86" s="59">
        <v>0</v>
      </c>
      <c r="R86" s="60">
        <v>0</v>
      </c>
      <c r="S86" s="61">
        <v>36.81</v>
      </c>
      <c r="T86" s="61">
        <v>33.1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66657.56</v>
      </c>
      <c r="AE86" s="62">
        <v>0</v>
      </c>
      <c r="AF86" s="61">
        <v>0</v>
      </c>
      <c r="AG86" s="61">
        <v>0</v>
      </c>
      <c r="AH86" s="61">
        <v>66657.56</v>
      </c>
      <c r="AI86" s="61">
        <v>0</v>
      </c>
      <c r="AJ86" s="61">
        <v>0</v>
      </c>
      <c r="AK86" s="61">
        <v>0</v>
      </c>
      <c r="AL86" s="61">
        <v>0</v>
      </c>
      <c r="AM86" s="61">
        <v>0</v>
      </c>
      <c r="AN86" s="61">
        <v>0</v>
      </c>
      <c r="AO86" s="61">
        <v>0</v>
      </c>
      <c r="AP86" s="61">
        <v>66657.56</v>
      </c>
      <c r="AQ86" s="61">
        <v>0</v>
      </c>
      <c r="AR86" s="61">
        <v>0</v>
      </c>
      <c r="AS86" s="61">
        <v>0</v>
      </c>
      <c r="AT86" s="61">
        <v>0</v>
      </c>
      <c r="AU86" s="61">
        <v>0</v>
      </c>
    </row>
    <row r="87" spans="1:47" x14ac:dyDescent="0.2">
      <c r="A87" s="58" t="s">
        <v>309</v>
      </c>
      <c r="B87" s="58" t="s">
        <v>310</v>
      </c>
      <c r="C87" s="58" t="s">
        <v>178</v>
      </c>
      <c r="D87" s="59">
        <v>575</v>
      </c>
      <c r="E87" s="59">
        <v>0</v>
      </c>
      <c r="F87" s="59">
        <v>0</v>
      </c>
      <c r="G87" s="59">
        <v>0</v>
      </c>
      <c r="H87" s="59">
        <v>575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9">
        <v>0</v>
      </c>
      <c r="P87" s="59">
        <v>575</v>
      </c>
      <c r="Q87" s="59">
        <v>0</v>
      </c>
      <c r="R87" s="60">
        <v>0</v>
      </c>
      <c r="S87" s="61">
        <v>39.22</v>
      </c>
      <c r="T87" s="61">
        <v>40.06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23032.43</v>
      </c>
      <c r="AE87" s="62">
        <v>0</v>
      </c>
      <c r="AF87" s="61">
        <v>0</v>
      </c>
      <c r="AG87" s="61">
        <v>0</v>
      </c>
      <c r="AH87" s="61">
        <v>23032.43</v>
      </c>
      <c r="AI87" s="61">
        <v>0</v>
      </c>
      <c r="AJ87" s="61">
        <v>0</v>
      </c>
      <c r="AK87" s="61">
        <v>0</v>
      </c>
      <c r="AL87" s="61">
        <v>0</v>
      </c>
      <c r="AM87" s="61">
        <v>0</v>
      </c>
      <c r="AN87" s="61">
        <v>0</v>
      </c>
      <c r="AO87" s="61">
        <v>0</v>
      </c>
      <c r="AP87" s="61">
        <v>23032.43</v>
      </c>
      <c r="AQ87" s="61">
        <v>0</v>
      </c>
      <c r="AR87" s="61">
        <v>0</v>
      </c>
      <c r="AS87" s="61">
        <v>0</v>
      </c>
      <c r="AT87" s="61">
        <v>0</v>
      </c>
      <c r="AU87" s="61">
        <v>0</v>
      </c>
    </row>
    <row r="88" spans="1:47" x14ac:dyDescent="0.2">
      <c r="A88" s="58" t="s">
        <v>311</v>
      </c>
      <c r="B88" s="58" t="s">
        <v>312</v>
      </c>
      <c r="C88" s="58" t="s">
        <v>178</v>
      </c>
      <c r="D88" s="59">
        <v>666</v>
      </c>
      <c r="E88" s="59">
        <v>0</v>
      </c>
      <c r="F88" s="59">
        <v>0</v>
      </c>
      <c r="G88" s="59">
        <v>0</v>
      </c>
      <c r="H88" s="59">
        <v>666</v>
      </c>
      <c r="I88" s="59">
        <v>0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v>0</v>
      </c>
      <c r="P88" s="59">
        <v>666</v>
      </c>
      <c r="Q88" s="59">
        <v>0</v>
      </c>
      <c r="R88" s="60">
        <v>0</v>
      </c>
      <c r="S88" s="61">
        <v>33.75</v>
      </c>
      <c r="T88" s="61">
        <v>31.39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20905.54</v>
      </c>
      <c r="AE88" s="62">
        <v>0</v>
      </c>
      <c r="AF88" s="61">
        <v>0</v>
      </c>
      <c r="AG88" s="61">
        <v>0</v>
      </c>
      <c r="AH88" s="61">
        <v>20905.54</v>
      </c>
      <c r="AI88" s="61">
        <v>0</v>
      </c>
      <c r="AJ88" s="61">
        <v>0</v>
      </c>
      <c r="AK88" s="61">
        <v>0</v>
      </c>
      <c r="AL88" s="61">
        <v>0</v>
      </c>
      <c r="AM88" s="61">
        <v>0</v>
      </c>
      <c r="AN88" s="61">
        <v>0</v>
      </c>
      <c r="AO88" s="61">
        <v>0</v>
      </c>
      <c r="AP88" s="61">
        <v>20905.54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</row>
    <row r="89" spans="1:47" x14ac:dyDescent="0.2">
      <c r="A89" s="58" t="s">
        <v>313</v>
      </c>
      <c r="B89" s="58" t="s">
        <v>314</v>
      </c>
      <c r="C89" s="58" t="s">
        <v>178</v>
      </c>
      <c r="D89" s="59">
        <v>149</v>
      </c>
      <c r="E89" s="59">
        <v>0</v>
      </c>
      <c r="F89" s="59">
        <v>0</v>
      </c>
      <c r="G89" s="59">
        <v>0</v>
      </c>
      <c r="H89" s="59">
        <v>149</v>
      </c>
      <c r="I89" s="59">
        <v>0</v>
      </c>
      <c r="J89" s="59">
        <v>0</v>
      </c>
      <c r="K89" s="59">
        <v>0</v>
      </c>
      <c r="L89" s="59">
        <v>0</v>
      </c>
      <c r="M89" s="59">
        <v>0</v>
      </c>
      <c r="N89" s="59">
        <v>0</v>
      </c>
      <c r="O89" s="59">
        <v>0</v>
      </c>
      <c r="P89" s="59">
        <v>149</v>
      </c>
      <c r="Q89" s="59">
        <v>0</v>
      </c>
      <c r="R89" s="60">
        <v>0</v>
      </c>
      <c r="S89" s="61">
        <v>34.29</v>
      </c>
      <c r="T89" s="61">
        <v>31.95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4760.43</v>
      </c>
      <c r="AE89" s="62">
        <v>0</v>
      </c>
      <c r="AF89" s="61">
        <v>0</v>
      </c>
      <c r="AG89" s="61">
        <v>0</v>
      </c>
      <c r="AH89" s="61">
        <v>4760.43</v>
      </c>
      <c r="AI89" s="61">
        <v>0</v>
      </c>
      <c r="AJ89" s="61">
        <v>0</v>
      </c>
      <c r="AK89" s="61">
        <v>0</v>
      </c>
      <c r="AL89" s="61">
        <v>0</v>
      </c>
      <c r="AM89" s="61">
        <v>0</v>
      </c>
      <c r="AN89" s="61">
        <v>0</v>
      </c>
      <c r="AO89" s="61">
        <v>0</v>
      </c>
      <c r="AP89" s="61">
        <v>4760.43</v>
      </c>
      <c r="AQ89" s="61">
        <v>0</v>
      </c>
      <c r="AR89" s="61">
        <v>0</v>
      </c>
      <c r="AS89" s="61">
        <v>0</v>
      </c>
      <c r="AT89" s="61">
        <v>0</v>
      </c>
      <c r="AU89" s="61">
        <v>0</v>
      </c>
    </row>
    <row r="90" spans="1:47" x14ac:dyDescent="0.2">
      <c r="A90" s="58" t="s">
        <v>460</v>
      </c>
      <c r="B90" s="58" t="s">
        <v>461</v>
      </c>
      <c r="C90" s="58" t="s">
        <v>178</v>
      </c>
      <c r="D90" s="59">
        <v>95</v>
      </c>
      <c r="E90" s="59">
        <v>0</v>
      </c>
      <c r="F90" s="59">
        <v>8</v>
      </c>
      <c r="G90" s="59">
        <v>0</v>
      </c>
      <c r="H90" s="59">
        <v>103</v>
      </c>
      <c r="I90" s="59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103</v>
      </c>
      <c r="Q90" s="59">
        <v>0</v>
      </c>
      <c r="R90" s="60">
        <v>35.792499999999997</v>
      </c>
      <c r="S90" s="61">
        <v>38.46</v>
      </c>
      <c r="T90" s="61">
        <v>36.75</v>
      </c>
      <c r="U90" s="61">
        <v>307.68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3498.64</v>
      </c>
      <c r="AE90" s="62">
        <v>0</v>
      </c>
      <c r="AF90" s="61">
        <v>286.33999999999997</v>
      </c>
      <c r="AG90" s="61">
        <v>0</v>
      </c>
      <c r="AH90" s="61">
        <v>3784.98</v>
      </c>
      <c r="AI90" s="61">
        <v>0</v>
      </c>
      <c r="AJ90" s="61">
        <v>0</v>
      </c>
      <c r="AK90" s="61">
        <v>0</v>
      </c>
      <c r="AL90" s="61">
        <v>0</v>
      </c>
      <c r="AM90" s="61">
        <v>0</v>
      </c>
      <c r="AN90" s="61">
        <v>0</v>
      </c>
      <c r="AO90" s="61">
        <v>0</v>
      </c>
      <c r="AP90" s="61">
        <v>3784.98</v>
      </c>
      <c r="AQ90" s="61">
        <v>0</v>
      </c>
      <c r="AR90" s="61">
        <v>0</v>
      </c>
      <c r="AS90" s="61">
        <v>-21.34</v>
      </c>
      <c r="AT90" s="61">
        <v>0</v>
      </c>
      <c r="AU90" s="61">
        <v>0</v>
      </c>
    </row>
    <row r="91" spans="1:47" x14ac:dyDescent="0.2">
      <c r="A91" s="58" t="s">
        <v>417</v>
      </c>
      <c r="B91" s="58" t="s">
        <v>418</v>
      </c>
      <c r="C91" s="58" t="s">
        <v>178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60">
        <v>0</v>
      </c>
      <c r="S91" s="61">
        <v>32.840000000000003</v>
      </c>
      <c r="T91" s="61">
        <v>35.450000000000003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2">
        <v>0</v>
      </c>
      <c r="AF91" s="61">
        <v>0</v>
      </c>
      <c r="AG91" s="61">
        <v>0</v>
      </c>
      <c r="AH91" s="61">
        <v>0</v>
      </c>
      <c r="AI91" s="61">
        <v>0</v>
      </c>
      <c r="AJ91" s="61">
        <v>0</v>
      </c>
      <c r="AK91" s="61">
        <v>0</v>
      </c>
      <c r="AL91" s="61">
        <v>0</v>
      </c>
      <c r="AM91" s="61">
        <v>0</v>
      </c>
      <c r="AN91" s="61">
        <v>0</v>
      </c>
      <c r="AO91" s="61">
        <v>0</v>
      </c>
      <c r="AP91" s="61">
        <v>0</v>
      </c>
      <c r="AQ91" s="61">
        <v>0</v>
      </c>
      <c r="AR91" s="61">
        <v>0</v>
      </c>
      <c r="AS91" s="61">
        <v>0</v>
      </c>
      <c r="AT91" s="61">
        <v>0</v>
      </c>
      <c r="AU91" s="61">
        <v>0</v>
      </c>
    </row>
    <row r="92" spans="1:47" x14ac:dyDescent="0.2">
      <c r="A92" s="58" t="s">
        <v>517</v>
      </c>
      <c r="B92" s="58" t="s">
        <v>518</v>
      </c>
      <c r="C92" s="58" t="s">
        <v>178</v>
      </c>
      <c r="D92" s="59">
        <v>660</v>
      </c>
      <c r="E92" s="59">
        <v>0</v>
      </c>
      <c r="F92" s="59">
        <v>642</v>
      </c>
      <c r="G92" s="59">
        <v>0</v>
      </c>
      <c r="H92" s="59">
        <v>1302</v>
      </c>
      <c r="I92" s="59">
        <v>-656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646</v>
      </c>
      <c r="Q92" s="59">
        <v>113</v>
      </c>
      <c r="R92" s="60">
        <v>43.693910000000002</v>
      </c>
      <c r="S92" s="61">
        <v>47.26</v>
      </c>
      <c r="T92" s="61">
        <v>48.64</v>
      </c>
      <c r="U92" s="61">
        <v>30340.92</v>
      </c>
      <c r="V92" s="61">
        <v>0</v>
      </c>
      <c r="W92" s="61">
        <v>-31002.560000000001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35273.22</v>
      </c>
      <c r="AE92" s="62">
        <v>0</v>
      </c>
      <c r="AF92" s="61">
        <v>28051.49</v>
      </c>
      <c r="AG92" s="61">
        <v>0</v>
      </c>
      <c r="AH92" s="61">
        <v>63324.71</v>
      </c>
      <c r="AI92" s="61">
        <v>-31905.54</v>
      </c>
      <c r="AJ92" s="61">
        <v>0</v>
      </c>
      <c r="AK92" s="61">
        <v>0</v>
      </c>
      <c r="AL92" s="61">
        <v>0</v>
      </c>
      <c r="AM92" s="61">
        <v>0</v>
      </c>
      <c r="AN92" s="61">
        <v>0</v>
      </c>
      <c r="AO92" s="61">
        <v>0</v>
      </c>
      <c r="AP92" s="61">
        <v>31419.17</v>
      </c>
      <c r="AQ92" s="61">
        <v>0</v>
      </c>
      <c r="AR92" s="61">
        <v>5495.92</v>
      </c>
      <c r="AS92" s="61">
        <v>-2289.4299999999998</v>
      </c>
      <c r="AT92" s="61">
        <v>-902.98</v>
      </c>
      <c r="AU92" s="61">
        <v>0</v>
      </c>
    </row>
    <row r="93" spans="1:47" x14ac:dyDescent="0.2">
      <c r="A93" s="58" t="s">
        <v>78</v>
      </c>
      <c r="B93" s="58" t="s">
        <v>315</v>
      </c>
      <c r="C93" s="58" t="s">
        <v>178</v>
      </c>
      <c r="D93" s="59">
        <v>638</v>
      </c>
      <c r="E93" s="59">
        <v>0</v>
      </c>
      <c r="F93" s="59">
        <v>0</v>
      </c>
      <c r="G93" s="59">
        <v>0</v>
      </c>
      <c r="H93" s="59">
        <v>638</v>
      </c>
      <c r="I93" s="59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0</v>
      </c>
      <c r="P93" s="59">
        <v>638</v>
      </c>
      <c r="Q93" s="59">
        <v>0</v>
      </c>
      <c r="R93" s="60">
        <v>0</v>
      </c>
      <c r="S93" s="61">
        <v>29.37</v>
      </c>
      <c r="T93" s="61">
        <v>27.85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17766.04</v>
      </c>
      <c r="AE93" s="62">
        <v>0</v>
      </c>
      <c r="AF93" s="61">
        <v>0</v>
      </c>
      <c r="AG93" s="61">
        <v>0</v>
      </c>
      <c r="AH93" s="61">
        <v>17766.04</v>
      </c>
      <c r="AI93" s="61">
        <v>0</v>
      </c>
      <c r="AJ93" s="61">
        <v>0</v>
      </c>
      <c r="AK93" s="61">
        <v>0</v>
      </c>
      <c r="AL93" s="61">
        <v>0</v>
      </c>
      <c r="AM93" s="61">
        <v>0</v>
      </c>
      <c r="AN93" s="61">
        <v>0</v>
      </c>
      <c r="AO93" s="61">
        <v>0</v>
      </c>
      <c r="AP93" s="61">
        <v>17766.04</v>
      </c>
      <c r="AQ93" s="61">
        <v>0</v>
      </c>
      <c r="AR93" s="61">
        <v>0</v>
      </c>
      <c r="AS93" s="61">
        <v>0</v>
      </c>
      <c r="AT93" s="61">
        <v>0</v>
      </c>
      <c r="AU93" s="61">
        <v>0</v>
      </c>
    </row>
    <row r="94" spans="1:47" x14ac:dyDescent="0.2">
      <c r="A94" s="58" t="s">
        <v>80</v>
      </c>
      <c r="B94" s="58" t="s">
        <v>316</v>
      </c>
      <c r="C94" s="58" t="s">
        <v>178</v>
      </c>
      <c r="D94" s="59">
        <v>222</v>
      </c>
      <c r="E94" s="59">
        <v>211</v>
      </c>
      <c r="F94" s="59">
        <v>798</v>
      </c>
      <c r="G94" s="59">
        <v>0</v>
      </c>
      <c r="H94" s="59">
        <v>1020</v>
      </c>
      <c r="I94" s="59">
        <v>-235</v>
      </c>
      <c r="J94" s="59">
        <v>0</v>
      </c>
      <c r="K94" s="59">
        <v>0</v>
      </c>
      <c r="L94" s="59">
        <v>0</v>
      </c>
      <c r="M94" s="59">
        <v>0</v>
      </c>
      <c r="N94" s="59">
        <v>0</v>
      </c>
      <c r="O94" s="59">
        <v>0</v>
      </c>
      <c r="P94" s="59">
        <v>785</v>
      </c>
      <c r="Q94" s="59">
        <v>50</v>
      </c>
      <c r="R94" s="60">
        <v>33.187907000000003</v>
      </c>
      <c r="S94" s="61">
        <v>36.33</v>
      </c>
      <c r="T94" s="61">
        <v>33.6</v>
      </c>
      <c r="U94" s="61">
        <v>28991.34</v>
      </c>
      <c r="V94" s="61">
        <v>0</v>
      </c>
      <c r="W94" s="61">
        <v>-8537.5499999999993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7785.58</v>
      </c>
      <c r="AE94" s="62">
        <v>0</v>
      </c>
      <c r="AF94" s="61">
        <v>26483.95</v>
      </c>
      <c r="AG94" s="61">
        <v>0</v>
      </c>
      <c r="AH94" s="61">
        <v>34269.53</v>
      </c>
      <c r="AI94" s="61">
        <v>-7895.43</v>
      </c>
      <c r="AJ94" s="61">
        <v>0</v>
      </c>
      <c r="AK94" s="61">
        <v>0</v>
      </c>
      <c r="AL94" s="61">
        <v>0</v>
      </c>
      <c r="AM94" s="61">
        <v>0</v>
      </c>
      <c r="AN94" s="61">
        <v>0</v>
      </c>
      <c r="AO94" s="61">
        <v>0</v>
      </c>
      <c r="AP94" s="61">
        <v>26374.1</v>
      </c>
      <c r="AQ94" s="61">
        <v>0</v>
      </c>
      <c r="AR94" s="61">
        <v>1679.88</v>
      </c>
      <c r="AS94" s="61">
        <v>-2507.39</v>
      </c>
      <c r="AT94" s="61">
        <v>642.12</v>
      </c>
      <c r="AU94" s="61">
        <v>0</v>
      </c>
    </row>
    <row r="95" spans="1:47" x14ac:dyDescent="0.2">
      <c r="A95" s="58" t="s">
        <v>419</v>
      </c>
      <c r="B95" s="58" t="s">
        <v>420</v>
      </c>
      <c r="C95" s="58" t="s">
        <v>178</v>
      </c>
      <c r="D95" s="59">
        <v>49</v>
      </c>
      <c r="E95" s="59">
        <v>0</v>
      </c>
      <c r="F95" s="59">
        <v>0</v>
      </c>
      <c r="G95" s="59">
        <v>0</v>
      </c>
      <c r="H95" s="59">
        <v>49</v>
      </c>
      <c r="I95" s="59">
        <v>0</v>
      </c>
      <c r="J95" s="59">
        <v>0</v>
      </c>
      <c r="K95" s="59">
        <v>0</v>
      </c>
      <c r="L95" s="59">
        <v>0</v>
      </c>
      <c r="M95" s="59">
        <v>0</v>
      </c>
      <c r="N95" s="59">
        <v>0</v>
      </c>
      <c r="O95" s="59">
        <v>0</v>
      </c>
      <c r="P95" s="59">
        <v>49</v>
      </c>
      <c r="Q95" s="59">
        <v>0</v>
      </c>
      <c r="R95" s="60">
        <v>0</v>
      </c>
      <c r="S95" s="61">
        <v>37.74</v>
      </c>
      <c r="T95" s="61">
        <v>37.54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1839.64</v>
      </c>
      <c r="AE95" s="62">
        <v>0</v>
      </c>
      <c r="AF95" s="61">
        <v>0</v>
      </c>
      <c r="AG95" s="61">
        <v>0</v>
      </c>
      <c r="AH95" s="61">
        <v>1839.64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0</v>
      </c>
      <c r="AP95" s="61">
        <v>1839.64</v>
      </c>
      <c r="AQ95" s="61">
        <v>0</v>
      </c>
      <c r="AR95" s="61">
        <v>0</v>
      </c>
      <c r="AS95" s="61">
        <v>0</v>
      </c>
      <c r="AT95" s="61">
        <v>0</v>
      </c>
      <c r="AU95" s="61">
        <v>0</v>
      </c>
    </row>
    <row r="96" spans="1:47" x14ac:dyDescent="0.2">
      <c r="A96" s="58" t="s">
        <v>421</v>
      </c>
      <c r="B96" s="58" t="s">
        <v>422</v>
      </c>
      <c r="C96" s="58" t="s">
        <v>178</v>
      </c>
      <c r="D96" s="59">
        <v>22</v>
      </c>
      <c r="E96" s="59">
        <v>0</v>
      </c>
      <c r="F96" s="59">
        <v>4</v>
      </c>
      <c r="G96" s="59">
        <v>0</v>
      </c>
      <c r="H96" s="59">
        <v>26</v>
      </c>
      <c r="I96" s="59">
        <v>0</v>
      </c>
      <c r="J96" s="59">
        <v>0</v>
      </c>
      <c r="K96" s="59">
        <v>0</v>
      </c>
      <c r="L96" s="59">
        <v>0</v>
      </c>
      <c r="M96" s="59">
        <v>0</v>
      </c>
      <c r="N96" s="59">
        <v>0</v>
      </c>
      <c r="O96" s="59">
        <v>0</v>
      </c>
      <c r="P96" s="59">
        <v>26</v>
      </c>
      <c r="Q96" s="59">
        <v>0</v>
      </c>
      <c r="R96" s="60">
        <v>35.854999999999997</v>
      </c>
      <c r="S96" s="61">
        <v>46</v>
      </c>
      <c r="T96" s="61">
        <v>36.799999999999997</v>
      </c>
      <c r="U96" s="61">
        <v>184</v>
      </c>
      <c r="V96" s="61">
        <v>0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61">
        <v>813.33</v>
      </c>
      <c r="AE96" s="62">
        <v>0</v>
      </c>
      <c r="AF96" s="61">
        <v>143.41999999999999</v>
      </c>
      <c r="AG96" s="61">
        <v>0</v>
      </c>
      <c r="AH96" s="61">
        <v>956.75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</v>
      </c>
      <c r="AP96" s="61">
        <v>956.75</v>
      </c>
      <c r="AQ96" s="61">
        <v>0</v>
      </c>
      <c r="AR96" s="61">
        <v>0</v>
      </c>
      <c r="AS96" s="61">
        <v>-40.58</v>
      </c>
      <c r="AT96" s="61">
        <v>0</v>
      </c>
      <c r="AU96" s="61">
        <v>0</v>
      </c>
    </row>
    <row r="97" spans="1:47" x14ac:dyDescent="0.2">
      <c r="A97" s="58" t="s">
        <v>450</v>
      </c>
      <c r="B97" s="58" t="s">
        <v>451</v>
      </c>
      <c r="C97" s="58" t="s">
        <v>178</v>
      </c>
      <c r="D97" s="59">
        <v>104</v>
      </c>
      <c r="E97" s="59">
        <v>0</v>
      </c>
      <c r="F97" s="59">
        <v>0</v>
      </c>
      <c r="G97" s="59">
        <v>0</v>
      </c>
      <c r="H97" s="59">
        <v>104</v>
      </c>
      <c r="I97" s="59">
        <v>0</v>
      </c>
      <c r="J97" s="59">
        <v>0</v>
      </c>
      <c r="K97" s="59">
        <v>0</v>
      </c>
      <c r="L97" s="59">
        <v>0</v>
      </c>
      <c r="M97" s="59">
        <v>0</v>
      </c>
      <c r="N97" s="59">
        <v>0</v>
      </c>
      <c r="O97" s="59">
        <v>0</v>
      </c>
      <c r="P97" s="59">
        <v>104</v>
      </c>
      <c r="Q97" s="59">
        <v>0</v>
      </c>
      <c r="R97" s="60">
        <v>0</v>
      </c>
      <c r="S97" s="61">
        <v>43.28</v>
      </c>
      <c r="T97" s="61">
        <v>45.71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4753.53</v>
      </c>
      <c r="AE97" s="62">
        <v>0</v>
      </c>
      <c r="AF97" s="61">
        <v>0</v>
      </c>
      <c r="AG97" s="61">
        <v>0</v>
      </c>
      <c r="AH97" s="61">
        <v>4753.53</v>
      </c>
      <c r="AI97" s="61">
        <v>0</v>
      </c>
      <c r="AJ97" s="61">
        <v>0</v>
      </c>
      <c r="AK97" s="61">
        <v>0</v>
      </c>
      <c r="AL97" s="61">
        <v>0</v>
      </c>
      <c r="AM97" s="61">
        <v>0</v>
      </c>
      <c r="AN97" s="61">
        <v>0</v>
      </c>
      <c r="AO97" s="61">
        <v>0</v>
      </c>
      <c r="AP97" s="61">
        <v>4753.53</v>
      </c>
      <c r="AQ97" s="61">
        <v>0</v>
      </c>
      <c r="AR97" s="61">
        <v>0</v>
      </c>
      <c r="AS97" s="61">
        <v>0</v>
      </c>
      <c r="AT97" s="61">
        <v>0</v>
      </c>
      <c r="AU97" s="61">
        <v>0</v>
      </c>
    </row>
    <row r="98" spans="1:47" x14ac:dyDescent="0.2">
      <c r="A98" s="58" t="s">
        <v>445</v>
      </c>
      <c r="B98" s="58" t="s">
        <v>446</v>
      </c>
      <c r="C98" s="58" t="s">
        <v>178</v>
      </c>
      <c r="D98" s="59">
        <v>35</v>
      </c>
      <c r="E98" s="59">
        <v>0</v>
      </c>
      <c r="F98" s="59">
        <v>168</v>
      </c>
      <c r="G98" s="59">
        <v>0</v>
      </c>
      <c r="H98" s="59">
        <v>203</v>
      </c>
      <c r="I98" s="59">
        <v>0</v>
      </c>
      <c r="J98" s="59">
        <v>0</v>
      </c>
      <c r="K98" s="59">
        <v>0</v>
      </c>
      <c r="L98" s="59">
        <v>0</v>
      </c>
      <c r="M98" s="59">
        <v>0</v>
      </c>
      <c r="N98" s="59">
        <v>0</v>
      </c>
      <c r="O98" s="59">
        <v>0</v>
      </c>
      <c r="P98" s="59">
        <v>203</v>
      </c>
      <c r="Q98" s="59">
        <v>0</v>
      </c>
      <c r="R98" s="60">
        <v>40.353810000000003</v>
      </c>
      <c r="S98" s="61">
        <v>44.03</v>
      </c>
      <c r="T98" s="61">
        <v>40.770000000000003</v>
      </c>
      <c r="U98" s="61">
        <v>7397.04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1496.2</v>
      </c>
      <c r="AE98" s="62">
        <v>0</v>
      </c>
      <c r="AF98" s="61">
        <v>6779.44</v>
      </c>
      <c r="AG98" s="61">
        <v>0</v>
      </c>
      <c r="AH98" s="61">
        <v>8275.64</v>
      </c>
      <c r="AI98" s="61">
        <v>0</v>
      </c>
      <c r="AJ98" s="61">
        <v>0</v>
      </c>
      <c r="AK98" s="61">
        <v>0</v>
      </c>
      <c r="AL98" s="61">
        <v>0</v>
      </c>
      <c r="AM98" s="61">
        <v>0</v>
      </c>
      <c r="AN98" s="61">
        <v>0</v>
      </c>
      <c r="AO98" s="61">
        <v>0</v>
      </c>
      <c r="AP98" s="61">
        <v>8275.64</v>
      </c>
      <c r="AQ98" s="61">
        <v>0</v>
      </c>
      <c r="AR98" s="61">
        <v>0</v>
      </c>
      <c r="AS98" s="61">
        <v>-617.6</v>
      </c>
      <c r="AT98" s="61">
        <v>0</v>
      </c>
      <c r="AU98" s="61">
        <v>0</v>
      </c>
    </row>
    <row r="99" spans="1:47" x14ac:dyDescent="0.2">
      <c r="A99" s="58" t="s">
        <v>423</v>
      </c>
      <c r="B99" s="58" t="s">
        <v>424</v>
      </c>
      <c r="C99" s="58" t="s">
        <v>178</v>
      </c>
      <c r="D99" s="59">
        <v>6889</v>
      </c>
      <c r="E99" s="59">
        <v>0</v>
      </c>
      <c r="F99" s="59">
        <v>10180</v>
      </c>
      <c r="G99" s="59">
        <v>0</v>
      </c>
      <c r="H99" s="59">
        <v>17069</v>
      </c>
      <c r="I99" s="59">
        <v>-8270</v>
      </c>
      <c r="J99" s="59">
        <v>0</v>
      </c>
      <c r="K99" s="59">
        <v>0</v>
      </c>
      <c r="L99" s="59">
        <v>0</v>
      </c>
      <c r="M99" s="59">
        <v>0</v>
      </c>
      <c r="N99" s="59">
        <v>0</v>
      </c>
      <c r="O99" s="59">
        <v>0</v>
      </c>
      <c r="P99" s="59">
        <v>8799</v>
      </c>
      <c r="Q99" s="59">
        <v>0</v>
      </c>
      <c r="R99" s="60">
        <v>38.26793</v>
      </c>
      <c r="S99" s="61">
        <v>41.32</v>
      </c>
      <c r="T99" s="61">
        <v>40.049999999999997</v>
      </c>
      <c r="U99" s="61">
        <v>420637.6</v>
      </c>
      <c r="V99" s="61">
        <v>0</v>
      </c>
      <c r="W99" s="61">
        <v>-341716.4</v>
      </c>
      <c r="X99" s="61">
        <v>0</v>
      </c>
      <c r="Y99" s="61">
        <v>0</v>
      </c>
      <c r="Z99" s="61">
        <v>0</v>
      </c>
      <c r="AA99" s="61">
        <v>0</v>
      </c>
      <c r="AB99" s="61">
        <v>0</v>
      </c>
      <c r="AC99" s="61">
        <v>0</v>
      </c>
      <c r="AD99" s="61">
        <v>294083.61</v>
      </c>
      <c r="AE99" s="62">
        <v>0</v>
      </c>
      <c r="AF99" s="61">
        <v>389567.53</v>
      </c>
      <c r="AG99" s="61">
        <v>0</v>
      </c>
      <c r="AH99" s="61">
        <v>683651.14</v>
      </c>
      <c r="AI99" s="61">
        <v>-331231.76</v>
      </c>
      <c r="AJ99" s="61">
        <v>0</v>
      </c>
      <c r="AK99" s="61">
        <v>0</v>
      </c>
      <c r="AL99" s="61">
        <v>0</v>
      </c>
      <c r="AM99" s="61">
        <v>0</v>
      </c>
      <c r="AN99" s="61">
        <v>0</v>
      </c>
      <c r="AO99" s="61">
        <v>0</v>
      </c>
      <c r="AP99" s="61">
        <v>352419.38</v>
      </c>
      <c r="AQ99" s="61">
        <v>0</v>
      </c>
      <c r="AR99" s="61">
        <v>0</v>
      </c>
      <c r="AS99" s="61">
        <v>-31070.07</v>
      </c>
      <c r="AT99" s="61">
        <v>10484.64</v>
      </c>
      <c r="AU99" s="61">
        <v>0</v>
      </c>
    </row>
    <row r="100" spans="1:47" x14ac:dyDescent="0.2">
      <c r="A100" s="58" t="s">
        <v>477</v>
      </c>
      <c r="B100" s="58" t="s">
        <v>497</v>
      </c>
      <c r="C100" s="58" t="s">
        <v>178</v>
      </c>
      <c r="D100" s="59">
        <v>81</v>
      </c>
      <c r="E100" s="59">
        <v>0</v>
      </c>
      <c r="F100" s="59">
        <v>491</v>
      </c>
      <c r="G100" s="59">
        <v>0</v>
      </c>
      <c r="H100" s="59">
        <v>572</v>
      </c>
      <c r="I100" s="59">
        <v>-530</v>
      </c>
      <c r="J100" s="59">
        <v>0</v>
      </c>
      <c r="K100" s="59">
        <v>0</v>
      </c>
      <c r="L100" s="59">
        <v>0</v>
      </c>
      <c r="M100" s="59">
        <v>0</v>
      </c>
      <c r="N100" s="59">
        <v>0</v>
      </c>
      <c r="O100" s="59">
        <v>0</v>
      </c>
      <c r="P100" s="59">
        <v>42</v>
      </c>
      <c r="Q100" s="59">
        <v>0</v>
      </c>
      <c r="R100" s="60">
        <v>39.939776000000002</v>
      </c>
      <c r="S100" s="61">
        <v>43.95</v>
      </c>
      <c r="T100" s="61">
        <v>40.909999999999997</v>
      </c>
      <c r="U100" s="61">
        <v>21579.45</v>
      </c>
      <c r="V100" s="61">
        <v>0</v>
      </c>
      <c r="W100" s="61">
        <v>-23293.5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3789.66</v>
      </c>
      <c r="AE100" s="62">
        <v>0</v>
      </c>
      <c r="AF100" s="61">
        <v>19610.43</v>
      </c>
      <c r="AG100" s="61">
        <v>0</v>
      </c>
      <c r="AH100" s="61">
        <v>23400.09</v>
      </c>
      <c r="AI100" s="61">
        <v>-21681.9</v>
      </c>
      <c r="AJ100" s="61">
        <v>0</v>
      </c>
      <c r="AK100" s="61">
        <v>0</v>
      </c>
      <c r="AL100" s="61">
        <v>0</v>
      </c>
      <c r="AM100" s="61">
        <v>0</v>
      </c>
      <c r="AN100" s="61">
        <v>0</v>
      </c>
      <c r="AO100" s="61">
        <v>0</v>
      </c>
      <c r="AP100" s="61">
        <v>1718.19</v>
      </c>
      <c r="AQ100" s="61">
        <v>0</v>
      </c>
      <c r="AR100" s="61">
        <v>0</v>
      </c>
      <c r="AS100" s="61">
        <v>-1969.02</v>
      </c>
      <c r="AT100" s="61">
        <v>1611.6</v>
      </c>
      <c r="AU100" s="61">
        <v>0</v>
      </c>
    </row>
    <row r="101" spans="1:47" x14ac:dyDescent="0.2">
      <c r="A101" s="58" t="s">
        <v>82</v>
      </c>
      <c r="B101" s="58" t="s">
        <v>317</v>
      </c>
      <c r="C101" s="58" t="s">
        <v>178</v>
      </c>
      <c r="D101" s="59">
        <v>2157</v>
      </c>
      <c r="E101" s="59">
        <v>0</v>
      </c>
      <c r="F101" s="59">
        <v>42</v>
      </c>
      <c r="G101" s="59">
        <v>0</v>
      </c>
      <c r="H101" s="59">
        <v>2199</v>
      </c>
      <c r="I101" s="59">
        <v>0</v>
      </c>
      <c r="J101" s="59">
        <v>0</v>
      </c>
      <c r="K101" s="59">
        <v>0</v>
      </c>
      <c r="L101" s="59">
        <v>0</v>
      </c>
      <c r="M101" s="59">
        <v>0</v>
      </c>
      <c r="N101" s="59">
        <v>0</v>
      </c>
      <c r="O101" s="59">
        <v>0</v>
      </c>
      <c r="P101" s="59">
        <v>2199</v>
      </c>
      <c r="Q101" s="59">
        <v>0</v>
      </c>
      <c r="R101" s="60">
        <v>27.423333</v>
      </c>
      <c r="S101" s="61">
        <v>30.62</v>
      </c>
      <c r="T101" s="61">
        <v>30.12</v>
      </c>
      <c r="U101" s="61">
        <v>1286.04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65088.18</v>
      </c>
      <c r="AE101" s="62">
        <v>0</v>
      </c>
      <c r="AF101" s="61">
        <v>1151.78</v>
      </c>
      <c r="AG101" s="61">
        <v>0</v>
      </c>
      <c r="AH101" s="61">
        <v>66239.960000000006</v>
      </c>
      <c r="AI101" s="61">
        <v>0</v>
      </c>
      <c r="AJ101" s="61">
        <v>0</v>
      </c>
      <c r="AK101" s="61">
        <v>0</v>
      </c>
      <c r="AL101" s="61">
        <v>0</v>
      </c>
      <c r="AM101" s="61">
        <v>0</v>
      </c>
      <c r="AN101" s="61">
        <v>0</v>
      </c>
      <c r="AO101" s="61">
        <v>0</v>
      </c>
      <c r="AP101" s="61">
        <v>66239.960000000006</v>
      </c>
      <c r="AQ101" s="61">
        <v>0</v>
      </c>
      <c r="AR101" s="61">
        <v>0</v>
      </c>
      <c r="AS101" s="61">
        <v>-134.26</v>
      </c>
      <c r="AT101" s="61">
        <v>0</v>
      </c>
      <c r="AU101" s="61">
        <v>0</v>
      </c>
    </row>
    <row r="102" spans="1:47" x14ac:dyDescent="0.2">
      <c r="A102" s="58" t="s">
        <v>462</v>
      </c>
      <c r="B102" s="58" t="s">
        <v>463</v>
      </c>
      <c r="C102" s="58" t="s">
        <v>178</v>
      </c>
      <c r="D102" s="59">
        <v>386</v>
      </c>
      <c r="E102" s="59">
        <v>0</v>
      </c>
      <c r="F102" s="59">
        <v>590</v>
      </c>
      <c r="G102" s="59">
        <v>0</v>
      </c>
      <c r="H102" s="59">
        <v>976</v>
      </c>
      <c r="I102" s="59">
        <v>-264</v>
      </c>
      <c r="J102" s="59">
        <v>0</v>
      </c>
      <c r="K102" s="59">
        <v>0</v>
      </c>
      <c r="L102" s="59">
        <v>0</v>
      </c>
      <c r="M102" s="59">
        <v>0</v>
      </c>
      <c r="N102" s="59">
        <v>0</v>
      </c>
      <c r="O102" s="59">
        <v>0</v>
      </c>
      <c r="P102" s="59">
        <v>712</v>
      </c>
      <c r="Q102" s="59">
        <v>75</v>
      </c>
      <c r="R102" s="60">
        <v>44.585712000000001</v>
      </c>
      <c r="S102" s="61">
        <v>48.01</v>
      </c>
      <c r="T102" s="61">
        <v>48.12</v>
      </c>
      <c r="U102" s="61">
        <v>28325.9</v>
      </c>
      <c r="V102" s="61">
        <v>0</v>
      </c>
      <c r="W102" s="61">
        <v>-12674.64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20657.71</v>
      </c>
      <c r="AE102" s="62">
        <v>0</v>
      </c>
      <c r="AF102" s="61">
        <v>26305.57</v>
      </c>
      <c r="AG102" s="61">
        <v>0</v>
      </c>
      <c r="AH102" s="61">
        <v>46963.28</v>
      </c>
      <c r="AI102" s="61">
        <v>-12703.18</v>
      </c>
      <c r="AJ102" s="61">
        <v>0</v>
      </c>
      <c r="AK102" s="61">
        <v>0</v>
      </c>
      <c r="AL102" s="61">
        <v>0</v>
      </c>
      <c r="AM102" s="61">
        <v>0</v>
      </c>
      <c r="AN102" s="61">
        <v>0</v>
      </c>
      <c r="AO102" s="61">
        <v>0</v>
      </c>
      <c r="AP102" s="61">
        <v>34260.1</v>
      </c>
      <c r="AQ102" s="61">
        <v>0</v>
      </c>
      <c r="AR102" s="61">
        <v>3608.86</v>
      </c>
      <c r="AS102" s="61">
        <v>-2020.33</v>
      </c>
      <c r="AT102" s="61">
        <v>-28.54</v>
      </c>
      <c r="AU102" s="61">
        <v>0</v>
      </c>
    </row>
    <row r="103" spans="1:47" x14ac:dyDescent="0.2">
      <c r="A103" s="58" t="s">
        <v>84</v>
      </c>
      <c r="B103" s="58" t="s">
        <v>318</v>
      </c>
      <c r="C103" s="58" t="s">
        <v>178</v>
      </c>
      <c r="D103" s="59">
        <v>145</v>
      </c>
      <c r="E103" s="59">
        <v>0</v>
      </c>
      <c r="F103" s="59">
        <v>0</v>
      </c>
      <c r="G103" s="59">
        <v>0</v>
      </c>
      <c r="H103" s="59">
        <v>145</v>
      </c>
      <c r="I103" s="59">
        <v>0</v>
      </c>
      <c r="J103" s="59">
        <v>0</v>
      </c>
      <c r="K103" s="59">
        <v>0</v>
      </c>
      <c r="L103" s="59">
        <v>0</v>
      </c>
      <c r="M103" s="59">
        <v>0</v>
      </c>
      <c r="N103" s="59">
        <v>0</v>
      </c>
      <c r="O103" s="59">
        <v>0</v>
      </c>
      <c r="P103" s="59">
        <v>145</v>
      </c>
      <c r="Q103" s="59">
        <v>0</v>
      </c>
      <c r="R103" s="60">
        <v>0</v>
      </c>
      <c r="S103" s="61">
        <v>31.99</v>
      </c>
      <c r="T103" s="61">
        <v>30.79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4464.22</v>
      </c>
      <c r="AE103" s="62">
        <v>0</v>
      </c>
      <c r="AF103" s="61">
        <v>0</v>
      </c>
      <c r="AG103" s="61">
        <v>0</v>
      </c>
      <c r="AH103" s="61">
        <v>4464.22</v>
      </c>
      <c r="AI103" s="61">
        <v>0</v>
      </c>
      <c r="AJ103" s="61">
        <v>0</v>
      </c>
      <c r="AK103" s="61">
        <v>0</v>
      </c>
      <c r="AL103" s="61">
        <v>0</v>
      </c>
      <c r="AM103" s="61">
        <v>0</v>
      </c>
      <c r="AN103" s="61">
        <v>0</v>
      </c>
      <c r="AO103" s="61">
        <v>0</v>
      </c>
      <c r="AP103" s="61">
        <v>4464.22</v>
      </c>
      <c r="AQ103" s="61">
        <v>0</v>
      </c>
      <c r="AR103" s="61">
        <v>0</v>
      </c>
      <c r="AS103" s="61">
        <v>0</v>
      </c>
      <c r="AT103" s="61">
        <v>0</v>
      </c>
      <c r="AU103" s="61">
        <v>0</v>
      </c>
    </row>
    <row r="104" spans="1:47" x14ac:dyDescent="0.2">
      <c r="A104" s="58" t="s">
        <v>479</v>
      </c>
      <c r="B104" s="58" t="s">
        <v>498</v>
      </c>
      <c r="C104" s="58" t="s">
        <v>178</v>
      </c>
      <c r="D104" s="59">
        <v>79</v>
      </c>
      <c r="E104" s="59">
        <v>0</v>
      </c>
      <c r="F104" s="59">
        <v>0</v>
      </c>
      <c r="G104" s="59">
        <v>0</v>
      </c>
      <c r="H104" s="59">
        <v>79</v>
      </c>
      <c r="I104" s="59">
        <v>-70</v>
      </c>
      <c r="J104" s="59">
        <v>0</v>
      </c>
      <c r="K104" s="59">
        <v>0</v>
      </c>
      <c r="L104" s="59">
        <v>0</v>
      </c>
      <c r="M104" s="59">
        <v>0</v>
      </c>
      <c r="N104" s="59">
        <v>0</v>
      </c>
      <c r="O104" s="59">
        <v>0</v>
      </c>
      <c r="P104" s="59">
        <v>9</v>
      </c>
      <c r="Q104" s="59">
        <v>8</v>
      </c>
      <c r="R104" s="60">
        <v>0</v>
      </c>
      <c r="S104" s="61">
        <v>51.69</v>
      </c>
      <c r="T104" s="61">
        <v>47.99</v>
      </c>
      <c r="U104" s="61">
        <v>0</v>
      </c>
      <c r="V104" s="61">
        <v>0</v>
      </c>
      <c r="W104" s="61">
        <v>-3618.3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3790.94</v>
      </c>
      <c r="AE104" s="62">
        <v>0</v>
      </c>
      <c r="AF104" s="61">
        <v>0</v>
      </c>
      <c r="AG104" s="61">
        <v>0</v>
      </c>
      <c r="AH104" s="61">
        <v>3790.94</v>
      </c>
      <c r="AI104" s="61">
        <v>-3359.06</v>
      </c>
      <c r="AJ104" s="61">
        <v>0</v>
      </c>
      <c r="AK104" s="61">
        <v>0</v>
      </c>
      <c r="AL104" s="61">
        <v>0</v>
      </c>
      <c r="AM104" s="61">
        <v>0</v>
      </c>
      <c r="AN104" s="61">
        <v>0</v>
      </c>
      <c r="AO104" s="61">
        <v>0</v>
      </c>
      <c r="AP104" s="61">
        <v>431.88</v>
      </c>
      <c r="AQ104" s="61">
        <v>0</v>
      </c>
      <c r="AR104" s="61">
        <v>383.89</v>
      </c>
      <c r="AS104" s="61">
        <v>0</v>
      </c>
      <c r="AT104" s="61">
        <v>259.24</v>
      </c>
      <c r="AU104" s="61">
        <v>0</v>
      </c>
    </row>
    <row r="105" spans="1:47" x14ac:dyDescent="0.2">
      <c r="A105" s="58" t="s">
        <v>86</v>
      </c>
      <c r="B105" s="58" t="s">
        <v>319</v>
      </c>
      <c r="C105" s="58" t="s">
        <v>178</v>
      </c>
      <c r="D105" s="59">
        <v>431</v>
      </c>
      <c r="E105" s="59">
        <v>0</v>
      </c>
      <c r="F105" s="59">
        <v>0</v>
      </c>
      <c r="G105" s="59">
        <v>0</v>
      </c>
      <c r="H105" s="59">
        <v>431</v>
      </c>
      <c r="I105" s="59">
        <v>0</v>
      </c>
      <c r="J105" s="59">
        <v>0</v>
      </c>
      <c r="K105" s="59">
        <v>0</v>
      </c>
      <c r="L105" s="59">
        <v>0</v>
      </c>
      <c r="M105" s="59">
        <v>0</v>
      </c>
      <c r="N105" s="59">
        <v>0</v>
      </c>
      <c r="O105" s="59">
        <v>0</v>
      </c>
      <c r="P105" s="59">
        <v>431</v>
      </c>
      <c r="Q105" s="59">
        <v>0</v>
      </c>
      <c r="R105" s="60">
        <v>0</v>
      </c>
      <c r="S105" s="61">
        <v>32.01</v>
      </c>
      <c r="T105" s="61">
        <v>32.369999999999997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13951.6</v>
      </c>
      <c r="AE105" s="62">
        <v>0</v>
      </c>
      <c r="AF105" s="61">
        <v>0</v>
      </c>
      <c r="AG105" s="61">
        <v>0</v>
      </c>
      <c r="AH105" s="61">
        <v>13951.6</v>
      </c>
      <c r="AI105" s="61">
        <v>0</v>
      </c>
      <c r="AJ105" s="61">
        <v>0</v>
      </c>
      <c r="AK105" s="61">
        <v>0</v>
      </c>
      <c r="AL105" s="61">
        <v>0</v>
      </c>
      <c r="AM105" s="61">
        <v>0</v>
      </c>
      <c r="AN105" s="61">
        <v>0</v>
      </c>
      <c r="AO105" s="61">
        <v>0</v>
      </c>
      <c r="AP105" s="61">
        <v>13951.6</v>
      </c>
      <c r="AQ105" s="61">
        <v>0</v>
      </c>
      <c r="AR105" s="61">
        <v>0</v>
      </c>
      <c r="AS105" s="61">
        <v>0</v>
      </c>
      <c r="AT105" s="61">
        <v>0</v>
      </c>
      <c r="AU105" s="61">
        <v>0</v>
      </c>
    </row>
    <row r="106" spans="1:47" x14ac:dyDescent="0.2">
      <c r="A106" s="58" t="s">
        <v>481</v>
      </c>
      <c r="B106" s="58" t="s">
        <v>499</v>
      </c>
      <c r="C106" s="58" t="s">
        <v>178</v>
      </c>
      <c r="D106" s="59">
        <v>54</v>
      </c>
      <c r="E106" s="59">
        <v>0</v>
      </c>
      <c r="F106" s="59">
        <v>306</v>
      </c>
      <c r="G106" s="59">
        <v>0</v>
      </c>
      <c r="H106" s="59">
        <v>360</v>
      </c>
      <c r="I106" s="59">
        <v>-82</v>
      </c>
      <c r="J106" s="59">
        <v>0</v>
      </c>
      <c r="K106" s="59">
        <v>0</v>
      </c>
      <c r="L106" s="59">
        <v>0</v>
      </c>
      <c r="M106" s="59">
        <v>0</v>
      </c>
      <c r="N106" s="59">
        <v>0</v>
      </c>
      <c r="O106" s="59">
        <v>0</v>
      </c>
      <c r="P106" s="59">
        <v>278</v>
      </c>
      <c r="Q106" s="59">
        <v>66</v>
      </c>
      <c r="R106" s="60">
        <v>40.789216000000003</v>
      </c>
      <c r="S106" s="61">
        <v>44.04</v>
      </c>
      <c r="T106" s="61">
        <v>40.97</v>
      </c>
      <c r="U106" s="61">
        <v>13476.24</v>
      </c>
      <c r="V106" s="61">
        <v>0</v>
      </c>
      <c r="W106" s="61">
        <v>-3611.28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2267.17</v>
      </c>
      <c r="AE106" s="62">
        <v>0</v>
      </c>
      <c r="AF106" s="61">
        <v>12481.5</v>
      </c>
      <c r="AG106" s="61">
        <v>0</v>
      </c>
      <c r="AH106" s="61">
        <v>14748.67</v>
      </c>
      <c r="AI106" s="61">
        <v>-3359.42</v>
      </c>
      <c r="AJ106" s="61">
        <v>0</v>
      </c>
      <c r="AK106" s="61">
        <v>0</v>
      </c>
      <c r="AL106" s="61">
        <v>0</v>
      </c>
      <c r="AM106" s="61">
        <v>0</v>
      </c>
      <c r="AN106" s="61">
        <v>0</v>
      </c>
      <c r="AO106" s="61">
        <v>0</v>
      </c>
      <c r="AP106" s="61">
        <v>11389.25</v>
      </c>
      <c r="AQ106" s="61">
        <v>0</v>
      </c>
      <c r="AR106" s="61">
        <v>2703.92</v>
      </c>
      <c r="AS106" s="61">
        <v>-994.74</v>
      </c>
      <c r="AT106" s="61">
        <v>251.86</v>
      </c>
      <c r="AU106" s="61">
        <v>0</v>
      </c>
    </row>
    <row r="107" spans="1:47" x14ac:dyDescent="0.2">
      <c r="A107" s="58" t="s">
        <v>88</v>
      </c>
      <c r="B107" s="58" t="s">
        <v>320</v>
      </c>
      <c r="C107" s="58" t="s">
        <v>178</v>
      </c>
      <c r="D107" s="59">
        <v>82</v>
      </c>
      <c r="E107" s="59">
        <v>0</v>
      </c>
      <c r="F107" s="59">
        <v>5314</v>
      </c>
      <c r="G107" s="59">
        <v>0</v>
      </c>
      <c r="H107" s="59">
        <v>5396</v>
      </c>
      <c r="I107" s="59">
        <v>-3359</v>
      </c>
      <c r="J107" s="59">
        <v>0</v>
      </c>
      <c r="K107" s="59">
        <v>0</v>
      </c>
      <c r="L107" s="59">
        <v>0</v>
      </c>
      <c r="M107" s="59">
        <v>0</v>
      </c>
      <c r="N107" s="59">
        <v>0</v>
      </c>
      <c r="O107" s="59">
        <v>0</v>
      </c>
      <c r="P107" s="59">
        <v>2037</v>
      </c>
      <c r="Q107" s="59">
        <v>0</v>
      </c>
      <c r="R107" s="60">
        <v>29.405332999999999</v>
      </c>
      <c r="S107" s="61">
        <v>32.270000000000003</v>
      </c>
      <c r="T107" s="61">
        <v>29.44</v>
      </c>
      <c r="U107" s="61">
        <v>171482.78</v>
      </c>
      <c r="V107" s="61">
        <v>0</v>
      </c>
      <c r="W107" s="61">
        <v>-108394.93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2608.85</v>
      </c>
      <c r="AE107" s="62">
        <v>0</v>
      </c>
      <c r="AF107" s="61">
        <v>156259.94</v>
      </c>
      <c r="AG107" s="61">
        <v>0</v>
      </c>
      <c r="AH107" s="61">
        <v>158868.79</v>
      </c>
      <c r="AI107" s="61">
        <v>-98895.53</v>
      </c>
      <c r="AJ107" s="61">
        <v>0</v>
      </c>
      <c r="AK107" s="61">
        <v>0</v>
      </c>
      <c r="AL107" s="61">
        <v>0</v>
      </c>
      <c r="AM107" s="61">
        <v>0</v>
      </c>
      <c r="AN107" s="61">
        <v>0</v>
      </c>
      <c r="AO107" s="61">
        <v>0</v>
      </c>
      <c r="AP107" s="61">
        <v>59973.26</v>
      </c>
      <c r="AQ107" s="61">
        <v>0</v>
      </c>
      <c r="AR107" s="61">
        <v>0</v>
      </c>
      <c r="AS107" s="61">
        <v>-15222.84</v>
      </c>
      <c r="AT107" s="61">
        <v>9499.4</v>
      </c>
      <c r="AU107" s="61">
        <v>0</v>
      </c>
    </row>
    <row r="108" spans="1:47" x14ac:dyDescent="0.2">
      <c r="A108" s="58" t="s">
        <v>483</v>
      </c>
      <c r="B108" s="58" t="s">
        <v>500</v>
      </c>
      <c r="C108" s="58" t="s">
        <v>178</v>
      </c>
      <c r="D108" s="59">
        <v>93</v>
      </c>
      <c r="E108" s="59">
        <v>0</v>
      </c>
      <c r="F108" s="59">
        <v>229</v>
      </c>
      <c r="G108" s="59">
        <v>0</v>
      </c>
      <c r="H108" s="59">
        <v>322</v>
      </c>
      <c r="I108" s="59">
        <v>-214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59">
        <v>0</v>
      </c>
      <c r="P108" s="59">
        <v>108</v>
      </c>
      <c r="Q108" s="59">
        <v>71</v>
      </c>
      <c r="R108" s="60">
        <v>43.682009000000001</v>
      </c>
      <c r="S108" s="61">
        <v>47.19</v>
      </c>
      <c r="T108" s="61">
        <v>44.32</v>
      </c>
      <c r="U108" s="61">
        <v>10806.51</v>
      </c>
      <c r="V108" s="61">
        <v>0</v>
      </c>
      <c r="W108" s="61">
        <v>-10098.66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4266.38</v>
      </c>
      <c r="AE108" s="62">
        <v>0</v>
      </c>
      <c r="AF108" s="61">
        <v>10003.18</v>
      </c>
      <c r="AG108" s="61">
        <v>0</v>
      </c>
      <c r="AH108" s="61">
        <v>14269.56</v>
      </c>
      <c r="AI108" s="61">
        <v>-9483.5</v>
      </c>
      <c r="AJ108" s="61">
        <v>0</v>
      </c>
      <c r="AK108" s="61">
        <v>0</v>
      </c>
      <c r="AL108" s="61">
        <v>0</v>
      </c>
      <c r="AM108" s="61">
        <v>0</v>
      </c>
      <c r="AN108" s="61">
        <v>0</v>
      </c>
      <c r="AO108" s="61">
        <v>0</v>
      </c>
      <c r="AP108" s="61">
        <v>4786.07</v>
      </c>
      <c r="AQ108" s="61">
        <v>0</v>
      </c>
      <c r="AR108" s="61">
        <v>3146.39</v>
      </c>
      <c r="AS108" s="61">
        <v>-803.33</v>
      </c>
      <c r="AT108" s="61">
        <v>615.16</v>
      </c>
      <c r="AU108" s="61">
        <v>0</v>
      </c>
    </row>
    <row r="109" spans="1:47" x14ac:dyDescent="0.2">
      <c r="A109" s="58" t="s">
        <v>90</v>
      </c>
      <c r="B109" s="58" t="s">
        <v>321</v>
      </c>
      <c r="C109" s="58" t="s">
        <v>178</v>
      </c>
      <c r="D109" s="59">
        <v>237</v>
      </c>
      <c r="E109" s="59">
        <v>0</v>
      </c>
      <c r="F109" s="59">
        <v>26</v>
      </c>
      <c r="G109" s="59">
        <v>0</v>
      </c>
      <c r="H109" s="59">
        <v>263</v>
      </c>
      <c r="I109" s="59">
        <v>0</v>
      </c>
      <c r="J109" s="59">
        <v>0</v>
      </c>
      <c r="K109" s="59">
        <v>0</v>
      </c>
      <c r="L109" s="59">
        <v>0</v>
      </c>
      <c r="M109" s="59">
        <v>0</v>
      </c>
      <c r="N109" s="59">
        <v>0</v>
      </c>
      <c r="O109" s="59">
        <v>0</v>
      </c>
      <c r="P109" s="59">
        <v>263</v>
      </c>
      <c r="Q109" s="59">
        <v>0</v>
      </c>
      <c r="R109" s="60">
        <v>27.154615</v>
      </c>
      <c r="S109" s="61">
        <v>30.32</v>
      </c>
      <c r="T109" s="61">
        <v>29.06</v>
      </c>
      <c r="U109" s="61">
        <v>788.32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6937.27</v>
      </c>
      <c r="AE109" s="62">
        <v>0</v>
      </c>
      <c r="AF109" s="61">
        <v>706.02</v>
      </c>
      <c r="AG109" s="61">
        <v>0</v>
      </c>
      <c r="AH109" s="61">
        <v>7643.29</v>
      </c>
      <c r="AI109" s="61">
        <v>0</v>
      </c>
      <c r="AJ109" s="61">
        <v>0</v>
      </c>
      <c r="AK109" s="61">
        <v>0</v>
      </c>
      <c r="AL109" s="61">
        <v>0</v>
      </c>
      <c r="AM109" s="61">
        <v>0</v>
      </c>
      <c r="AN109" s="61">
        <v>0</v>
      </c>
      <c r="AO109" s="61">
        <v>0</v>
      </c>
      <c r="AP109" s="61">
        <v>7643.29</v>
      </c>
      <c r="AQ109" s="61">
        <v>0</v>
      </c>
      <c r="AR109" s="61">
        <v>0</v>
      </c>
      <c r="AS109" s="61">
        <v>-82.3</v>
      </c>
      <c r="AT109" s="61">
        <v>0</v>
      </c>
      <c r="AU109" s="61">
        <v>0</v>
      </c>
    </row>
    <row r="110" spans="1:47" x14ac:dyDescent="0.2">
      <c r="A110" s="58" t="s">
        <v>519</v>
      </c>
      <c r="B110" s="58" t="s">
        <v>520</v>
      </c>
      <c r="C110" s="58" t="s">
        <v>178</v>
      </c>
      <c r="D110" s="59">
        <v>10</v>
      </c>
      <c r="E110" s="59">
        <v>0</v>
      </c>
      <c r="F110" s="59">
        <v>330</v>
      </c>
      <c r="G110" s="59">
        <v>0</v>
      </c>
      <c r="H110" s="59">
        <v>340</v>
      </c>
      <c r="I110" s="59">
        <v>-132</v>
      </c>
      <c r="J110" s="59">
        <v>0</v>
      </c>
      <c r="K110" s="59">
        <v>0</v>
      </c>
      <c r="L110" s="59">
        <v>0</v>
      </c>
      <c r="M110" s="59">
        <v>0</v>
      </c>
      <c r="N110" s="59">
        <v>0</v>
      </c>
      <c r="O110" s="59">
        <v>0</v>
      </c>
      <c r="P110" s="59">
        <v>208</v>
      </c>
      <c r="Q110" s="59">
        <v>132</v>
      </c>
      <c r="R110" s="60">
        <v>45.670544999999997</v>
      </c>
      <c r="S110" s="61">
        <v>49.18</v>
      </c>
      <c r="T110" s="61">
        <v>45.7</v>
      </c>
      <c r="U110" s="61">
        <v>16229.4</v>
      </c>
      <c r="V110" s="61">
        <v>0</v>
      </c>
      <c r="W110" s="61">
        <v>-6491.76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466.51</v>
      </c>
      <c r="AE110" s="62">
        <v>0</v>
      </c>
      <c r="AF110" s="61">
        <v>15071.28</v>
      </c>
      <c r="AG110" s="61">
        <v>0</v>
      </c>
      <c r="AH110" s="61">
        <v>15537.79</v>
      </c>
      <c r="AI110" s="61">
        <v>-6032.32</v>
      </c>
      <c r="AJ110" s="61">
        <v>0</v>
      </c>
      <c r="AK110" s="61">
        <v>0</v>
      </c>
      <c r="AL110" s="61">
        <v>0</v>
      </c>
      <c r="AM110" s="61">
        <v>0</v>
      </c>
      <c r="AN110" s="61">
        <v>0</v>
      </c>
      <c r="AO110" s="61">
        <v>0</v>
      </c>
      <c r="AP110" s="61">
        <v>9505.4699999999993</v>
      </c>
      <c r="AQ110" s="61">
        <v>0</v>
      </c>
      <c r="AR110" s="61">
        <v>6032.32</v>
      </c>
      <c r="AS110" s="61">
        <v>-1158.1199999999999</v>
      </c>
      <c r="AT110" s="61">
        <v>459.44</v>
      </c>
      <c r="AU110" s="61">
        <v>0</v>
      </c>
    </row>
    <row r="111" spans="1:47" x14ac:dyDescent="0.2">
      <c r="A111" s="58" t="s">
        <v>92</v>
      </c>
      <c r="B111" s="58" t="s">
        <v>322</v>
      </c>
      <c r="C111" s="58" t="s">
        <v>178</v>
      </c>
      <c r="D111" s="59">
        <v>568</v>
      </c>
      <c r="E111" s="59">
        <v>0</v>
      </c>
      <c r="F111" s="59">
        <v>0</v>
      </c>
      <c r="G111" s="59">
        <v>0</v>
      </c>
      <c r="H111" s="59">
        <v>568</v>
      </c>
      <c r="I111" s="59">
        <v>0</v>
      </c>
      <c r="J111" s="59">
        <v>0</v>
      </c>
      <c r="K111" s="59">
        <v>0</v>
      </c>
      <c r="L111" s="59">
        <v>0</v>
      </c>
      <c r="M111" s="59">
        <v>0</v>
      </c>
      <c r="N111" s="59">
        <v>0</v>
      </c>
      <c r="O111" s="59">
        <v>0</v>
      </c>
      <c r="P111" s="59">
        <v>568</v>
      </c>
      <c r="Q111" s="59">
        <v>0</v>
      </c>
      <c r="R111" s="60">
        <v>0</v>
      </c>
      <c r="S111" s="61">
        <v>33.6</v>
      </c>
      <c r="T111" s="61">
        <v>31.82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18073.32</v>
      </c>
      <c r="AE111" s="62">
        <v>0</v>
      </c>
      <c r="AF111" s="61">
        <v>0</v>
      </c>
      <c r="AG111" s="61">
        <v>0</v>
      </c>
      <c r="AH111" s="61">
        <v>18073.32</v>
      </c>
      <c r="AI111" s="61">
        <v>0</v>
      </c>
      <c r="AJ111" s="61">
        <v>0</v>
      </c>
      <c r="AK111" s="61">
        <v>0</v>
      </c>
      <c r="AL111" s="61">
        <v>0</v>
      </c>
      <c r="AM111" s="61">
        <v>0</v>
      </c>
      <c r="AN111" s="61">
        <v>0</v>
      </c>
      <c r="AO111" s="61">
        <v>0</v>
      </c>
      <c r="AP111" s="61">
        <v>18073.32</v>
      </c>
      <c r="AQ111" s="61">
        <v>0</v>
      </c>
      <c r="AR111" s="61">
        <v>0</v>
      </c>
      <c r="AS111" s="61">
        <v>0</v>
      </c>
      <c r="AT111" s="61">
        <v>0</v>
      </c>
      <c r="AU111" s="61">
        <v>0</v>
      </c>
    </row>
    <row r="112" spans="1:47" x14ac:dyDescent="0.2">
      <c r="A112" s="58" t="s">
        <v>521</v>
      </c>
      <c r="B112" s="58" t="s">
        <v>522</v>
      </c>
      <c r="C112" s="58" t="s">
        <v>178</v>
      </c>
      <c r="D112" s="59">
        <v>25</v>
      </c>
      <c r="E112" s="59">
        <v>0</v>
      </c>
      <c r="F112" s="59">
        <v>143</v>
      </c>
      <c r="G112" s="59">
        <v>0</v>
      </c>
      <c r="H112" s="59">
        <v>168</v>
      </c>
      <c r="I112" s="59">
        <v>-105</v>
      </c>
      <c r="J112" s="59">
        <v>0</v>
      </c>
      <c r="K112" s="59">
        <v>0</v>
      </c>
      <c r="L112" s="59">
        <v>0</v>
      </c>
      <c r="M112" s="59">
        <v>0</v>
      </c>
      <c r="N112" s="59">
        <v>0</v>
      </c>
      <c r="O112" s="59">
        <v>0</v>
      </c>
      <c r="P112" s="59">
        <v>63</v>
      </c>
      <c r="Q112" s="59">
        <v>65</v>
      </c>
      <c r="R112" s="60">
        <v>48.395314999999997</v>
      </c>
      <c r="S112" s="61">
        <v>52.36</v>
      </c>
      <c r="T112" s="61">
        <v>48.44</v>
      </c>
      <c r="U112" s="61">
        <v>7487.48</v>
      </c>
      <c r="V112" s="61">
        <v>0</v>
      </c>
      <c r="W112" s="61">
        <v>-5497.8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1218.03</v>
      </c>
      <c r="AE112" s="62">
        <v>0</v>
      </c>
      <c r="AF112" s="61">
        <v>6920.53</v>
      </c>
      <c r="AG112" s="61">
        <v>0</v>
      </c>
      <c r="AH112" s="61">
        <v>8138.56</v>
      </c>
      <c r="AI112" s="61">
        <v>-5086.6000000000004</v>
      </c>
      <c r="AJ112" s="61">
        <v>0</v>
      </c>
      <c r="AK112" s="61">
        <v>0</v>
      </c>
      <c r="AL112" s="61">
        <v>0</v>
      </c>
      <c r="AM112" s="61">
        <v>0</v>
      </c>
      <c r="AN112" s="61">
        <v>0</v>
      </c>
      <c r="AO112" s="61">
        <v>0</v>
      </c>
      <c r="AP112" s="61">
        <v>3051.96</v>
      </c>
      <c r="AQ112" s="61">
        <v>0</v>
      </c>
      <c r="AR112" s="61">
        <v>3148.85</v>
      </c>
      <c r="AS112" s="61">
        <v>-566.95000000000005</v>
      </c>
      <c r="AT112" s="61">
        <v>411.2</v>
      </c>
      <c r="AU112" s="61">
        <v>0</v>
      </c>
    </row>
    <row r="113" spans="1:47" x14ac:dyDescent="0.2">
      <c r="A113" s="58" t="s">
        <v>94</v>
      </c>
      <c r="B113" s="58" t="s">
        <v>323</v>
      </c>
      <c r="C113" s="58" t="s">
        <v>178</v>
      </c>
      <c r="D113" s="59">
        <v>61</v>
      </c>
      <c r="E113" s="59">
        <v>0</v>
      </c>
      <c r="F113" s="59">
        <v>135</v>
      </c>
      <c r="G113" s="59">
        <v>0</v>
      </c>
      <c r="H113" s="59">
        <v>196</v>
      </c>
      <c r="I113" s="59">
        <v>-60</v>
      </c>
      <c r="J113" s="59">
        <v>0</v>
      </c>
      <c r="K113" s="59">
        <v>0</v>
      </c>
      <c r="L113" s="59">
        <v>0</v>
      </c>
      <c r="M113" s="59">
        <v>0</v>
      </c>
      <c r="N113" s="59">
        <v>0</v>
      </c>
      <c r="O113" s="59">
        <v>0</v>
      </c>
      <c r="P113" s="59">
        <v>136</v>
      </c>
      <c r="Q113" s="59">
        <v>0</v>
      </c>
      <c r="R113" s="60">
        <v>32.245925999999997</v>
      </c>
      <c r="S113" s="61">
        <v>35.229999999999997</v>
      </c>
      <c r="T113" s="61">
        <v>33.36</v>
      </c>
      <c r="U113" s="61">
        <v>4756.05</v>
      </c>
      <c r="V113" s="61">
        <v>0</v>
      </c>
      <c r="W113" s="61">
        <v>-2113.8000000000002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2185.11</v>
      </c>
      <c r="AE113" s="62">
        <v>0</v>
      </c>
      <c r="AF113" s="61">
        <v>4353.2</v>
      </c>
      <c r="AG113" s="61">
        <v>0</v>
      </c>
      <c r="AH113" s="61">
        <v>6538.31</v>
      </c>
      <c r="AI113" s="61">
        <v>-2001.52</v>
      </c>
      <c r="AJ113" s="61">
        <v>0</v>
      </c>
      <c r="AK113" s="61">
        <v>0</v>
      </c>
      <c r="AL113" s="61">
        <v>0</v>
      </c>
      <c r="AM113" s="61">
        <v>0</v>
      </c>
      <c r="AN113" s="61">
        <v>0</v>
      </c>
      <c r="AO113" s="61">
        <v>0</v>
      </c>
      <c r="AP113" s="61">
        <v>4536.79</v>
      </c>
      <c r="AQ113" s="61">
        <v>0</v>
      </c>
      <c r="AR113" s="61">
        <v>0</v>
      </c>
      <c r="AS113" s="61">
        <v>-402.85</v>
      </c>
      <c r="AT113" s="61">
        <v>112.28</v>
      </c>
      <c r="AU113" s="61">
        <v>0</v>
      </c>
    </row>
    <row r="114" spans="1:47" x14ac:dyDescent="0.2">
      <c r="A114" s="58" t="s">
        <v>556</v>
      </c>
      <c r="B114" s="58" t="s">
        <v>557</v>
      </c>
      <c r="C114" s="58" t="s">
        <v>178</v>
      </c>
      <c r="D114" s="59">
        <v>30</v>
      </c>
      <c r="E114" s="59">
        <v>0</v>
      </c>
      <c r="F114" s="59">
        <v>306</v>
      </c>
      <c r="G114" s="59">
        <v>0</v>
      </c>
      <c r="H114" s="59">
        <v>336</v>
      </c>
      <c r="I114" s="59">
        <v>-87</v>
      </c>
      <c r="J114" s="59">
        <v>0</v>
      </c>
      <c r="K114" s="59">
        <v>0</v>
      </c>
      <c r="L114" s="59">
        <v>0</v>
      </c>
      <c r="M114" s="59">
        <v>0</v>
      </c>
      <c r="N114" s="59">
        <v>0</v>
      </c>
      <c r="O114" s="59">
        <v>0</v>
      </c>
      <c r="P114" s="59">
        <v>249</v>
      </c>
      <c r="Q114" s="59">
        <v>62</v>
      </c>
      <c r="R114" s="60">
        <v>45.881863000000003</v>
      </c>
      <c r="S114" s="61">
        <v>49.61</v>
      </c>
      <c r="T114" s="61">
        <v>45.99</v>
      </c>
      <c r="U114" s="61">
        <v>15180.66</v>
      </c>
      <c r="V114" s="61">
        <v>0</v>
      </c>
      <c r="W114" s="61">
        <v>-4316.07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1414.15</v>
      </c>
      <c r="AE114" s="62">
        <v>0</v>
      </c>
      <c r="AF114" s="61">
        <v>14039.85</v>
      </c>
      <c r="AG114" s="61">
        <v>0</v>
      </c>
      <c r="AH114" s="61">
        <v>15454</v>
      </c>
      <c r="AI114" s="61">
        <v>-4001.48</v>
      </c>
      <c r="AJ114" s="61">
        <v>0</v>
      </c>
      <c r="AK114" s="61">
        <v>0</v>
      </c>
      <c r="AL114" s="61">
        <v>0</v>
      </c>
      <c r="AM114" s="61">
        <v>0</v>
      </c>
      <c r="AN114" s="61">
        <v>0</v>
      </c>
      <c r="AO114" s="61">
        <v>0</v>
      </c>
      <c r="AP114" s="61">
        <v>11452.52</v>
      </c>
      <c r="AQ114" s="61">
        <v>0</v>
      </c>
      <c r="AR114" s="61">
        <v>2851.63</v>
      </c>
      <c r="AS114" s="61">
        <v>-1140.81</v>
      </c>
      <c r="AT114" s="61">
        <v>314.58999999999997</v>
      </c>
      <c r="AU114" s="61">
        <v>0</v>
      </c>
    </row>
    <row r="115" spans="1:47" x14ac:dyDescent="0.2">
      <c r="A115" s="58" t="s">
        <v>324</v>
      </c>
      <c r="B115" s="58" t="s">
        <v>325</v>
      </c>
      <c r="C115" s="58" t="s">
        <v>178</v>
      </c>
      <c r="D115" s="59">
        <v>28</v>
      </c>
      <c r="E115" s="59">
        <v>0</v>
      </c>
      <c r="F115" s="59">
        <v>0</v>
      </c>
      <c r="G115" s="59">
        <v>0</v>
      </c>
      <c r="H115" s="59">
        <v>28</v>
      </c>
      <c r="I115" s="59">
        <v>0</v>
      </c>
      <c r="J115" s="59">
        <v>0</v>
      </c>
      <c r="K115" s="59">
        <v>0</v>
      </c>
      <c r="L115" s="59">
        <v>0</v>
      </c>
      <c r="M115" s="59">
        <v>0</v>
      </c>
      <c r="N115" s="59">
        <v>0</v>
      </c>
      <c r="O115" s="59">
        <v>0</v>
      </c>
      <c r="P115" s="59">
        <v>28</v>
      </c>
      <c r="Q115" s="59">
        <v>0</v>
      </c>
      <c r="R115" s="60">
        <v>0</v>
      </c>
      <c r="S115" s="61">
        <v>35.380000000000003</v>
      </c>
      <c r="T115" s="61">
        <v>32.979999999999997</v>
      </c>
      <c r="U115" s="61">
        <v>0</v>
      </c>
      <c r="V115" s="61">
        <v>0</v>
      </c>
      <c r="W115" s="61">
        <v>0</v>
      </c>
      <c r="X115" s="61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61">
        <v>923.31</v>
      </c>
      <c r="AE115" s="62">
        <v>0</v>
      </c>
      <c r="AF115" s="61">
        <v>0</v>
      </c>
      <c r="AG115" s="61">
        <v>0</v>
      </c>
      <c r="AH115" s="61">
        <v>923.31</v>
      </c>
      <c r="AI115" s="61">
        <v>0</v>
      </c>
      <c r="AJ115" s="61">
        <v>0</v>
      </c>
      <c r="AK115" s="61">
        <v>0</v>
      </c>
      <c r="AL115" s="61">
        <v>0</v>
      </c>
      <c r="AM115" s="61">
        <v>0</v>
      </c>
      <c r="AN115" s="61">
        <v>0</v>
      </c>
      <c r="AO115" s="61">
        <v>0</v>
      </c>
      <c r="AP115" s="61">
        <v>923.31</v>
      </c>
      <c r="AQ115" s="61">
        <v>0</v>
      </c>
      <c r="AR115" s="61">
        <v>0</v>
      </c>
      <c r="AS115" s="61">
        <v>0</v>
      </c>
      <c r="AT115" s="61">
        <v>0</v>
      </c>
      <c r="AU115" s="61">
        <v>0</v>
      </c>
    </row>
    <row r="116" spans="1:47" x14ac:dyDescent="0.2">
      <c r="A116" s="58" t="s">
        <v>523</v>
      </c>
      <c r="B116" s="58" t="s">
        <v>524</v>
      </c>
      <c r="C116" s="58" t="s">
        <v>178</v>
      </c>
      <c r="D116" s="59">
        <v>89</v>
      </c>
      <c r="E116" s="59">
        <v>0</v>
      </c>
      <c r="F116" s="59">
        <v>105</v>
      </c>
      <c r="G116" s="59">
        <v>0</v>
      </c>
      <c r="H116" s="59">
        <v>194</v>
      </c>
      <c r="I116" s="59">
        <v>-90</v>
      </c>
      <c r="J116" s="59">
        <v>0</v>
      </c>
      <c r="K116" s="59">
        <v>0</v>
      </c>
      <c r="L116" s="59">
        <v>0</v>
      </c>
      <c r="M116" s="59">
        <v>0</v>
      </c>
      <c r="N116" s="59">
        <v>0</v>
      </c>
      <c r="O116" s="59">
        <v>0</v>
      </c>
      <c r="P116" s="59">
        <v>104</v>
      </c>
      <c r="Q116" s="59">
        <v>22</v>
      </c>
      <c r="R116" s="60">
        <v>51.055905000000003</v>
      </c>
      <c r="S116" s="61">
        <v>55.05</v>
      </c>
      <c r="T116" s="61">
        <v>51.53</v>
      </c>
      <c r="U116" s="61">
        <v>5780.25</v>
      </c>
      <c r="V116" s="61">
        <v>0</v>
      </c>
      <c r="W116" s="61">
        <v>-4954.5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4635.6499999999996</v>
      </c>
      <c r="AE116" s="62">
        <v>0</v>
      </c>
      <c r="AF116" s="61">
        <v>5360.87</v>
      </c>
      <c r="AG116" s="61">
        <v>0</v>
      </c>
      <c r="AH116" s="61">
        <v>9996.52</v>
      </c>
      <c r="AI116" s="61">
        <v>-4637.5600000000004</v>
      </c>
      <c r="AJ116" s="61">
        <v>0</v>
      </c>
      <c r="AK116" s="61">
        <v>0</v>
      </c>
      <c r="AL116" s="61">
        <v>0</v>
      </c>
      <c r="AM116" s="61">
        <v>0</v>
      </c>
      <c r="AN116" s="61">
        <v>0</v>
      </c>
      <c r="AO116" s="61">
        <v>0</v>
      </c>
      <c r="AP116" s="61">
        <v>5358.96</v>
      </c>
      <c r="AQ116" s="61">
        <v>0</v>
      </c>
      <c r="AR116" s="61">
        <v>1133.6300000000001</v>
      </c>
      <c r="AS116" s="61">
        <v>-419.38</v>
      </c>
      <c r="AT116" s="61">
        <v>316.94</v>
      </c>
      <c r="AU116" s="61">
        <v>0</v>
      </c>
    </row>
    <row r="117" spans="1:47" x14ac:dyDescent="0.2">
      <c r="A117" s="58" t="s">
        <v>326</v>
      </c>
      <c r="B117" s="58" t="s">
        <v>327</v>
      </c>
      <c r="C117" s="58" t="s">
        <v>178</v>
      </c>
      <c r="D117" s="59">
        <v>145</v>
      </c>
      <c r="E117" s="59">
        <v>0</v>
      </c>
      <c r="F117" s="59">
        <v>0</v>
      </c>
      <c r="G117" s="59">
        <v>0</v>
      </c>
      <c r="H117" s="59">
        <v>145</v>
      </c>
      <c r="I117" s="59">
        <v>0</v>
      </c>
      <c r="J117" s="59">
        <v>0</v>
      </c>
      <c r="K117" s="59">
        <v>0</v>
      </c>
      <c r="L117" s="59">
        <v>0</v>
      </c>
      <c r="M117" s="59">
        <v>0</v>
      </c>
      <c r="N117" s="59">
        <v>0</v>
      </c>
      <c r="O117" s="59">
        <v>0</v>
      </c>
      <c r="P117" s="59">
        <v>145</v>
      </c>
      <c r="Q117" s="59">
        <v>0</v>
      </c>
      <c r="R117" s="60">
        <v>0</v>
      </c>
      <c r="S117" s="61">
        <v>30.22</v>
      </c>
      <c r="T117" s="61">
        <v>28.54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4139.0200000000004</v>
      </c>
      <c r="AE117" s="62">
        <v>0</v>
      </c>
      <c r="AF117" s="61">
        <v>0</v>
      </c>
      <c r="AG117" s="61">
        <v>0</v>
      </c>
      <c r="AH117" s="61">
        <v>4139.0200000000004</v>
      </c>
      <c r="AI117" s="61">
        <v>0</v>
      </c>
      <c r="AJ117" s="61">
        <v>0</v>
      </c>
      <c r="AK117" s="61">
        <v>0</v>
      </c>
      <c r="AL117" s="61">
        <v>0</v>
      </c>
      <c r="AM117" s="61">
        <v>0</v>
      </c>
      <c r="AN117" s="61">
        <v>0</v>
      </c>
      <c r="AO117" s="61">
        <v>0</v>
      </c>
      <c r="AP117" s="61">
        <v>4139.0200000000004</v>
      </c>
      <c r="AQ117" s="61">
        <v>0</v>
      </c>
      <c r="AR117" s="61">
        <v>0</v>
      </c>
      <c r="AS117" s="61">
        <v>0</v>
      </c>
      <c r="AT117" s="61">
        <v>0</v>
      </c>
      <c r="AU117" s="61">
        <v>0</v>
      </c>
    </row>
    <row r="118" spans="1:47" x14ac:dyDescent="0.2">
      <c r="A118" s="58" t="s">
        <v>328</v>
      </c>
      <c r="B118" s="58" t="s">
        <v>329</v>
      </c>
      <c r="C118" s="58" t="s">
        <v>178</v>
      </c>
      <c r="D118" s="59">
        <v>0</v>
      </c>
      <c r="E118" s="59">
        <v>0</v>
      </c>
      <c r="F118" s="59">
        <v>0</v>
      </c>
      <c r="G118" s="59">
        <v>0</v>
      </c>
      <c r="H118" s="59">
        <v>0</v>
      </c>
      <c r="I118" s="59">
        <v>0</v>
      </c>
      <c r="J118" s="59">
        <v>0</v>
      </c>
      <c r="K118" s="59">
        <v>0</v>
      </c>
      <c r="L118" s="59">
        <v>0</v>
      </c>
      <c r="M118" s="59">
        <v>0</v>
      </c>
      <c r="N118" s="59">
        <v>0</v>
      </c>
      <c r="O118" s="59">
        <v>0</v>
      </c>
      <c r="P118" s="59">
        <v>0</v>
      </c>
      <c r="Q118" s="59">
        <v>0</v>
      </c>
      <c r="R118" s="60">
        <v>0</v>
      </c>
      <c r="S118" s="61">
        <v>33.049999999999997</v>
      </c>
      <c r="T118" s="61">
        <v>1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61">
        <v>0</v>
      </c>
      <c r="AE118" s="62">
        <v>0</v>
      </c>
      <c r="AF118" s="61">
        <v>0</v>
      </c>
      <c r="AG118" s="61">
        <v>0</v>
      </c>
      <c r="AH118" s="61">
        <v>0</v>
      </c>
      <c r="AI118" s="61">
        <v>0</v>
      </c>
      <c r="AJ118" s="61">
        <v>0</v>
      </c>
      <c r="AK118" s="61">
        <v>0</v>
      </c>
      <c r="AL118" s="61">
        <v>0</v>
      </c>
      <c r="AM118" s="61">
        <v>0</v>
      </c>
      <c r="AN118" s="61">
        <v>0</v>
      </c>
      <c r="AO118" s="61">
        <v>0</v>
      </c>
      <c r="AP118" s="61">
        <v>0</v>
      </c>
      <c r="AQ118" s="61">
        <v>0</v>
      </c>
      <c r="AR118" s="61">
        <v>0</v>
      </c>
      <c r="AS118" s="61">
        <v>0</v>
      </c>
      <c r="AT118" s="61">
        <v>0</v>
      </c>
      <c r="AU118" s="61">
        <v>0</v>
      </c>
    </row>
    <row r="119" spans="1:47" x14ac:dyDescent="0.2">
      <c r="A119" s="58" t="s">
        <v>96</v>
      </c>
      <c r="B119" s="58" t="s">
        <v>330</v>
      </c>
      <c r="C119" s="58" t="s">
        <v>178</v>
      </c>
      <c r="D119" s="59">
        <v>96</v>
      </c>
      <c r="E119" s="59">
        <v>0</v>
      </c>
      <c r="F119" s="59">
        <v>0</v>
      </c>
      <c r="G119" s="59">
        <v>0</v>
      </c>
      <c r="H119" s="59">
        <v>96</v>
      </c>
      <c r="I119" s="59">
        <v>0</v>
      </c>
      <c r="J119" s="59">
        <v>0</v>
      </c>
      <c r="K119" s="59">
        <v>0</v>
      </c>
      <c r="L119" s="59">
        <v>0</v>
      </c>
      <c r="M119" s="59">
        <v>0</v>
      </c>
      <c r="N119" s="59">
        <v>0</v>
      </c>
      <c r="O119" s="59">
        <v>0</v>
      </c>
      <c r="P119" s="59">
        <v>96</v>
      </c>
      <c r="Q119" s="59">
        <v>0</v>
      </c>
      <c r="R119" s="60">
        <v>0</v>
      </c>
      <c r="S119" s="61">
        <v>33.72</v>
      </c>
      <c r="T119" s="61">
        <v>32.03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3074.45</v>
      </c>
      <c r="AE119" s="62">
        <v>0</v>
      </c>
      <c r="AF119" s="61">
        <v>0</v>
      </c>
      <c r="AG119" s="61">
        <v>0</v>
      </c>
      <c r="AH119" s="61">
        <v>3074.45</v>
      </c>
      <c r="AI119" s="61">
        <v>0</v>
      </c>
      <c r="AJ119" s="61">
        <v>0</v>
      </c>
      <c r="AK119" s="61">
        <v>0</v>
      </c>
      <c r="AL119" s="61">
        <v>0</v>
      </c>
      <c r="AM119" s="61">
        <v>0</v>
      </c>
      <c r="AN119" s="61">
        <v>0</v>
      </c>
      <c r="AO119" s="61">
        <v>0</v>
      </c>
      <c r="AP119" s="61">
        <v>3074.45</v>
      </c>
      <c r="AQ119" s="61">
        <v>0</v>
      </c>
      <c r="AR119" s="61">
        <v>0</v>
      </c>
      <c r="AS119" s="61">
        <v>0</v>
      </c>
      <c r="AT119" s="61">
        <v>0</v>
      </c>
      <c r="AU119" s="61">
        <v>0</v>
      </c>
    </row>
    <row r="120" spans="1:47" x14ac:dyDescent="0.2">
      <c r="A120" s="58" t="s">
        <v>525</v>
      </c>
      <c r="B120" s="58" t="s">
        <v>526</v>
      </c>
      <c r="C120" s="58" t="s">
        <v>178</v>
      </c>
      <c r="D120" s="59">
        <v>270</v>
      </c>
      <c r="E120" s="59">
        <v>59</v>
      </c>
      <c r="F120" s="59">
        <v>5</v>
      </c>
      <c r="G120" s="59">
        <v>0</v>
      </c>
      <c r="H120" s="59">
        <v>275</v>
      </c>
      <c r="I120" s="59">
        <v>-46</v>
      </c>
      <c r="J120" s="59">
        <v>0</v>
      </c>
      <c r="K120" s="59">
        <v>0</v>
      </c>
      <c r="L120" s="59">
        <v>0</v>
      </c>
      <c r="M120" s="59">
        <v>0</v>
      </c>
      <c r="N120" s="59">
        <v>0</v>
      </c>
      <c r="O120" s="59">
        <v>0</v>
      </c>
      <c r="P120" s="59">
        <v>229</v>
      </c>
      <c r="Q120" s="59">
        <v>46</v>
      </c>
      <c r="R120" s="60">
        <v>45.606000000000002</v>
      </c>
      <c r="S120" s="61">
        <v>49.35</v>
      </c>
      <c r="T120" s="61">
        <v>52.74</v>
      </c>
      <c r="U120" s="61">
        <v>246.75</v>
      </c>
      <c r="V120" s="61">
        <v>0</v>
      </c>
      <c r="W120" s="61">
        <v>-2270.1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14275.83</v>
      </c>
      <c r="AE120" s="62">
        <v>0</v>
      </c>
      <c r="AF120" s="61">
        <v>228.03</v>
      </c>
      <c r="AG120" s="61">
        <v>0</v>
      </c>
      <c r="AH120" s="61">
        <v>14503.86</v>
      </c>
      <c r="AI120" s="61">
        <v>-2426.1</v>
      </c>
      <c r="AJ120" s="61">
        <v>0</v>
      </c>
      <c r="AK120" s="61">
        <v>0</v>
      </c>
      <c r="AL120" s="61">
        <v>0</v>
      </c>
      <c r="AM120" s="61">
        <v>0</v>
      </c>
      <c r="AN120" s="61">
        <v>0</v>
      </c>
      <c r="AO120" s="61">
        <v>0</v>
      </c>
      <c r="AP120" s="61">
        <v>12077.76</v>
      </c>
      <c r="AQ120" s="61">
        <v>0</v>
      </c>
      <c r="AR120" s="61">
        <v>2426.1</v>
      </c>
      <c r="AS120" s="61">
        <v>-18.72</v>
      </c>
      <c r="AT120" s="61">
        <v>-156</v>
      </c>
      <c r="AU120" s="61">
        <v>0</v>
      </c>
    </row>
    <row r="121" spans="1:47" x14ac:dyDescent="0.2">
      <c r="A121" s="58" t="s">
        <v>98</v>
      </c>
      <c r="B121" s="58" t="s">
        <v>331</v>
      </c>
      <c r="C121" s="58" t="s">
        <v>178</v>
      </c>
      <c r="D121" s="59">
        <v>787</v>
      </c>
      <c r="E121" s="59">
        <v>0</v>
      </c>
      <c r="F121" s="59">
        <v>0</v>
      </c>
      <c r="G121" s="59">
        <v>0</v>
      </c>
      <c r="H121" s="59">
        <v>787</v>
      </c>
      <c r="I121" s="59">
        <v>0</v>
      </c>
      <c r="J121" s="59">
        <v>0</v>
      </c>
      <c r="K121" s="59">
        <v>0</v>
      </c>
      <c r="L121" s="59">
        <v>0</v>
      </c>
      <c r="M121" s="59">
        <v>0</v>
      </c>
      <c r="N121" s="59">
        <v>0</v>
      </c>
      <c r="O121" s="59">
        <v>0</v>
      </c>
      <c r="P121" s="59">
        <v>787</v>
      </c>
      <c r="Q121" s="59">
        <v>0</v>
      </c>
      <c r="R121" s="60">
        <v>0</v>
      </c>
      <c r="S121" s="61">
        <v>33.520000000000003</v>
      </c>
      <c r="T121" s="61">
        <v>31.82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25040.639999999999</v>
      </c>
      <c r="AE121" s="62">
        <v>0</v>
      </c>
      <c r="AF121" s="61">
        <v>0</v>
      </c>
      <c r="AG121" s="61">
        <v>0</v>
      </c>
      <c r="AH121" s="61">
        <v>25040.639999999999</v>
      </c>
      <c r="AI121" s="61">
        <v>0</v>
      </c>
      <c r="AJ121" s="61">
        <v>0</v>
      </c>
      <c r="AK121" s="61">
        <v>0</v>
      </c>
      <c r="AL121" s="61">
        <v>0</v>
      </c>
      <c r="AM121" s="61">
        <v>0</v>
      </c>
      <c r="AN121" s="61">
        <v>0</v>
      </c>
      <c r="AO121" s="61">
        <v>0</v>
      </c>
      <c r="AP121" s="61">
        <v>25040.639999999999</v>
      </c>
      <c r="AQ121" s="61">
        <v>0</v>
      </c>
      <c r="AR121" s="61">
        <v>0</v>
      </c>
      <c r="AS121" s="61">
        <v>0</v>
      </c>
      <c r="AT121" s="61">
        <v>0</v>
      </c>
      <c r="AU121" s="61">
        <v>0</v>
      </c>
    </row>
    <row r="122" spans="1:47" x14ac:dyDescent="0.2">
      <c r="A122" s="58" t="s">
        <v>558</v>
      </c>
      <c r="B122" s="58" t="s">
        <v>559</v>
      </c>
      <c r="C122" s="58" t="s">
        <v>178</v>
      </c>
      <c r="D122" s="59">
        <v>13</v>
      </c>
      <c r="E122" s="59">
        <v>0</v>
      </c>
      <c r="F122" s="59">
        <v>4</v>
      </c>
      <c r="G122" s="59">
        <v>0</v>
      </c>
      <c r="H122" s="59">
        <v>17</v>
      </c>
      <c r="I122" s="59">
        <v>-10</v>
      </c>
      <c r="J122" s="59">
        <v>0</v>
      </c>
      <c r="K122" s="59">
        <v>0</v>
      </c>
      <c r="L122" s="59">
        <v>0</v>
      </c>
      <c r="M122" s="59">
        <v>0</v>
      </c>
      <c r="N122" s="59">
        <v>0</v>
      </c>
      <c r="O122" s="59">
        <v>0</v>
      </c>
      <c r="P122" s="59">
        <v>7</v>
      </c>
      <c r="Q122" s="59">
        <v>3</v>
      </c>
      <c r="R122" s="60">
        <v>49.6325</v>
      </c>
      <c r="S122" s="61">
        <v>53.58</v>
      </c>
      <c r="T122" s="61">
        <v>50.63</v>
      </c>
      <c r="U122" s="61">
        <v>214.32</v>
      </c>
      <c r="V122" s="61">
        <v>0</v>
      </c>
      <c r="W122" s="61">
        <v>-535.79999999999995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662.21</v>
      </c>
      <c r="AE122" s="62">
        <v>0</v>
      </c>
      <c r="AF122" s="61">
        <v>198.53</v>
      </c>
      <c r="AG122" s="61">
        <v>0</v>
      </c>
      <c r="AH122" s="61">
        <v>860.74</v>
      </c>
      <c r="AI122" s="61">
        <v>-506.32</v>
      </c>
      <c r="AJ122" s="61">
        <v>0</v>
      </c>
      <c r="AK122" s="61">
        <v>0</v>
      </c>
      <c r="AL122" s="61">
        <v>0</v>
      </c>
      <c r="AM122" s="61">
        <v>0</v>
      </c>
      <c r="AN122" s="61">
        <v>0</v>
      </c>
      <c r="AO122" s="61">
        <v>0</v>
      </c>
      <c r="AP122" s="61">
        <v>354.42</v>
      </c>
      <c r="AQ122" s="61">
        <v>0</v>
      </c>
      <c r="AR122" s="61">
        <v>151.9</v>
      </c>
      <c r="AS122" s="61">
        <v>-15.79</v>
      </c>
      <c r="AT122" s="61">
        <v>29.48</v>
      </c>
      <c r="AU122" s="61">
        <v>0</v>
      </c>
    </row>
    <row r="123" spans="1:47" x14ac:dyDescent="0.2">
      <c r="A123" s="58" t="s">
        <v>100</v>
      </c>
      <c r="B123" s="58" t="s">
        <v>332</v>
      </c>
      <c r="C123" s="58" t="s">
        <v>178</v>
      </c>
      <c r="D123" s="59">
        <v>6384</v>
      </c>
      <c r="E123" s="59">
        <v>0</v>
      </c>
      <c r="F123" s="59">
        <v>0</v>
      </c>
      <c r="G123" s="59">
        <v>0</v>
      </c>
      <c r="H123" s="59">
        <v>6384</v>
      </c>
      <c r="I123" s="59">
        <v>0</v>
      </c>
      <c r="J123" s="59">
        <v>0</v>
      </c>
      <c r="K123" s="59">
        <v>0</v>
      </c>
      <c r="L123" s="59">
        <v>0</v>
      </c>
      <c r="M123" s="59">
        <v>0</v>
      </c>
      <c r="N123" s="59">
        <v>0</v>
      </c>
      <c r="O123" s="59">
        <v>0</v>
      </c>
      <c r="P123" s="59">
        <v>6384</v>
      </c>
      <c r="Q123" s="59">
        <v>0</v>
      </c>
      <c r="R123" s="60">
        <v>0</v>
      </c>
      <c r="S123" s="61">
        <v>32.729999999999997</v>
      </c>
      <c r="T123" s="61">
        <v>33.19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211898.44</v>
      </c>
      <c r="AE123" s="62">
        <v>0</v>
      </c>
      <c r="AF123" s="61">
        <v>0</v>
      </c>
      <c r="AG123" s="61">
        <v>0</v>
      </c>
      <c r="AH123" s="61">
        <v>211898.44</v>
      </c>
      <c r="AI123" s="61">
        <v>0</v>
      </c>
      <c r="AJ123" s="61">
        <v>0</v>
      </c>
      <c r="AK123" s="61">
        <v>0</v>
      </c>
      <c r="AL123" s="61">
        <v>0</v>
      </c>
      <c r="AM123" s="61">
        <v>0</v>
      </c>
      <c r="AN123" s="61">
        <v>0</v>
      </c>
      <c r="AO123" s="61">
        <v>0</v>
      </c>
      <c r="AP123" s="61">
        <v>211898.44</v>
      </c>
      <c r="AQ123" s="61">
        <v>0</v>
      </c>
      <c r="AR123" s="61">
        <v>0</v>
      </c>
      <c r="AS123" s="61">
        <v>0</v>
      </c>
      <c r="AT123" s="61">
        <v>0</v>
      </c>
      <c r="AU123" s="61">
        <v>0</v>
      </c>
    </row>
    <row r="124" spans="1:47" x14ac:dyDescent="0.2">
      <c r="A124" s="58" t="s">
        <v>102</v>
      </c>
      <c r="B124" s="58" t="s">
        <v>333</v>
      </c>
      <c r="C124" s="58" t="s">
        <v>178</v>
      </c>
      <c r="D124" s="59">
        <v>262</v>
      </c>
      <c r="E124" s="59">
        <v>0</v>
      </c>
      <c r="F124" s="59">
        <v>0</v>
      </c>
      <c r="G124" s="59">
        <v>0</v>
      </c>
      <c r="H124" s="59">
        <v>262</v>
      </c>
      <c r="I124" s="59">
        <v>0</v>
      </c>
      <c r="J124" s="59">
        <v>0</v>
      </c>
      <c r="K124" s="59">
        <v>0</v>
      </c>
      <c r="L124" s="59">
        <v>0</v>
      </c>
      <c r="M124" s="59">
        <v>0</v>
      </c>
      <c r="N124" s="59">
        <v>0</v>
      </c>
      <c r="O124" s="59">
        <v>0</v>
      </c>
      <c r="P124" s="59">
        <v>262</v>
      </c>
      <c r="Q124" s="59">
        <v>0</v>
      </c>
      <c r="R124" s="60">
        <v>0</v>
      </c>
      <c r="S124" s="61">
        <v>32.909999999999997</v>
      </c>
      <c r="T124" s="61">
        <v>30.53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7997.84</v>
      </c>
      <c r="AE124" s="62">
        <v>0</v>
      </c>
      <c r="AF124" s="61">
        <v>0</v>
      </c>
      <c r="AG124" s="61">
        <v>0</v>
      </c>
      <c r="AH124" s="61">
        <v>7997.84</v>
      </c>
      <c r="AI124" s="61">
        <v>0</v>
      </c>
      <c r="AJ124" s="61">
        <v>0</v>
      </c>
      <c r="AK124" s="61">
        <v>0</v>
      </c>
      <c r="AL124" s="61">
        <v>0</v>
      </c>
      <c r="AM124" s="61">
        <v>0</v>
      </c>
      <c r="AN124" s="61">
        <v>0</v>
      </c>
      <c r="AO124" s="61">
        <v>0</v>
      </c>
      <c r="AP124" s="61">
        <v>7997.84</v>
      </c>
      <c r="AQ124" s="61">
        <v>0</v>
      </c>
      <c r="AR124" s="61">
        <v>0</v>
      </c>
      <c r="AS124" s="61">
        <v>0</v>
      </c>
      <c r="AT124" s="61">
        <v>0</v>
      </c>
      <c r="AU124" s="61">
        <v>0</v>
      </c>
    </row>
    <row r="125" spans="1:47" x14ac:dyDescent="0.2">
      <c r="A125" s="58" t="s">
        <v>464</v>
      </c>
      <c r="B125" s="58" t="s">
        <v>465</v>
      </c>
      <c r="C125" s="58" t="s">
        <v>178</v>
      </c>
      <c r="D125" s="59">
        <v>56</v>
      </c>
      <c r="E125" s="59">
        <v>0</v>
      </c>
      <c r="F125" s="59">
        <v>0</v>
      </c>
      <c r="G125" s="59">
        <v>0</v>
      </c>
      <c r="H125" s="59">
        <v>56</v>
      </c>
      <c r="I125" s="59">
        <v>0</v>
      </c>
      <c r="J125" s="59">
        <v>0</v>
      </c>
      <c r="K125" s="59">
        <v>0</v>
      </c>
      <c r="L125" s="59">
        <v>0</v>
      </c>
      <c r="M125" s="59">
        <v>0</v>
      </c>
      <c r="N125" s="59">
        <v>0</v>
      </c>
      <c r="O125" s="59">
        <v>0</v>
      </c>
      <c r="P125" s="59">
        <v>56</v>
      </c>
      <c r="Q125" s="59">
        <v>0</v>
      </c>
      <c r="R125" s="60">
        <v>0</v>
      </c>
      <c r="S125" s="61">
        <v>36.119999999999997</v>
      </c>
      <c r="T125" s="61">
        <v>36.22</v>
      </c>
      <c r="U125" s="61">
        <v>0</v>
      </c>
      <c r="V125" s="61">
        <v>0</v>
      </c>
      <c r="W125" s="61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2028.04</v>
      </c>
      <c r="AE125" s="62">
        <v>0</v>
      </c>
      <c r="AF125" s="61">
        <v>0</v>
      </c>
      <c r="AG125" s="61">
        <v>0</v>
      </c>
      <c r="AH125" s="61">
        <v>2028.04</v>
      </c>
      <c r="AI125" s="61">
        <v>0</v>
      </c>
      <c r="AJ125" s="61">
        <v>0</v>
      </c>
      <c r="AK125" s="61">
        <v>0</v>
      </c>
      <c r="AL125" s="61">
        <v>0</v>
      </c>
      <c r="AM125" s="61">
        <v>0</v>
      </c>
      <c r="AN125" s="61">
        <v>0</v>
      </c>
      <c r="AO125" s="61">
        <v>0</v>
      </c>
      <c r="AP125" s="61">
        <v>2028.04</v>
      </c>
      <c r="AQ125" s="61">
        <v>0</v>
      </c>
      <c r="AR125" s="61">
        <v>0</v>
      </c>
      <c r="AS125" s="61">
        <v>0</v>
      </c>
      <c r="AT125" s="61">
        <v>0</v>
      </c>
      <c r="AU125" s="61">
        <v>0</v>
      </c>
    </row>
    <row r="126" spans="1:47" x14ac:dyDescent="0.2">
      <c r="A126" s="58" t="s">
        <v>334</v>
      </c>
      <c r="B126" s="58" t="s">
        <v>335</v>
      </c>
      <c r="C126" s="58" t="s">
        <v>178</v>
      </c>
      <c r="D126" s="59">
        <v>0</v>
      </c>
      <c r="E126" s="59">
        <v>0</v>
      </c>
      <c r="F126" s="59">
        <v>0</v>
      </c>
      <c r="G126" s="59">
        <v>0</v>
      </c>
      <c r="H126" s="59">
        <v>0</v>
      </c>
      <c r="I126" s="59">
        <v>0</v>
      </c>
      <c r="J126" s="59">
        <v>0</v>
      </c>
      <c r="K126" s="59">
        <v>0</v>
      </c>
      <c r="L126" s="59">
        <v>0</v>
      </c>
      <c r="M126" s="59">
        <v>0</v>
      </c>
      <c r="N126" s="59">
        <v>0</v>
      </c>
      <c r="O126" s="59">
        <v>0</v>
      </c>
      <c r="P126" s="59">
        <v>0</v>
      </c>
      <c r="Q126" s="59">
        <v>0</v>
      </c>
      <c r="R126" s="60">
        <v>0</v>
      </c>
      <c r="S126" s="61">
        <v>32.270000000000003</v>
      </c>
      <c r="T126" s="61">
        <v>1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2">
        <v>0</v>
      </c>
      <c r="AF126" s="61">
        <v>0</v>
      </c>
      <c r="AG126" s="61">
        <v>0</v>
      </c>
      <c r="AH126" s="61">
        <v>0</v>
      </c>
      <c r="AI126" s="61">
        <v>0</v>
      </c>
      <c r="AJ126" s="61">
        <v>0</v>
      </c>
      <c r="AK126" s="61">
        <v>0</v>
      </c>
      <c r="AL126" s="61">
        <v>0</v>
      </c>
      <c r="AM126" s="61">
        <v>0</v>
      </c>
      <c r="AN126" s="61">
        <v>0</v>
      </c>
      <c r="AO126" s="61">
        <v>0</v>
      </c>
      <c r="AP126" s="61">
        <v>0</v>
      </c>
      <c r="AQ126" s="61">
        <v>0</v>
      </c>
      <c r="AR126" s="61">
        <v>0</v>
      </c>
      <c r="AS126" s="61">
        <v>0</v>
      </c>
      <c r="AT126" s="61">
        <v>0</v>
      </c>
      <c r="AU126" s="61">
        <v>0</v>
      </c>
    </row>
    <row r="127" spans="1:47" x14ac:dyDescent="0.2">
      <c r="A127" s="58" t="s">
        <v>336</v>
      </c>
      <c r="B127" s="58" t="s">
        <v>337</v>
      </c>
      <c r="C127" s="58" t="s">
        <v>178</v>
      </c>
      <c r="D127" s="59">
        <v>2798</v>
      </c>
      <c r="E127" s="59">
        <v>0</v>
      </c>
      <c r="F127" s="59">
        <v>0</v>
      </c>
      <c r="G127" s="59">
        <v>0</v>
      </c>
      <c r="H127" s="59">
        <v>2798</v>
      </c>
      <c r="I127" s="59">
        <v>0</v>
      </c>
      <c r="J127" s="59">
        <v>0</v>
      </c>
      <c r="K127" s="59">
        <v>0</v>
      </c>
      <c r="L127" s="59">
        <v>0</v>
      </c>
      <c r="M127" s="59">
        <v>0</v>
      </c>
      <c r="N127" s="59">
        <v>0</v>
      </c>
      <c r="O127" s="59">
        <v>0</v>
      </c>
      <c r="P127" s="59">
        <v>2798</v>
      </c>
      <c r="Q127" s="59">
        <v>0</v>
      </c>
      <c r="R127" s="60">
        <v>0</v>
      </c>
      <c r="S127" s="61">
        <v>34.14</v>
      </c>
      <c r="T127" s="61">
        <v>31.45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88010.62</v>
      </c>
      <c r="AE127" s="62">
        <v>0</v>
      </c>
      <c r="AF127" s="61">
        <v>0</v>
      </c>
      <c r="AG127" s="61">
        <v>0</v>
      </c>
      <c r="AH127" s="61">
        <v>88010.62</v>
      </c>
      <c r="AI127" s="61">
        <v>0</v>
      </c>
      <c r="AJ127" s="61">
        <v>0</v>
      </c>
      <c r="AK127" s="61">
        <v>0</v>
      </c>
      <c r="AL127" s="61">
        <v>0</v>
      </c>
      <c r="AM127" s="61">
        <v>0</v>
      </c>
      <c r="AN127" s="61">
        <v>0</v>
      </c>
      <c r="AO127" s="61">
        <v>0</v>
      </c>
      <c r="AP127" s="61">
        <v>88010.62</v>
      </c>
      <c r="AQ127" s="61">
        <v>0</v>
      </c>
      <c r="AR127" s="61">
        <v>0</v>
      </c>
      <c r="AS127" s="61">
        <v>0</v>
      </c>
      <c r="AT127" s="61">
        <v>0</v>
      </c>
      <c r="AU127" s="61">
        <v>0</v>
      </c>
    </row>
    <row r="128" spans="1:47" x14ac:dyDescent="0.2">
      <c r="A128" s="58" t="s">
        <v>466</v>
      </c>
      <c r="B128" s="58" t="s">
        <v>467</v>
      </c>
      <c r="C128" s="58" t="s">
        <v>178</v>
      </c>
      <c r="D128" s="59">
        <v>53</v>
      </c>
      <c r="E128" s="59">
        <v>0</v>
      </c>
      <c r="F128" s="59">
        <v>0</v>
      </c>
      <c r="G128" s="59">
        <v>0</v>
      </c>
      <c r="H128" s="59">
        <v>53</v>
      </c>
      <c r="I128" s="59">
        <v>0</v>
      </c>
      <c r="J128" s="59">
        <v>0</v>
      </c>
      <c r="K128" s="59">
        <v>0</v>
      </c>
      <c r="L128" s="59">
        <v>0</v>
      </c>
      <c r="M128" s="59">
        <v>0</v>
      </c>
      <c r="N128" s="59">
        <v>0</v>
      </c>
      <c r="O128" s="59">
        <v>0</v>
      </c>
      <c r="P128" s="59">
        <v>53</v>
      </c>
      <c r="Q128" s="59">
        <v>0</v>
      </c>
      <c r="R128" s="60">
        <v>0</v>
      </c>
      <c r="S128" s="61">
        <v>33.74</v>
      </c>
      <c r="T128" s="61">
        <v>31.05</v>
      </c>
      <c r="U128" s="61">
        <v>0</v>
      </c>
      <c r="V128" s="61">
        <v>0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1645.41</v>
      </c>
      <c r="AE128" s="62">
        <v>0</v>
      </c>
      <c r="AF128" s="61">
        <v>0</v>
      </c>
      <c r="AG128" s="61">
        <v>0</v>
      </c>
      <c r="AH128" s="61">
        <v>1645.41</v>
      </c>
      <c r="AI128" s="61">
        <v>0</v>
      </c>
      <c r="AJ128" s="61">
        <v>0</v>
      </c>
      <c r="AK128" s="61">
        <v>0</v>
      </c>
      <c r="AL128" s="61">
        <v>0</v>
      </c>
      <c r="AM128" s="61">
        <v>0</v>
      </c>
      <c r="AN128" s="61">
        <v>0</v>
      </c>
      <c r="AO128" s="61">
        <v>0</v>
      </c>
      <c r="AP128" s="61">
        <v>1645.41</v>
      </c>
      <c r="AQ128" s="61">
        <v>0</v>
      </c>
      <c r="AR128" s="61">
        <v>0</v>
      </c>
      <c r="AS128" s="61">
        <v>0</v>
      </c>
      <c r="AT128" s="61">
        <v>0</v>
      </c>
      <c r="AU128" s="61">
        <v>0</v>
      </c>
    </row>
    <row r="129" spans="1:47" x14ac:dyDescent="0.2">
      <c r="A129" s="58" t="s">
        <v>338</v>
      </c>
      <c r="B129" s="58" t="s">
        <v>339</v>
      </c>
      <c r="C129" s="58" t="s">
        <v>178</v>
      </c>
      <c r="D129" s="59">
        <v>0</v>
      </c>
      <c r="E129" s="59">
        <v>0</v>
      </c>
      <c r="F129" s="59">
        <v>0</v>
      </c>
      <c r="G129" s="59">
        <v>0</v>
      </c>
      <c r="H129" s="59">
        <v>0</v>
      </c>
      <c r="I129" s="59">
        <v>0</v>
      </c>
      <c r="J129" s="59">
        <v>0</v>
      </c>
      <c r="K129" s="59">
        <v>0</v>
      </c>
      <c r="L129" s="59">
        <v>0</v>
      </c>
      <c r="M129" s="59">
        <v>0</v>
      </c>
      <c r="N129" s="59">
        <v>0</v>
      </c>
      <c r="O129" s="59">
        <v>0</v>
      </c>
      <c r="P129" s="59">
        <v>0</v>
      </c>
      <c r="Q129" s="59">
        <v>0</v>
      </c>
      <c r="R129" s="60">
        <v>0</v>
      </c>
      <c r="S129" s="61">
        <v>33.03</v>
      </c>
      <c r="T129" s="61">
        <v>1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2">
        <v>0</v>
      </c>
      <c r="AF129" s="61">
        <v>0</v>
      </c>
      <c r="AG129" s="61">
        <v>0</v>
      </c>
      <c r="AH129" s="61">
        <v>0</v>
      </c>
      <c r="AI129" s="61">
        <v>0</v>
      </c>
      <c r="AJ129" s="61">
        <v>0</v>
      </c>
      <c r="AK129" s="61">
        <v>0</v>
      </c>
      <c r="AL129" s="61">
        <v>0</v>
      </c>
      <c r="AM129" s="61">
        <v>0</v>
      </c>
      <c r="AN129" s="61">
        <v>0</v>
      </c>
      <c r="AO129" s="61">
        <v>0</v>
      </c>
      <c r="AP129" s="61">
        <v>0</v>
      </c>
      <c r="AQ129" s="61">
        <v>0</v>
      </c>
      <c r="AR129" s="61">
        <v>0</v>
      </c>
      <c r="AS129" s="61">
        <v>0</v>
      </c>
      <c r="AT129" s="61">
        <v>0</v>
      </c>
      <c r="AU129" s="61">
        <v>0</v>
      </c>
    </row>
    <row r="130" spans="1:47" x14ac:dyDescent="0.2">
      <c r="A130" s="58" t="s">
        <v>104</v>
      </c>
      <c r="B130" s="58" t="s">
        <v>340</v>
      </c>
      <c r="C130" s="58" t="s">
        <v>178</v>
      </c>
      <c r="D130" s="59">
        <v>4213</v>
      </c>
      <c r="E130" s="59">
        <v>0</v>
      </c>
      <c r="F130" s="59">
        <v>0</v>
      </c>
      <c r="G130" s="59">
        <v>0</v>
      </c>
      <c r="H130" s="59">
        <v>4213</v>
      </c>
      <c r="I130" s="59">
        <v>0</v>
      </c>
      <c r="J130" s="59">
        <v>0</v>
      </c>
      <c r="K130" s="59">
        <v>0</v>
      </c>
      <c r="L130" s="59">
        <v>0</v>
      </c>
      <c r="M130" s="59">
        <v>0</v>
      </c>
      <c r="N130" s="59">
        <v>0</v>
      </c>
      <c r="O130" s="59">
        <v>0</v>
      </c>
      <c r="P130" s="59">
        <v>4213</v>
      </c>
      <c r="Q130" s="59">
        <v>0</v>
      </c>
      <c r="R130" s="60">
        <v>0</v>
      </c>
      <c r="S130" s="61">
        <v>36.83</v>
      </c>
      <c r="T130" s="61">
        <v>32.43</v>
      </c>
      <c r="U130" s="61">
        <v>0</v>
      </c>
      <c r="V130" s="61">
        <v>0</v>
      </c>
      <c r="W130" s="61">
        <v>0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1">
        <v>136628.71</v>
      </c>
      <c r="AE130" s="62">
        <v>0</v>
      </c>
      <c r="AF130" s="61">
        <v>0</v>
      </c>
      <c r="AG130" s="61">
        <v>0</v>
      </c>
      <c r="AH130" s="61">
        <v>136628.71</v>
      </c>
      <c r="AI130" s="61">
        <v>0</v>
      </c>
      <c r="AJ130" s="61">
        <v>0</v>
      </c>
      <c r="AK130" s="61">
        <v>0</v>
      </c>
      <c r="AL130" s="61">
        <v>0</v>
      </c>
      <c r="AM130" s="61">
        <v>0</v>
      </c>
      <c r="AN130" s="61">
        <v>0</v>
      </c>
      <c r="AO130" s="61">
        <v>0</v>
      </c>
      <c r="AP130" s="61">
        <v>136628.71</v>
      </c>
      <c r="AQ130" s="61">
        <v>0</v>
      </c>
      <c r="AR130" s="61">
        <v>0</v>
      </c>
      <c r="AS130" s="61">
        <v>0</v>
      </c>
      <c r="AT130" s="61">
        <v>0</v>
      </c>
      <c r="AU130" s="61">
        <v>0</v>
      </c>
    </row>
    <row r="131" spans="1:47" x14ac:dyDescent="0.2">
      <c r="A131" s="58" t="s">
        <v>585</v>
      </c>
      <c r="B131" s="58" t="s">
        <v>586</v>
      </c>
      <c r="C131" s="58" t="s">
        <v>178</v>
      </c>
      <c r="D131" s="59">
        <v>0</v>
      </c>
      <c r="E131" s="59">
        <v>0</v>
      </c>
      <c r="F131" s="59">
        <v>0</v>
      </c>
      <c r="G131" s="59">
        <v>0</v>
      </c>
      <c r="H131" s="59">
        <v>0</v>
      </c>
      <c r="I131" s="59">
        <v>0</v>
      </c>
      <c r="J131" s="59">
        <v>0</v>
      </c>
      <c r="K131" s="59">
        <v>0</v>
      </c>
      <c r="L131" s="59">
        <v>0</v>
      </c>
      <c r="M131" s="59">
        <v>0</v>
      </c>
      <c r="N131" s="59">
        <v>0</v>
      </c>
      <c r="O131" s="59">
        <v>0</v>
      </c>
      <c r="P131" s="59">
        <v>0</v>
      </c>
      <c r="Q131" s="59">
        <v>0</v>
      </c>
      <c r="R131" s="60">
        <v>0</v>
      </c>
      <c r="S131" s="61">
        <v>38.36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2">
        <v>0</v>
      </c>
      <c r="AF131" s="61">
        <v>0</v>
      </c>
      <c r="AG131" s="61">
        <v>0</v>
      </c>
      <c r="AH131" s="61">
        <v>0</v>
      </c>
      <c r="AI131" s="61">
        <v>0</v>
      </c>
      <c r="AJ131" s="61">
        <v>0</v>
      </c>
      <c r="AK131" s="61">
        <v>0</v>
      </c>
      <c r="AL131" s="61">
        <v>0</v>
      </c>
      <c r="AM131" s="61">
        <v>0</v>
      </c>
      <c r="AN131" s="61">
        <v>0</v>
      </c>
      <c r="AO131" s="61">
        <v>0</v>
      </c>
      <c r="AP131" s="61">
        <v>0</v>
      </c>
      <c r="AQ131" s="61">
        <v>0</v>
      </c>
      <c r="AR131" s="61">
        <v>0</v>
      </c>
      <c r="AS131" s="61">
        <v>0</v>
      </c>
      <c r="AT131" s="61">
        <v>0</v>
      </c>
      <c r="AU131" s="61">
        <v>0</v>
      </c>
    </row>
    <row r="132" spans="1:47" x14ac:dyDescent="0.2">
      <c r="A132" s="58" t="s">
        <v>341</v>
      </c>
      <c r="B132" s="58" t="s">
        <v>342</v>
      </c>
      <c r="C132" s="58" t="s">
        <v>178</v>
      </c>
      <c r="D132" s="59">
        <v>0</v>
      </c>
      <c r="E132" s="59">
        <v>0</v>
      </c>
      <c r="F132" s="59">
        <v>0</v>
      </c>
      <c r="G132" s="59">
        <v>0</v>
      </c>
      <c r="H132" s="59">
        <v>0</v>
      </c>
      <c r="I132" s="59">
        <v>0</v>
      </c>
      <c r="J132" s="59">
        <v>0</v>
      </c>
      <c r="K132" s="59">
        <v>0</v>
      </c>
      <c r="L132" s="59">
        <v>0</v>
      </c>
      <c r="M132" s="59">
        <v>0</v>
      </c>
      <c r="N132" s="59">
        <v>0</v>
      </c>
      <c r="O132" s="59">
        <v>0</v>
      </c>
      <c r="P132" s="59">
        <v>0</v>
      </c>
      <c r="Q132" s="59">
        <v>0</v>
      </c>
      <c r="R132" s="60">
        <v>0</v>
      </c>
      <c r="S132" s="61">
        <v>28.48</v>
      </c>
      <c r="T132" s="61">
        <v>28.58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0</v>
      </c>
      <c r="AE132" s="62">
        <v>0</v>
      </c>
      <c r="AF132" s="61">
        <v>0</v>
      </c>
      <c r="AG132" s="61">
        <v>0</v>
      </c>
      <c r="AH132" s="61">
        <v>0</v>
      </c>
      <c r="AI132" s="61">
        <v>0</v>
      </c>
      <c r="AJ132" s="61">
        <v>0</v>
      </c>
      <c r="AK132" s="61">
        <v>0</v>
      </c>
      <c r="AL132" s="61">
        <v>0</v>
      </c>
      <c r="AM132" s="61">
        <v>0</v>
      </c>
      <c r="AN132" s="61">
        <v>0</v>
      </c>
      <c r="AO132" s="61">
        <v>0</v>
      </c>
      <c r="AP132" s="61">
        <v>0</v>
      </c>
      <c r="AQ132" s="61">
        <v>0</v>
      </c>
      <c r="AR132" s="61">
        <v>0</v>
      </c>
      <c r="AS132" s="61">
        <v>0</v>
      </c>
      <c r="AT132" s="61">
        <v>0</v>
      </c>
      <c r="AU132" s="61">
        <v>0</v>
      </c>
    </row>
    <row r="133" spans="1:47" x14ac:dyDescent="0.2">
      <c r="A133" s="58" t="s">
        <v>574</v>
      </c>
      <c r="B133" s="58" t="s">
        <v>575</v>
      </c>
      <c r="C133" s="58" t="s">
        <v>178</v>
      </c>
      <c r="D133" s="59">
        <v>72</v>
      </c>
      <c r="E133" s="59">
        <v>0</v>
      </c>
      <c r="F133" s="59">
        <v>16</v>
      </c>
      <c r="G133" s="59">
        <v>0</v>
      </c>
      <c r="H133" s="59">
        <v>88</v>
      </c>
      <c r="I133" s="59">
        <v>0</v>
      </c>
      <c r="J133" s="59">
        <v>0</v>
      </c>
      <c r="K133" s="59">
        <v>0</v>
      </c>
      <c r="L133" s="59">
        <v>0</v>
      </c>
      <c r="M133" s="59">
        <v>0</v>
      </c>
      <c r="N133" s="59">
        <v>0</v>
      </c>
      <c r="O133" s="59">
        <v>0</v>
      </c>
      <c r="P133" s="59">
        <v>88</v>
      </c>
      <c r="Q133" s="59">
        <v>0</v>
      </c>
      <c r="R133" s="60">
        <v>34.262500000000003</v>
      </c>
      <c r="S133" s="61">
        <v>37.42</v>
      </c>
      <c r="T133" s="61">
        <v>41.78</v>
      </c>
      <c r="U133" s="61">
        <v>598.72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3128.15</v>
      </c>
      <c r="AE133" s="62">
        <v>0</v>
      </c>
      <c r="AF133" s="61">
        <v>548.20000000000005</v>
      </c>
      <c r="AG133" s="61">
        <v>0</v>
      </c>
      <c r="AH133" s="61">
        <v>3676.35</v>
      </c>
      <c r="AI133" s="61">
        <v>0</v>
      </c>
      <c r="AJ133" s="61">
        <v>0</v>
      </c>
      <c r="AK133" s="61">
        <v>0</v>
      </c>
      <c r="AL133" s="61">
        <v>0</v>
      </c>
      <c r="AM133" s="61">
        <v>0</v>
      </c>
      <c r="AN133" s="61">
        <v>0</v>
      </c>
      <c r="AO133" s="61">
        <v>0</v>
      </c>
      <c r="AP133" s="61">
        <v>3676.35</v>
      </c>
      <c r="AQ133" s="61">
        <v>0</v>
      </c>
      <c r="AR133" s="61">
        <v>0</v>
      </c>
      <c r="AS133" s="61">
        <v>-50.52</v>
      </c>
      <c r="AT133" s="61">
        <v>0</v>
      </c>
      <c r="AU133" s="61">
        <v>0</v>
      </c>
    </row>
    <row r="134" spans="1:47" x14ac:dyDescent="0.2">
      <c r="A134" s="58" t="s">
        <v>343</v>
      </c>
      <c r="B134" s="58" t="s">
        <v>344</v>
      </c>
      <c r="C134" s="58" t="s">
        <v>178</v>
      </c>
      <c r="D134" s="59">
        <v>0</v>
      </c>
      <c r="E134" s="59">
        <v>0</v>
      </c>
      <c r="F134" s="59">
        <v>0</v>
      </c>
      <c r="G134" s="59">
        <v>0</v>
      </c>
      <c r="H134" s="59">
        <v>0</v>
      </c>
      <c r="I134" s="59">
        <v>0</v>
      </c>
      <c r="J134" s="59">
        <v>0</v>
      </c>
      <c r="K134" s="59">
        <v>0</v>
      </c>
      <c r="L134" s="59">
        <v>0</v>
      </c>
      <c r="M134" s="59">
        <v>0</v>
      </c>
      <c r="N134" s="59">
        <v>0</v>
      </c>
      <c r="O134" s="59">
        <v>0</v>
      </c>
      <c r="P134" s="59">
        <v>0</v>
      </c>
      <c r="Q134" s="59">
        <v>0</v>
      </c>
      <c r="R134" s="60">
        <v>0</v>
      </c>
      <c r="S134" s="61">
        <v>31.52</v>
      </c>
      <c r="T134" s="61">
        <v>32.659999999999997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2">
        <v>0</v>
      </c>
      <c r="AF134" s="61">
        <v>0</v>
      </c>
      <c r="AG134" s="61">
        <v>0</v>
      </c>
      <c r="AH134" s="61">
        <v>0</v>
      </c>
      <c r="AI134" s="61">
        <v>0</v>
      </c>
      <c r="AJ134" s="61">
        <v>0</v>
      </c>
      <c r="AK134" s="61">
        <v>0</v>
      </c>
      <c r="AL134" s="61">
        <v>0</v>
      </c>
      <c r="AM134" s="61">
        <v>0</v>
      </c>
      <c r="AN134" s="61">
        <v>0</v>
      </c>
      <c r="AO134" s="61">
        <v>0</v>
      </c>
      <c r="AP134" s="61">
        <v>0</v>
      </c>
      <c r="AQ134" s="61">
        <v>0</v>
      </c>
      <c r="AR134" s="61">
        <v>0</v>
      </c>
      <c r="AS134" s="61">
        <v>0</v>
      </c>
      <c r="AT134" s="61">
        <v>0</v>
      </c>
      <c r="AU134" s="61">
        <v>0</v>
      </c>
    </row>
    <row r="135" spans="1:47" x14ac:dyDescent="0.2">
      <c r="A135" s="58" t="s">
        <v>345</v>
      </c>
      <c r="B135" s="58" t="s">
        <v>346</v>
      </c>
      <c r="C135" s="58" t="s">
        <v>178</v>
      </c>
      <c r="D135" s="59">
        <v>0</v>
      </c>
      <c r="E135" s="59">
        <v>0</v>
      </c>
      <c r="F135" s="59">
        <v>0</v>
      </c>
      <c r="G135" s="59">
        <v>0</v>
      </c>
      <c r="H135" s="59">
        <v>0</v>
      </c>
      <c r="I135" s="59">
        <v>0</v>
      </c>
      <c r="J135" s="59">
        <v>0</v>
      </c>
      <c r="K135" s="59">
        <v>0</v>
      </c>
      <c r="L135" s="59">
        <v>0</v>
      </c>
      <c r="M135" s="59">
        <v>0</v>
      </c>
      <c r="N135" s="59">
        <v>0</v>
      </c>
      <c r="O135" s="59">
        <v>0</v>
      </c>
      <c r="P135" s="59">
        <v>0</v>
      </c>
      <c r="Q135" s="59">
        <v>0</v>
      </c>
      <c r="R135" s="60">
        <v>0</v>
      </c>
      <c r="S135" s="61">
        <v>33.46</v>
      </c>
      <c r="T135" s="61">
        <v>34.9</v>
      </c>
      <c r="U135" s="61">
        <v>0</v>
      </c>
      <c r="V135" s="61">
        <v>0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0</v>
      </c>
      <c r="AD135" s="61">
        <v>0</v>
      </c>
      <c r="AE135" s="62">
        <v>0</v>
      </c>
      <c r="AF135" s="61">
        <v>0</v>
      </c>
      <c r="AG135" s="61">
        <v>0</v>
      </c>
      <c r="AH135" s="61">
        <v>0</v>
      </c>
      <c r="AI135" s="61">
        <v>0</v>
      </c>
      <c r="AJ135" s="61">
        <v>0</v>
      </c>
      <c r="AK135" s="61">
        <v>0</v>
      </c>
      <c r="AL135" s="61">
        <v>0</v>
      </c>
      <c r="AM135" s="61">
        <v>0</v>
      </c>
      <c r="AN135" s="61">
        <v>0</v>
      </c>
      <c r="AO135" s="61">
        <v>0</v>
      </c>
      <c r="AP135" s="61">
        <v>0</v>
      </c>
      <c r="AQ135" s="61">
        <v>0</v>
      </c>
      <c r="AR135" s="61">
        <v>0</v>
      </c>
      <c r="AS135" s="61">
        <v>0</v>
      </c>
      <c r="AT135" s="61">
        <v>0</v>
      </c>
      <c r="AU135" s="61">
        <v>0</v>
      </c>
    </row>
    <row r="136" spans="1:47" x14ac:dyDescent="0.2">
      <c r="A136" s="58" t="s">
        <v>347</v>
      </c>
      <c r="B136" s="58" t="s">
        <v>348</v>
      </c>
      <c r="C136" s="58" t="s">
        <v>178</v>
      </c>
      <c r="D136" s="59">
        <v>0</v>
      </c>
      <c r="E136" s="59">
        <v>0</v>
      </c>
      <c r="F136" s="59">
        <v>0</v>
      </c>
      <c r="G136" s="59">
        <v>0</v>
      </c>
      <c r="H136" s="59">
        <v>0</v>
      </c>
      <c r="I136" s="59">
        <v>0</v>
      </c>
      <c r="J136" s="59">
        <v>0</v>
      </c>
      <c r="K136" s="59">
        <v>0</v>
      </c>
      <c r="L136" s="59">
        <v>0</v>
      </c>
      <c r="M136" s="59">
        <v>0</v>
      </c>
      <c r="N136" s="59">
        <v>0</v>
      </c>
      <c r="O136" s="59">
        <v>0</v>
      </c>
      <c r="P136" s="59">
        <v>0</v>
      </c>
      <c r="Q136" s="59">
        <v>0</v>
      </c>
      <c r="R136" s="60">
        <v>0</v>
      </c>
      <c r="S136" s="61">
        <v>37.64</v>
      </c>
      <c r="T136" s="61">
        <v>37.64</v>
      </c>
      <c r="U136" s="61">
        <v>0</v>
      </c>
      <c r="V136" s="61">
        <v>0</v>
      </c>
      <c r="W136" s="61">
        <v>0</v>
      </c>
      <c r="X136" s="61">
        <v>0</v>
      </c>
      <c r="Y136" s="61">
        <v>0</v>
      </c>
      <c r="Z136" s="61">
        <v>0</v>
      </c>
      <c r="AA136" s="61">
        <v>0</v>
      </c>
      <c r="AB136" s="61">
        <v>0</v>
      </c>
      <c r="AC136" s="61">
        <v>0</v>
      </c>
      <c r="AD136" s="61">
        <v>0</v>
      </c>
      <c r="AE136" s="62">
        <v>0</v>
      </c>
      <c r="AF136" s="61">
        <v>0</v>
      </c>
      <c r="AG136" s="61">
        <v>0</v>
      </c>
      <c r="AH136" s="61">
        <v>0</v>
      </c>
      <c r="AI136" s="61">
        <v>0</v>
      </c>
      <c r="AJ136" s="61">
        <v>0</v>
      </c>
      <c r="AK136" s="61">
        <v>0</v>
      </c>
      <c r="AL136" s="61">
        <v>0</v>
      </c>
      <c r="AM136" s="61">
        <v>0</v>
      </c>
      <c r="AN136" s="61">
        <v>0</v>
      </c>
      <c r="AO136" s="61">
        <v>0</v>
      </c>
      <c r="AP136" s="61">
        <v>0</v>
      </c>
      <c r="AQ136" s="61">
        <v>0</v>
      </c>
      <c r="AR136" s="61">
        <v>0</v>
      </c>
      <c r="AS136" s="61">
        <v>0</v>
      </c>
      <c r="AT136" s="61">
        <v>0</v>
      </c>
      <c r="AU136" s="61">
        <v>0</v>
      </c>
    </row>
    <row r="137" spans="1:47" x14ac:dyDescent="0.2">
      <c r="A137" s="58" t="s">
        <v>349</v>
      </c>
      <c r="B137" s="58" t="s">
        <v>350</v>
      </c>
      <c r="C137" s="58" t="s">
        <v>178</v>
      </c>
      <c r="D137" s="59">
        <v>0</v>
      </c>
      <c r="E137" s="59">
        <v>0</v>
      </c>
      <c r="F137" s="59">
        <v>0</v>
      </c>
      <c r="G137" s="59">
        <v>0</v>
      </c>
      <c r="H137" s="59">
        <v>0</v>
      </c>
      <c r="I137" s="59">
        <v>0</v>
      </c>
      <c r="J137" s="59">
        <v>0</v>
      </c>
      <c r="K137" s="59">
        <v>0</v>
      </c>
      <c r="L137" s="59">
        <v>0</v>
      </c>
      <c r="M137" s="59">
        <v>0</v>
      </c>
      <c r="N137" s="59">
        <v>0</v>
      </c>
      <c r="O137" s="59">
        <v>0</v>
      </c>
      <c r="P137" s="59">
        <v>0</v>
      </c>
      <c r="Q137" s="59">
        <v>0</v>
      </c>
      <c r="R137" s="60">
        <v>0</v>
      </c>
      <c r="S137" s="61">
        <v>31.18</v>
      </c>
      <c r="T137" s="61">
        <v>38.549999999999997</v>
      </c>
      <c r="U137" s="61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0</v>
      </c>
      <c r="AE137" s="62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1">
        <v>0</v>
      </c>
      <c r="AU137" s="61">
        <v>0</v>
      </c>
    </row>
    <row r="138" spans="1:47" x14ac:dyDescent="0.2">
      <c r="A138" s="58" t="s">
        <v>106</v>
      </c>
      <c r="B138" s="58" t="s">
        <v>351</v>
      </c>
      <c r="C138" s="58" t="s">
        <v>178</v>
      </c>
      <c r="D138" s="59">
        <v>1578</v>
      </c>
      <c r="E138" s="59">
        <v>310</v>
      </c>
      <c r="F138" s="59">
        <v>360</v>
      </c>
      <c r="G138" s="59">
        <v>0</v>
      </c>
      <c r="H138" s="59">
        <v>1938</v>
      </c>
      <c r="I138" s="59">
        <v>-1899</v>
      </c>
      <c r="J138" s="59">
        <v>0</v>
      </c>
      <c r="K138" s="59">
        <v>0</v>
      </c>
      <c r="L138" s="59">
        <v>0</v>
      </c>
      <c r="M138" s="59">
        <v>0</v>
      </c>
      <c r="N138" s="59">
        <v>0</v>
      </c>
      <c r="O138" s="59">
        <v>0</v>
      </c>
      <c r="P138" s="59">
        <v>39</v>
      </c>
      <c r="Q138" s="59">
        <v>0</v>
      </c>
      <c r="R138" s="60">
        <v>34.964193999999999</v>
      </c>
      <c r="S138" s="61">
        <v>38.549999999999997</v>
      </c>
      <c r="T138" s="61">
        <v>41.27</v>
      </c>
      <c r="U138" s="61">
        <v>13878</v>
      </c>
      <c r="V138" s="61">
        <v>0</v>
      </c>
      <c r="W138" s="61">
        <v>-73206.45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67387.28</v>
      </c>
      <c r="AE138" s="62">
        <v>0</v>
      </c>
      <c r="AF138" s="61">
        <v>12587.11</v>
      </c>
      <c r="AG138" s="61">
        <v>0</v>
      </c>
      <c r="AH138" s="61">
        <v>79974.39</v>
      </c>
      <c r="AI138" s="61">
        <v>-78365</v>
      </c>
      <c r="AJ138" s="61">
        <v>0</v>
      </c>
      <c r="AK138" s="61">
        <v>0</v>
      </c>
      <c r="AL138" s="61">
        <v>0</v>
      </c>
      <c r="AM138" s="61">
        <v>0</v>
      </c>
      <c r="AN138" s="61">
        <v>0</v>
      </c>
      <c r="AO138" s="61">
        <v>0</v>
      </c>
      <c r="AP138" s="61">
        <v>1609.39</v>
      </c>
      <c r="AQ138" s="61">
        <v>0</v>
      </c>
      <c r="AR138" s="61">
        <v>0</v>
      </c>
      <c r="AS138" s="61">
        <v>-1290.8900000000001</v>
      </c>
      <c r="AT138" s="61">
        <v>-5158.55</v>
      </c>
      <c r="AU138" s="61">
        <v>0</v>
      </c>
    </row>
    <row r="139" spans="1:47" x14ac:dyDescent="0.2">
      <c r="A139" s="58" t="s">
        <v>352</v>
      </c>
      <c r="B139" s="58" t="s">
        <v>353</v>
      </c>
      <c r="C139" s="58" t="s">
        <v>178</v>
      </c>
      <c r="D139" s="59">
        <v>0</v>
      </c>
      <c r="E139" s="59">
        <v>0</v>
      </c>
      <c r="F139" s="59">
        <v>0</v>
      </c>
      <c r="G139" s="59">
        <v>0</v>
      </c>
      <c r="H139" s="59">
        <v>0</v>
      </c>
      <c r="I139" s="59">
        <v>0</v>
      </c>
      <c r="J139" s="59">
        <v>0</v>
      </c>
      <c r="K139" s="59">
        <v>0</v>
      </c>
      <c r="L139" s="59">
        <v>0</v>
      </c>
      <c r="M139" s="59">
        <v>0</v>
      </c>
      <c r="N139" s="59">
        <v>0</v>
      </c>
      <c r="O139" s="59">
        <v>0</v>
      </c>
      <c r="P139" s="59">
        <v>0</v>
      </c>
      <c r="Q139" s="59">
        <v>0</v>
      </c>
      <c r="R139" s="60">
        <v>0</v>
      </c>
      <c r="S139" s="61">
        <v>40.11</v>
      </c>
      <c r="T139" s="61">
        <v>1</v>
      </c>
      <c r="U139" s="61">
        <v>0</v>
      </c>
      <c r="V139" s="61">
        <v>0</v>
      </c>
      <c r="W139" s="61">
        <v>0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2">
        <v>0</v>
      </c>
      <c r="AF139" s="61">
        <v>0</v>
      </c>
      <c r="AG139" s="61">
        <v>0</v>
      </c>
      <c r="AH139" s="61">
        <v>0</v>
      </c>
      <c r="AI139" s="61">
        <v>0</v>
      </c>
      <c r="AJ139" s="61">
        <v>0</v>
      </c>
      <c r="AK139" s="61">
        <v>0</v>
      </c>
      <c r="AL139" s="61">
        <v>0</v>
      </c>
      <c r="AM139" s="61">
        <v>0</v>
      </c>
      <c r="AN139" s="61">
        <v>0</v>
      </c>
      <c r="AO139" s="61">
        <v>0</v>
      </c>
      <c r="AP139" s="61">
        <v>0</v>
      </c>
      <c r="AQ139" s="61">
        <v>0</v>
      </c>
      <c r="AR139" s="61">
        <v>0</v>
      </c>
      <c r="AS139" s="61">
        <v>0</v>
      </c>
      <c r="AT139" s="61">
        <v>0</v>
      </c>
      <c r="AU139" s="61">
        <v>0</v>
      </c>
    </row>
    <row r="140" spans="1:47" x14ac:dyDescent="0.2">
      <c r="A140" s="58" t="s">
        <v>108</v>
      </c>
      <c r="B140" s="58" t="s">
        <v>354</v>
      </c>
      <c r="C140" s="58" t="s">
        <v>178</v>
      </c>
      <c r="D140" s="59">
        <v>1250</v>
      </c>
      <c r="E140" s="59">
        <v>0</v>
      </c>
      <c r="F140" s="59">
        <v>12</v>
      </c>
      <c r="G140" s="59">
        <v>0</v>
      </c>
      <c r="H140" s="59">
        <v>1262</v>
      </c>
      <c r="I140" s="59">
        <v>-996</v>
      </c>
      <c r="J140" s="59">
        <v>0</v>
      </c>
      <c r="K140" s="59">
        <v>0</v>
      </c>
      <c r="L140" s="59">
        <v>0</v>
      </c>
      <c r="M140" s="59">
        <v>0</v>
      </c>
      <c r="N140" s="59">
        <v>0</v>
      </c>
      <c r="O140" s="59">
        <v>0</v>
      </c>
      <c r="P140" s="59">
        <v>266</v>
      </c>
      <c r="Q140" s="59">
        <v>0</v>
      </c>
      <c r="R140" s="60">
        <v>32.134166999999998</v>
      </c>
      <c r="S140" s="61">
        <v>35.83</v>
      </c>
      <c r="T140" s="61">
        <v>38.9</v>
      </c>
      <c r="U140" s="61">
        <v>429.96</v>
      </c>
      <c r="V140" s="61">
        <v>0</v>
      </c>
      <c r="W140" s="61">
        <v>-35686.68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48704.24</v>
      </c>
      <c r="AE140" s="62">
        <v>0</v>
      </c>
      <c r="AF140" s="61">
        <v>385.61</v>
      </c>
      <c r="AG140" s="61">
        <v>0</v>
      </c>
      <c r="AH140" s="61">
        <v>49089.85</v>
      </c>
      <c r="AI140" s="61">
        <v>-38742.86</v>
      </c>
      <c r="AJ140" s="61">
        <v>0</v>
      </c>
      <c r="AK140" s="61">
        <v>0</v>
      </c>
      <c r="AL140" s="61">
        <v>0</v>
      </c>
      <c r="AM140" s="61">
        <v>0</v>
      </c>
      <c r="AN140" s="61">
        <v>0</v>
      </c>
      <c r="AO140" s="61">
        <v>0</v>
      </c>
      <c r="AP140" s="61">
        <v>10346.99</v>
      </c>
      <c r="AQ140" s="61">
        <v>0</v>
      </c>
      <c r="AR140" s="61">
        <v>0</v>
      </c>
      <c r="AS140" s="61">
        <v>-44.35</v>
      </c>
      <c r="AT140" s="61">
        <v>-3056.18</v>
      </c>
      <c r="AU140" s="61">
        <v>0</v>
      </c>
    </row>
    <row r="141" spans="1:47" x14ac:dyDescent="0.2">
      <c r="A141" s="58" t="s">
        <v>109</v>
      </c>
      <c r="B141" s="58" t="s">
        <v>355</v>
      </c>
      <c r="C141" s="58" t="s">
        <v>178</v>
      </c>
      <c r="D141" s="59">
        <v>239</v>
      </c>
      <c r="E141" s="59">
        <v>0</v>
      </c>
      <c r="F141" s="59">
        <v>4</v>
      </c>
      <c r="G141" s="59">
        <v>0</v>
      </c>
      <c r="H141" s="59">
        <v>243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243</v>
      </c>
      <c r="Q141" s="59">
        <v>0</v>
      </c>
      <c r="R141" s="60">
        <v>31.954999999999998</v>
      </c>
      <c r="S141" s="61">
        <v>35.24</v>
      </c>
      <c r="T141" s="61">
        <v>33.159999999999997</v>
      </c>
      <c r="U141" s="61">
        <v>140.96</v>
      </c>
      <c r="V141" s="61">
        <v>0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7930.48</v>
      </c>
      <c r="AE141" s="62">
        <v>0</v>
      </c>
      <c r="AF141" s="61">
        <v>127.82</v>
      </c>
      <c r="AG141" s="61">
        <v>0</v>
      </c>
      <c r="AH141" s="61">
        <v>8058.3</v>
      </c>
      <c r="AI141" s="61">
        <v>0</v>
      </c>
      <c r="AJ141" s="61">
        <v>0</v>
      </c>
      <c r="AK141" s="61">
        <v>0</v>
      </c>
      <c r="AL141" s="61">
        <v>0</v>
      </c>
      <c r="AM141" s="61">
        <v>0</v>
      </c>
      <c r="AN141" s="61">
        <v>0</v>
      </c>
      <c r="AO141" s="61">
        <v>0</v>
      </c>
      <c r="AP141" s="61">
        <v>8058.3</v>
      </c>
      <c r="AQ141" s="61">
        <v>0</v>
      </c>
      <c r="AR141" s="61">
        <v>0</v>
      </c>
      <c r="AS141" s="61">
        <v>-13.14</v>
      </c>
      <c r="AT141" s="61">
        <v>0</v>
      </c>
      <c r="AU141" s="61">
        <v>0</v>
      </c>
    </row>
    <row r="142" spans="1:47" x14ac:dyDescent="0.2">
      <c r="A142" s="58" t="s">
        <v>356</v>
      </c>
      <c r="B142" s="58" t="s">
        <v>357</v>
      </c>
      <c r="C142" s="58" t="s">
        <v>178</v>
      </c>
      <c r="D142" s="59">
        <v>3524</v>
      </c>
      <c r="E142" s="59">
        <v>639</v>
      </c>
      <c r="F142" s="59">
        <v>2422</v>
      </c>
      <c r="G142" s="59">
        <v>0</v>
      </c>
      <c r="H142" s="59">
        <v>5946</v>
      </c>
      <c r="I142" s="59">
        <v>-5729</v>
      </c>
      <c r="J142" s="59">
        <v>0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217</v>
      </c>
      <c r="Q142" s="59">
        <v>0</v>
      </c>
      <c r="R142" s="60">
        <v>38.530743000000001</v>
      </c>
      <c r="S142" s="61">
        <v>42.54</v>
      </c>
      <c r="T142" s="61">
        <v>43.7</v>
      </c>
      <c r="U142" s="61">
        <v>103031.88</v>
      </c>
      <c r="V142" s="61">
        <v>0</v>
      </c>
      <c r="W142" s="61">
        <v>-243711.66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166505.09</v>
      </c>
      <c r="AE142" s="62">
        <v>0</v>
      </c>
      <c r="AF142" s="61">
        <v>93321.46</v>
      </c>
      <c r="AG142" s="61">
        <v>0</v>
      </c>
      <c r="AH142" s="61">
        <v>259826.55</v>
      </c>
      <c r="AI142" s="61">
        <v>-250344.14</v>
      </c>
      <c r="AJ142" s="61">
        <v>0</v>
      </c>
      <c r="AK142" s="61">
        <v>0</v>
      </c>
      <c r="AL142" s="61">
        <v>0</v>
      </c>
      <c r="AM142" s="61">
        <v>0</v>
      </c>
      <c r="AN142" s="61">
        <v>0</v>
      </c>
      <c r="AO142" s="61">
        <v>0</v>
      </c>
      <c r="AP142" s="61">
        <v>9482.4</v>
      </c>
      <c r="AQ142" s="61">
        <v>0</v>
      </c>
      <c r="AR142" s="61">
        <v>0</v>
      </c>
      <c r="AS142" s="61">
        <v>-9710.42</v>
      </c>
      <c r="AT142" s="61">
        <v>-6632.48</v>
      </c>
      <c r="AU142" s="61">
        <v>0</v>
      </c>
    </row>
    <row r="143" spans="1:47" x14ac:dyDescent="0.2">
      <c r="A143" s="58" t="s">
        <v>110</v>
      </c>
      <c r="B143" s="58" t="s">
        <v>358</v>
      </c>
      <c r="C143" s="58" t="s">
        <v>178</v>
      </c>
      <c r="D143" s="59">
        <v>613</v>
      </c>
      <c r="E143" s="59">
        <v>0</v>
      </c>
      <c r="F143" s="59">
        <v>15</v>
      </c>
      <c r="G143" s="59">
        <v>0</v>
      </c>
      <c r="H143" s="59">
        <v>628</v>
      </c>
      <c r="I143" s="59">
        <v>-564</v>
      </c>
      <c r="J143" s="59">
        <v>0</v>
      </c>
      <c r="K143" s="59">
        <v>0</v>
      </c>
      <c r="L143" s="59">
        <v>0</v>
      </c>
      <c r="M143" s="59">
        <v>0</v>
      </c>
      <c r="N143" s="59">
        <v>0</v>
      </c>
      <c r="O143" s="59">
        <v>0</v>
      </c>
      <c r="P143" s="59">
        <v>64</v>
      </c>
      <c r="Q143" s="59">
        <v>0</v>
      </c>
      <c r="R143" s="60">
        <v>37.552</v>
      </c>
      <c r="S143" s="61">
        <v>41.43</v>
      </c>
      <c r="T143" s="61">
        <v>44.25</v>
      </c>
      <c r="U143" s="61">
        <v>621.45000000000005</v>
      </c>
      <c r="V143" s="61">
        <v>0</v>
      </c>
      <c r="W143" s="61">
        <v>-23366.52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27224.83</v>
      </c>
      <c r="AE143" s="62">
        <v>0</v>
      </c>
      <c r="AF143" s="61">
        <v>563.28</v>
      </c>
      <c r="AG143" s="61">
        <v>0</v>
      </c>
      <c r="AH143" s="61">
        <v>27788.11</v>
      </c>
      <c r="AI143" s="61">
        <v>-24956.2</v>
      </c>
      <c r="AJ143" s="61">
        <v>0</v>
      </c>
      <c r="AK143" s="61">
        <v>0</v>
      </c>
      <c r="AL143" s="61">
        <v>0</v>
      </c>
      <c r="AM143" s="61">
        <v>0</v>
      </c>
      <c r="AN143" s="61">
        <v>0</v>
      </c>
      <c r="AO143" s="61">
        <v>0</v>
      </c>
      <c r="AP143" s="61">
        <v>2831.91</v>
      </c>
      <c r="AQ143" s="61">
        <v>0</v>
      </c>
      <c r="AR143" s="61">
        <v>0</v>
      </c>
      <c r="AS143" s="61">
        <v>-58.17</v>
      </c>
      <c r="AT143" s="61">
        <v>-1589.68</v>
      </c>
      <c r="AU143" s="61">
        <v>0</v>
      </c>
    </row>
    <row r="144" spans="1:47" x14ac:dyDescent="0.2">
      <c r="A144" s="58" t="s">
        <v>112</v>
      </c>
      <c r="B144" s="58" t="s">
        <v>359</v>
      </c>
      <c r="C144" s="58" t="s">
        <v>178</v>
      </c>
      <c r="D144" s="59">
        <v>925</v>
      </c>
      <c r="E144" s="59">
        <v>155</v>
      </c>
      <c r="F144" s="59">
        <v>15</v>
      </c>
      <c r="G144" s="59">
        <v>0</v>
      </c>
      <c r="H144" s="59">
        <v>940</v>
      </c>
      <c r="I144" s="59">
        <v>-796</v>
      </c>
      <c r="J144" s="59">
        <v>0</v>
      </c>
      <c r="K144" s="59">
        <v>0</v>
      </c>
      <c r="L144" s="59">
        <v>0</v>
      </c>
      <c r="M144" s="59">
        <v>0</v>
      </c>
      <c r="N144" s="59">
        <v>0</v>
      </c>
      <c r="O144" s="59">
        <v>0</v>
      </c>
      <c r="P144" s="59">
        <v>144</v>
      </c>
      <c r="Q144" s="59">
        <v>0</v>
      </c>
      <c r="R144" s="60">
        <v>32.787999999999997</v>
      </c>
      <c r="S144" s="61">
        <v>35.770000000000003</v>
      </c>
      <c r="T144" s="61">
        <v>39.83</v>
      </c>
      <c r="U144" s="61">
        <v>536.54999999999995</v>
      </c>
      <c r="V144" s="61">
        <v>0</v>
      </c>
      <c r="W144" s="61">
        <v>-28472.92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36949.75</v>
      </c>
      <c r="AE144" s="62">
        <v>0</v>
      </c>
      <c r="AF144" s="61">
        <v>491.82</v>
      </c>
      <c r="AG144" s="61">
        <v>0</v>
      </c>
      <c r="AH144" s="61">
        <v>37441.57</v>
      </c>
      <c r="AI144" s="61">
        <v>-31705.84</v>
      </c>
      <c r="AJ144" s="61">
        <v>0</v>
      </c>
      <c r="AK144" s="61">
        <v>0</v>
      </c>
      <c r="AL144" s="61">
        <v>0</v>
      </c>
      <c r="AM144" s="61">
        <v>0</v>
      </c>
      <c r="AN144" s="61">
        <v>0</v>
      </c>
      <c r="AO144" s="61">
        <v>0</v>
      </c>
      <c r="AP144" s="61">
        <v>5735.73</v>
      </c>
      <c r="AQ144" s="61">
        <v>0</v>
      </c>
      <c r="AR144" s="61">
        <v>0</v>
      </c>
      <c r="AS144" s="61">
        <v>-44.73</v>
      </c>
      <c r="AT144" s="61">
        <v>-3232.92</v>
      </c>
      <c r="AU144" s="61">
        <v>0</v>
      </c>
    </row>
    <row r="145" spans="1:47" x14ac:dyDescent="0.2">
      <c r="A145" s="58" t="s">
        <v>114</v>
      </c>
      <c r="B145" s="58" t="s">
        <v>360</v>
      </c>
      <c r="C145" s="58" t="s">
        <v>178</v>
      </c>
      <c r="D145" s="59">
        <v>292</v>
      </c>
      <c r="E145" s="59">
        <v>751</v>
      </c>
      <c r="F145" s="59">
        <v>202</v>
      </c>
      <c r="G145" s="59">
        <v>0</v>
      </c>
      <c r="H145" s="59">
        <v>494</v>
      </c>
      <c r="I145" s="59">
        <v>-465</v>
      </c>
      <c r="J145" s="59">
        <v>0</v>
      </c>
      <c r="K145" s="59">
        <v>0</v>
      </c>
      <c r="L145" s="59">
        <v>0</v>
      </c>
      <c r="M145" s="59">
        <v>0</v>
      </c>
      <c r="N145" s="59">
        <v>0</v>
      </c>
      <c r="O145" s="59">
        <v>0</v>
      </c>
      <c r="P145" s="59">
        <v>29</v>
      </c>
      <c r="Q145" s="59">
        <v>265</v>
      </c>
      <c r="R145" s="60">
        <v>32.808464999999998</v>
      </c>
      <c r="S145" s="61">
        <v>35.75</v>
      </c>
      <c r="T145" s="61">
        <v>35.32</v>
      </c>
      <c r="U145" s="61">
        <v>7221.5</v>
      </c>
      <c r="V145" s="61">
        <v>0</v>
      </c>
      <c r="W145" s="61">
        <v>-16623.75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10818.99</v>
      </c>
      <c r="AE145" s="62">
        <v>0</v>
      </c>
      <c r="AF145" s="61">
        <v>6627.31</v>
      </c>
      <c r="AG145" s="61">
        <v>0</v>
      </c>
      <c r="AH145" s="61">
        <v>17446.3</v>
      </c>
      <c r="AI145" s="61">
        <v>-16422.13</v>
      </c>
      <c r="AJ145" s="61">
        <v>0</v>
      </c>
      <c r="AK145" s="61">
        <v>0</v>
      </c>
      <c r="AL145" s="61">
        <v>0</v>
      </c>
      <c r="AM145" s="61">
        <v>0</v>
      </c>
      <c r="AN145" s="61">
        <v>0</v>
      </c>
      <c r="AO145" s="61">
        <v>0</v>
      </c>
      <c r="AP145" s="61">
        <v>1024.18</v>
      </c>
      <c r="AQ145" s="61">
        <v>0</v>
      </c>
      <c r="AR145" s="61">
        <v>9358.85</v>
      </c>
      <c r="AS145" s="61">
        <v>-594.19000000000005</v>
      </c>
      <c r="AT145" s="61">
        <v>201.62</v>
      </c>
      <c r="AU145" s="61">
        <v>0</v>
      </c>
    </row>
    <row r="146" spans="1:47" x14ac:dyDescent="0.2">
      <c r="A146" s="58" t="s">
        <v>361</v>
      </c>
      <c r="B146" s="58" t="s">
        <v>362</v>
      </c>
      <c r="C146" s="58" t="s">
        <v>178</v>
      </c>
      <c r="D146" s="59">
        <v>323</v>
      </c>
      <c r="E146" s="59">
        <v>74</v>
      </c>
      <c r="F146" s="59">
        <v>28</v>
      </c>
      <c r="G146" s="59">
        <v>0</v>
      </c>
      <c r="H146" s="59">
        <v>351</v>
      </c>
      <c r="I146" s="59">
        <v>-330</v>
      </c>
      <c r="J146" s="59">
        <v>0</v>
      </c>
      <c r="K146" s="59">
        <v>0</v>
      </c>
      <c r="L146" s="59">
        <v>0</v>
      </c>
      <c r="M146" s="59">
        <v>0</v>
      </c>
      <c r="N146" s="59">
        <v>0</v>
      </c>
      <c r="O146" s="59">
        <v>0</v>
      </c>
      <c r="P146" s="59">
        <v>21</v>
      </c>
      <c r="Q146" s="59">
        <v>0</v>
      </c>
      <c r="R146" s="60">
        <v>38.457500000000003</v>
      </c>
      <c r="S146" s="61">
        <v>42.56</v>
      </c>
      <c r="T146" s="61">
        <v>42.84</v>
      </c>
      <c r="U146" s="61">
        <v>1191.68</v>
      </c>
      <c r="V146" s="61">
        <v>0</v>
      </c>
      <c r="W146" s="61">
        <v>-14044.8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13958.48</v>
      </c>
      <c r="AE146" s="62">
        <v>0</v>
      </c>
      <c r="AF146" s="61">
        <v>1076.81</v>
      </c>
      <c r="AG146" s="61">
        <v>0</v>
      </c>
      <c r="AH146" s="61">
        <v>15035.29</v>
      </c>
      <c r="AI146" s="61">
        <v>-14135.75</v>
      </c>
      <c r="AJ146" s="61">
        <v>0</v>
      </c>
      <c r="AK146" s="61">
        <v>0</v>
      </c>
      <c r="AL146" s="61">
        <v>0</v>
      </c>
      <c r="AM146" s="61">
        <v>0</v>
      </c>
      <c r="AN146" s="61">
        <v>0</v>
      </c>
      <c r="AO146" s="61">
        <v>0</v>
      </c>
      <c r="AP146" s="61">
        <v>899.55</v>
      </c>
      <c r="AQ146" s="61">
        <v>0</v>
      </c>
      <c r="AR146" s="61">
        <v>0</v>
      </c>
      <c r="AS146" s="61">
        <v>-114.87</v>
      </c>
      <c r="AT146" s="61">
        <v>-90.95</v>
      </c>
      <c r="AU146" s="61">
        <v>0</v>
      </c>
    </row>
    <row r="147" spans="1:47" x14ac:dyDescent="0.2">
      <c r="A147" s="58" t="s">
        <v>363</v>
      </c>
      <c r="B147" s="58" t="s">
        <v>364</v>
      </c>
      <c r="C147" s="58" t="s">
        <v>178</v>
      </c>
      <c r="D147" s="59">
        <v>349</v>
      </c>
      <c r="E147" s="59">
        <v>0</v>
      </c>
      <c r="F147" s="59">
        <v>0</v>
      </c>
      <c r="G147" s="59">
        <v>0</v>
      </c>
      <c r="H147" s="59">
        <v>349</v>
      </c>
      <c r="I147" s="59">
        <v>0</v>
      </c>
      <c r="J147" s="59">
        <v>0</v>
      </c>
      <c r="K147" s="59">
        <v>0</v>
      </c>
      <c r="L147" s="59">
        <v>0</v>
      </c>
      <c r="M147" s="59">
        <v>0</v>
      </c>
      <c r="N147" s="59">
        <v>0</v>
      </c>
      <c r="O147" s="59">
        <v>0</v>
      </c>
      <c r="P147" s="59">
        <v>349</v>
      </c>
      <c r="Q147" s="59">
        <v>0</v>
      </c>
      <c r="R147" s="60">
        <v>0</v>
      </c>
      <c r="S147" s="61">
        <v>49.83</v>
      </c>
      <c r="T147" s="61">
        <v>45.19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15771.76</v>
      </c>
      <c r="AE147" s="62">
        <v>0</v>
      </c>
      <c r="AF147" s="61">
        <v>0</v>
      </c>
      <c r="AG147" s="61">
        <v>0</v>
      </c>
      <c r="AH147" s="61">
        <v>15771.76</v>
      </c>
      <c r="AI147" s="61">
        <v>0</v>
      </c>
      <c r="AJ147" s="61">
        <v>0</v>
      </c>
      <c r="AK147" s="61">
        <v>0</v>
      </c>
      <c r="AL147" s="61">
        <v>0</v>
      </c>
      <c r="AM147" s="61">
        <v>0</v>
      </c>
      <c r="AN147" s="61">
        <v>0</v>
      </c>
      <c r="AO147" s="61">
        <v>0</v>
      </c>
      <c r="AP147" s="61">
        <v>15771.76</v>
      </c>
      <c r="AQ147" s="61">
        <v>0</v>
      </c>
      <c r="AR147" s="61">
        <v>0</v>
      </c>
      <c r="AS147" s="61">
        <v>0</v>
      </c>
      <c r="AT147" s="61">
        <v>0</v>
      </c>
      <c r="AU147" s="61">
        <v>0</v>
      </c>
    </row>
    <row r="148" spans="1:47" x14ac:dyDescent="0.2">
      <c r="A148" s="58" t="s">
        <v>116</v>
      </c>
      <c r="B148" s="58" t="s">
        <v>365</v>
      </c>
      <c r="C148" s="58" t="s">
        <v>178</v>
      </c>
      <c r="D148" s="59">
        <v>2648</v>
      </c>
      <c r="E148" s="59">
        <v>0</v>
      </c>
      <c r="F148" s="59">
        <v>2577</v>
      </c>
      <c r="G148" s="59">
        <v>0</v>
      </c>
      <c r="H148" s="59">
        <v>5225</v>
      </c>
      <c r="I148" s="59">
        <v>-5030</v>
      </c>
      <c r="J148" s="59">
        <v>0</v>
      </c>
      <c r="K148" s="59">
        <v>0</v>
      </c>
      <c r="L148" s="59">
        <v>0</v>
      </c>
      <c r="M148" s="59">
        <v>0</v>
      </c>
      <c r="N148" s="59">
        <v>-30</v>
      </c>
      <c r="O148" s="59">
        <v>0</v>
      </c>
      <c r="P148" s="59">
        <v>165</v>
      </c>
      <c r="Q148" s="59">
        <v>0</v>
      </c>
      <c r="R148" s="60">
        <v>42.409075999999999</v>
      </c>
      <c r="S148" s="61">
        <v>46.73</v>
      </c>
      <c r="T148" s="61">
        <v>46.97</v>
      </c>
      <c r="U148" s="61">
        <v>120423.21</v>
      </c>
      <c r="V148" s="61">
        <v>0</v>
      </c>
      <c r="W148" s="61">
        <v>-235051.9</v>
      </c>
      <c r="X148" s="61">
        <v>0</v>
      </c>
      <c r="Y148" s="61">
        <v>0</v>
      </c>
      <c r="Z148" s="61">
        <v>0</v>
      </c>
      <c r="AA148" s="61">
        <v>0</v>
      </c>
      <c r="AB148" s="61">
        <v>-1401.9</v>
      </c>
      <c r="AC148" s="61">
        <v>0</v>
      </c>
      <c r="AD148" s="61">
        <v>136151.65</v>
      </c>
      <c r="AE148" s="62">
        <v>0</v>
      </c>
      <c r="AF148" s="61">
        <v>109288.19</v>
      </c>
      <c r="AG148" s="61">
        <v>0</v>
      </c>
      <c r="AH148" s="61">
        <v>245439.84</v>
      </c>
      <c r="AI148" s="61">
        <v>-236279.89</v>
      </c>
      <c r="AJ148" s="61">
        <v>0</v>
      </c>
      <c r="AK148" s="61">
        <v>0</v>
      </c>
      <c r="AL148" s="61">
        <v>0</v>
      </c>
      <c r="AM148" s="61">
        <v>0</v>
      </c>
      <c r="AN148" s="61">
        <v>-1409.22</v>
      </c>
      <c r="AO148" s="61">
        <v>0</v>
      </c>
      <c r="AP148" s="61">
        <v>7750.73</v>
      </c>
      <c r="AQ148" s="61">
        <v>0</v>
      </c>
      <c r="AR148" s="61">
        <v>0</v>
      </c>
      <c r="AS148" s="61">
        <v>-11135.02</v>
      </c>
      <c r="AT148" s="61">
        <v>-1227.99</v>
      </c>
      <c r="AU148" s="61">
        <v>0</v>
      </c>
    </row>
    <row r="149" spans="1:47" x14ac:dyDescent="0.2">
      <c r="A149" s="58" t="s">
        <v>118</v>
      </c>
      <c r="B149" s="58" t="s">
        <v>366</v>
      </c>
      <c r="C149" s="58" t="s">
        <v>178</v>
      </c>
      <c r="D149" s="59">
        <v>3846</v>
      </c>
      <c r="E149" s="59">
        <v>220</v>
      </c>
      <c r="F149" s="59">
        <v>216</v>
      </c>
      <c r="G149" s="59">
        <v>0</v>
      </c>
      <c r="H149" s="59">
        <v>4062</v>
      </c>
      <c r="I149" s="59">
        <v>-3457</v>
      </c>
      <c r="J149" s="59">
        <v>0</v>
      </c>
      <c r="K149" s="59">
        <v>0</v>
      </c>
      <c r="L149" s="59">
        <v>0</v>
      </c>
      <c r="M149" s="59">
        <v>0</v>
      </c>
      <c r="N149" s="59">
        <v>0</v>
      </c>
      <c r="O149" s="59">
        <v>0</v>
      </c>
      <c r="P149" s="59">
        <v>605</v>
      </c>
      <c r="Q149" s="59">
        <v>0</v>
      </c>
      <c r="R149" s="60">
        <v>33.326667</v>
      </c>
      <c r="S149" s="61">
        <v>36.86</v>
      </c>
      <c r="T149" s="61">
        <v>40.78</v>
      </c>
      <c r="U149" s="61">
        <v>7961.76</v>
      </c>
      <c r="V149" s="61">
        <v>0</v>
      </c>
      <c r="W149" s="61">
        <v>-127425.02</v>
      </c>
      <c r="X149" s="61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0</v>
      </c>
      <c r="AD149" s="61">
        <v>158432.23000000001</v>
      </c>
      <c r="AE149" s="62">
        <v>0</v>
      </c>
      <c r="AF149" s="61">
        <v>7198.56</v>
      </c>
      <c r="AG149" s="61">
        <v>0</v>
      </c>
      <c r="AH149" s="61">
        <v>165630.79</v>
      </c>
      <c r="AI149" s="61">
        <v>-140961.51</v>
      </c>
      <c r="AJ149" s="61">
        <v>0</v>
      </c>
      <c r="AK149" s="61">
        <v>0</v>
      </c>
      <c r="AL149" s="61">
        <v>0</v>
      </c>
      <c r="AM149" s="61">
        <v>0</v>
      </c>
      <c r="AN149" s="61">
        <v>0</v>
      </c>
      <c r="AO149" s="61">
        <v>0</v>
      </c>
      <c r="AP149" s="61">
        <v>24669.279999999999</v>
      </c>
      <c r="AQ149" s="61">
        <v>0</v>
      </c>
      <c r="AR149" s="61">
        <v>0</v>
      </c>
      <c r="AS149" s="61">
        <v>-763.2</v>
      </c>
      <c r="AT149" s="61">
        <v>-13536.49</v>
      </c>
      <c r="AU149" s="61">
        <v>0</v>
      </c>
    </row>
    <row r="150" spans="1:47" x14ac:dyDescent="0.2">
      <c r="A150" s="58" t="s">
        <v>367</v>
      </c>
      <c r="B150" s="58" t="s">
        <v>368</v>
      </c>
      <c r="C150" s="58" t="s">
        <v>178</v>
      </c>
      <c r="D150" s="59">
        <v>1855</v>
      </c>
      <c r="E150" s="59">
        <v>0</v>
      </c>
      <c r="F150" s="59">
        <v>2398</v>
      </c>
      <c r="G150" s="59">
        <v>0</v>
      </c>
      <c r="H150" s="59">
        <v>4253</v>
      </c>
      <c r="I150" s="59">
        <v>-3982</v>
      </c>
      <c r="J150" s="59">
        <v>0</v>
      </c>
      <c r="K150" s="59">
        <v>0</v>
      </c>
      <c r="L150" s="59">
        <v>0</v>
      </c>
      <c r="M150" s="59">
        <v>0</v>
      </c>
      <c r="N150" s="59">
        <v>0</v>
      </c>
      <c r="O150" s="59">
        <v>0</v>
      </c>
      <c r="P150" s="59">
        <v>271</v>
      </c>
      <c r="Q150" s="59">
        <v>0</v>
      </c>
      <c r="R150" s="60">
        <v>34.100850999999999</v>
      </c>
      <c r="S150" s="61">
        <v>37.799999999999997</v>
      </c>
      <c r="T150" s="61">
        <v>37.409999999999997</v>
      </c>
      <c r="U150" s="61">
        <v>90644.4</v>
      </c>
      <c r="V150" s="61">
        <v>0</v>
      </c>
      <c r="W150" s="61">
        <v>-150519.6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77331.649999999994</v>
      </c>
      <c r="AE150" s="62">
        <v>0</v>
      </c>
      <c r="AF150" s="61">
        <v>81773.84</v>
      </c>
      <c r="AG150" s="61">
        <v>0</v>
      </c>
      <c r="AH150" s="61">
        <v>159105.49</v>
      </c>
      <c r="AI150" s="61">
        <v>-148967.34</v>
      </c>
      <c r="AJ150" s="61">
        <v>0</v>
      </c>
      <c r="AK150" s="61">
        <v>0</v>
      </c>
      <c r="AL150" s="61">
        <v>0</v>
      </c>
      <c r="AM150" s="61">
        <v>0</v>
      </c>
      <c r="AN150" s="61">
        <v>0</v>
      </c>
      <c r="AO150" s="61">
        <v>0</v>
      </c>
      <c r="AP150" s="61">
        <v>10138.16</v>
      </c>
      <c r="AQ150" s="61">
        <v>0</v>
      </c>
      <c r="AR150" s="61">
        <v>0</v>
      </c>
      <c r="AS150" s="61">
        <v>-8870.56</v>
      </c>
      <c r="AT150" s="61">
        <v>1552.26</v>
      </c>
      <c r="AU150" s="61">
        <v>0</v>
      </c>
    </row>
    <row r="151" spans="1:47" x14ac:dyDescent="0.2">
      <c r="A151" s="58" t="s">
        <v>119</v>
      </c>
      <c r="B151" s="58" t="s">
        <v>369</v>
      </c>
      <c r="C151" s="58" t="s">
        <v>178</v>
      </c>
      <c r="D151" s="59">
        <v>96</v>
      </c>
      <c r="E151" s="59">
        <v>0</v>
      </c>
      <c r="F151" s="59">
        <v>2</v>
      </c>
      <c r="G151" s="59">
        <v>0</v>
      </c>
      <c r="H151" s="59">
        <v>98</v>
      </c>
      <c r="I151" s="59">
        <v>0</v>
      </c>
      <c r="J151" s="59">
        <v>0</v>
      </c>
      <c r="K151" s="59">
        <v>0</v>
      </c>
      <c r="L151" s="59">
        <v>0</v>
      </c>
      <c r="M151" s="59">
        <v>0</v>
      </c>
      <c r="N151" s="59">
        <v>0</v>
      </c>
      <c r="O151" s="59">
        <v>0</v>
      </c>
      <c r="P151" s="59">
        <v>98</v>
      </c>
      <c r="Q151" s="59">
        <v>0</v>
      </c>
      <c r="R151" s="60">
        <v>39.83</v>
      </c>
      <c r="S151" s="61">
        <v>43.34</v>
      </c>
      <c r="T151" s="61">
        <v>41.18</v>
      </c>
      <c r="U151" s="61">
        <v>86.68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3955.58</v>
      </c>
      <c r="AE151" s="62">
        <v>0</v>
      </c>
      <c r="AF151" s="61">
        <v>79.66</v>
      </c>
      <c r="AG151" s="61">
        <v>0</v>
      </c>
      <c r="AH151" s="61">
        <v>4035.24</v>
      </c>
      <c r="AI151" s="61">
        <v>0</v>
      </c>
      <c r="AJ151" s="61">
        <v>0</v>
      </c>
      <c r="AK151" s="61">
        <v>0</v>
      </c>
      <c r="AL151" s="61">
        <v>0</v>
      </c>
      <c r="AM151" s="61">
        <v>0</v>
      </c>
      <c r="AN151" s="61">
        <v>0</v>
      </c>
      <c r="AO151" s="61">
        <v>0</v>
      </c>
      <c r="AP151" s="61">
        <v>4035.24</v>
      </c>
      <c r="AQ151" s="61">
        <v>0</v>
      </c>
      <c r="AR151" s="61">
        <v>0</v>
      </c>
      <c r="AS151" s="61">
        <v>-7.02</v>
      </c>
      <c r="AT151" s="61">
        <v>0</v>
      </c>
      <c r="AU151" s="61">
        <v>0</v>
      </c>
    </row>
    <row r="152" spans="1:47" x14ac:dyDescent="0.2">
      <c r="A152" s="58" t="s">
        <v>370</v>
      </c>
      <c r="B152" s="58" t="s">
        <v>371</v>
      </c>
      <c r="C152" s="58" t="s">
        <v>178</v>
      </c>
      <c r="D152" s="59">
        <v>231</v>
      </c>
      <c r="E152" s="59">
        <v>0</v>
      </c>
      <c r="F152" s="59">
        <v>-1</v>
      </c>
      <c r="G152" s="59">
        <v>0</v>
      </c>
      <c r="H152" s="59">
        <v>230</v>
      </c>
      <c r="I152" s="59">
        <v>0</v>
      </c>
      <c r="J152" s="59">
        <v>0</v>
      </c>
      <c r="K152" s="59">
        <v>0</v>
      </c>
      <c r="L152" s="59">
        <v>0</v>
      </c>
      <c r="M152" s="59">
        <v>0</v>
      </c>
      <c r="N152" s="59">
        <v>0</v>
      </c>
      <c r="O152" s="59">
        <v>0</v>
      </c>
      <c r="P152" s="59">
        <v>230</v>
      </c>
      <c r="Q152" s="59">
        <v>0</v>
      </c>
      <c r="R152" s="60">
        <v>38.5</v>
      </c>
      <c r="S152" s="61">
        <v>40.44</v>
      </c>
      <c r="T152" s="61">
        <v>38.5</v>
      </c>
      <c r="U152" s="61">
        <v>-40.44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8893.39</v>
      </c>
      <c r="AE152" s="62">
        <v>0</v>
      </c>
      <c r="AF152" s="61">
        <v>-38.5</v>
      </c>
      <c r="AG152" s="61">
        <v>0</v>
      </c>
      <c r="AH152" s="61">
        <v>8854.89</v>
      </c>
      <c r="AI152" s="61">
        <v>0</v>
      </c>
      <c r="AJ152" s="61">
        <v>0</v>
      </c>
      <c r="AK152" s="61">
        <v>0</v>
      </c>
      <c r="AL152" s="61">
        <v>0</v>
      </c>
      <c r="AM152" s="61">
        <v>0</v>
      </c>
      <c r="AN152" s="61">
        <v>0</v>
      </c>
      <c r="AO152" s="61">
        <v>0</v>
      </c>
      <c r="AP152" s="61">
        <v>8854.89</v>
      </c>
      <c r="AQ152" s="61">
        <v>0</v>
      </c>
      <c r="AR152" s="61">
        <v>0</v>
      </c>
      <c r="AS152" s="61">
        <v>1.94</v>
      </c>
      <c r="AT152" s="61">
        <v>0</v>
      </c>
      <c r="AU152" s="61">
        <v>0</v>
      </c>
    </row>
    <row r="153" spans="1:47" x14ac:dyDescent="0.2">
      <c r="A153" s="58" t="s">
        <v>121</v>
      </c>
      <c r="B153" s="58" t="s">
        <v>372</v>
      </c>
      <c r="C153" s="58" t="s">
        <v>178</v>
      </c>
      <c r="D153" s="59">
        <v>205</v>
      </c>
      <c r="E153" s="59">
        <v>0</v>
      </c>
      <c r="F153" s="59">
        <v>1331</v>
      </c>
      <c r="G153" s="59">
        <v>0</v>
      </c>
      <c r="H153" s="59">
        <v>1536</v>
      </c>
      <c r="I153" s="59">
        <v>-340</v>
      </c>
      <c r="J153" s="59">
        <v>0</v>
      </c>
      <c r="K153" s="59">
        <v>0</v>
      </c>
      <c r="L153" s="59">
        <v>0</v>
      </c>
      <c r="M153" s="59">
        <v>0</v>
      </c>
      <c r="N153" s="59">
        <v>0</v>
      </c>
      <c r="O153" s="59">
        <v>0</v>
      </c>
      <c r="P153" s="59">
        <v>1196</v>
      </c>
      <c r="Q153" s="59">
        <v>0</v>
      </c>
      <c r="R153" s="60">
        <v>37.355943000000003</v>
      </c>
      <c r="S153" s="61">
        <v>40.619999999999997</v>
      </c>
      <c r="T153" s="61">
        <v>38.22</v>
      </c>
      <c r="U153" s="61">
        <v>54065.22</v>
      </c>
      <c r="V153" s="61">
        <v>0</v>
      </c>
      <c r="W153" s="61">
        <v>-13810.8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61">
        <v>8991.4699999999993</v>
      </c>
      <c r="AE153" s="62">
        <v>0</v>
      </c>
      <c r="AF153" s="61">
        <v>49720.76</v>
      </c>
      <c r="AG153" s="61">
        <v>0</v>
      </c>
      <c r="AH153" s="61">
        <v>58712.23</v>
      </c>
      <c r="AI153" s="61">
        <v>-12996.2</v>
      </c>
      <c r="AJ153" s="61">
        <v>0</v>
      </c>
      <c r="AK153" s="61">
        <v>0</v>
      </c>
      <c r="AL153" s="61">
        <v>0</v>
      </c>
      <c r="AM153" s="61">
        <v>0</v>
      </c>
      <c r="AN153" s="61">
        <v>0</v>
      </c>
      <c r="AO153" s="61">
        <v>0</v>
      </c>
      <c r="AP153" s="61">
        <v>45716.03</v>
      </c>
      <c r="AQ153" s="61">
        <v>0</v>
      </c>
      <c r="AR153" s="61">
        <v>0</v>
      </c>
      <c r="AS153" s="61">
        <v>-4344.46</v>
      </c>
      <c r="AT153" s="61">
        <v>814.6</v>
      </c>
      <c r="AU153" s="61">
        <v>0</v>
      </c>
    </row>
    <row r="154" spans="1:47" x14ac:dyDescent="0.2">
      <c r="A154" s="58" t="s">
        <v>373</v>
      </c>
      <c r="B154" s="58" t="s">
        <v>374</v>
      </c>
      <c r="C154" s="58" t="s">
        <v>178</v>
      </c>
      <c r="D154" s="59">
        <v>4731</v>
      </c>
      <c r="E154" s="59">
        <v>400</v>
      </c>
      <c r="F154" s="59">
        <v>2214</v>
      </c>
      <c r="G154" s="59">
        <v>0</v>
      </c>
      <c r="H154" s="59">
        <v>6945</v>
      </c>
      <c r="I154" s="59">
        <v>-6357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588</v>
      </c>
      <c r="Q154" s="59">
        <v>0</v>
      </c>
      <c r="R154" s="60">
        <v>41.256509000000001</v>
      </c>
      <c r="S154" s="61">
        <v>44.49</v>
      </c>
      <c r="T154" s="61">
        <v>46.65</v>
      </c>
      <c r="U154" s="61">
        <v>98500.86</v>
      </c>
      <c r="V154" s="61">
        <v>0</v>
      </c>
      <c r="W154" s="61">
        <v>-282822.93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0</v>
      </c>
      <c r="AD154" s="61">
        <v>232651.41</v>
      </c>
      <c r="AE154" s="62">
        <v>0</v>
      </c>
      <c r="AF154" s="61">
        <v>91341.91</v>
      </c>
      <c r="AG154" s="61">
        <v>0</v>
      </c>
      <c r="AH154" s="61">
        <v>323993.32</v>
      </c>
      <c r="AI154" s="61">
        <v>-296562.34999999998</v>
      </c>
      <c r="AJ154" s="61">
        <v>0</v>
      </c>
      <c r="AK154" s="61">
        <v>0</v>
      </c>
      <c r="AL154" s="61">
        <v>0</v>
      </c>
      <c r="AM154" s="61">
        <v>0</v>
      </c>
      <c r="AN154" s="61">
        <v>0</v>
      </c>
      <c r="AO154" s="61">
        <v>0</v>
      </c>
      <c r="AP154" s="61">
        <v>27430.97</v>
      </c>
      <c r="AQ154" s="61">
        <v>0</v>
      </c>
      <c r="AR154" s="61">
        <v>0</v>
      </c>
      <c r="AS154" s="61">
        <v>-7158.95</v>
      </c>
      <c r="AT154" s="61">
        <v>-13739.42</v>
      </c>
      <c r="AU154" s="61">
        <v>0</v>
      </c>
    </row>
    <row r="155" spans="1:47" x14ac:dyDescent="0.2">
      <c r="A155" s="58" t="s">
        <v>123</v>
      </c>
      <c r="B155" s="58" t="s">
        <v>375</v>
      </c>
      <c r="C155" s="58" t="s">
        <v>178</v>
      </c>
      <c r="D155" s="59">
        <v>1749</v>
      </c>
      <c r="E155" s="59">
        <v>1211</v>
      </c>
      <c r="F155" s="59">
        <v>70</v>
      </c>
      <c r="G155" s="59">
        <v>0</v>
      </c>
      <c r="H155" s="59">
        <v>1819</v>
      </c>
      <c r="I155" s="59">
        <v>-1599</v>
      </c>
      <c r="J155" s="59">
        <v>0</v>
      </c>
      <c r="K155" s="59">
        <v>0</v>
      </c>
      <c r="L155" s="59">
        <v>0</v>
      </c>
      <c r="M155" s="59">
        <v>0</v>
      </c>
      <c r="N155" s="59">
        <v>0</v>
      </c>
      <c r="O155" s="59">
        <v>0</v>
      </c>
      <c r="P155" s="59">
        <v>220</v>
      </c>
      <c r="Q155" s="59">
        <v>0</v>
      </c>
      <c r="R155" s="60">
        <v>39.118856999999998</v>
      </c>
      <c r="S155" s="61">
        <v>42.42</v>
      </c>
      <c r="T155" s="61">
        <v>46.88</v>
      </c>
      <c r="U155" s="61">
        <v>2969.4</v>
      </c>
      <c r="V155" s="61">
        <v>0</v>
      </c>
      <c r="W155" s="61">
        <v>-67829.58</v>
      </c>
      <c r="X155" s="61">
        <v>0</v>
      </c>
      <c r="Y155" s="61">
        <v>0</v>
      </c>
      <c r="Z155" s="61">
        <v>0</v>
      </c>
      <c r="AA155" s="61">
        <v>0</v>
      </c>
      <c r="AB155" s="61">
        <v>0</v>
      </c>
      <c r="AC155" s="61">
        <v>0</v>
      </c>
      <c r="AD155" s="61">
        <v>82541.070000000007</v>
      </c>
      <c r="AE155" s="62">
        <v>0</v>
      </c>
      <c r="AF155" s="61">
        <v>2738.32</v>
      </c>
      <c r="AG155" s="61">
        <v>0</v>
      </c>
      <c r="AH155" s="61">
        <v>85279.39</v>
      </c>
      <c r="AI155" s="61">
        <v>-74965.23</v>
      </c>
      <c r="AJ155" s="61">
        <v>0</v>
      </c>
      <c r="AK155" s="61">
        <v>0</v>
      </c>
      <c r="AL155" s="61">
        <v>0</v>
      </c>
      <c r="AM155" s="61">
        <v>0</v>
      </c>
      <c r="AN155" s="61">
        <v>0</v>
      </c>
      <c r="AO155" s="61">
        <v>0</v>
      </c>
      <c r="AP155" s="61">
        <v>10314.16</v>
      </c>
      <c r="AQ155" s="61">
        <v>0</v>
      </c>
      <c r="AR155" s="61">
        <v>0</v>
      </c>
      <c r="AS155" s="61">
        <v>-231.08</v>
      </c>
      <c r="AT155" s="61">
        <v>-7135.65</v>
      </c>
      <c r="AU155" s="61">
        <v>0</v>
      </c>
    </row>
    <row r="156" spans="1:47" x14ac:dyDescent="0.2">
      <c r="A156" s="58" t="s">
        <v>376</v>
      </c>
      <c r="B156" s="58" t="s">
        <v>377</v>
      </c>
      <c r="C156" s="58" t="s">
        <v>178</v>
      </c>
      <c r="D156" s="59">
        <v>100</v>
      </c>
      <c r="E156" s="59">
        <v>0</v>
      </c>
      <c r="F156" s="59">
        <v>0</v>
      </c>
      <c r="G156" s="59">
        <v>0</v>
      </c>
      <c r="H156" s="59">
        <v>100</v>
      </c>
      <c r="I156" s="59">
        <v>0</v>
      </c>
      <c r="J156" s="59">
        <v>0</v>
      </c>
      <c r="K156" s="59">
        <v>0</v>
      </c>
      <c r="L156" s="59">
        <v>0</v>
      </c>
      <c r="M156" s="59">
        <v>0</v>
      </c>
      <c r="N156" s="59">
        <v>0</v>
      </c>
      <c r="O156" s="59">
        <v>0</v>
      </c>
      <c r="P156" s="59">
        <v>100</v>
      </c>
      <c r="Q156" s="59">
        <v>0</v>
      </c>
      <c r="R156" s="60">
        <v>0</v>
      </c>
      <c r="S156" s="61">
        <v>46.01</v>
      </c>
      <c r="T156" s="61">
        <v>41.06</v>
      </c>
      <c r="U156" s="61">
        <v>0</v>
      </c>
      <c r="V156" s="61">
        <v>0</v>
      </c>
      <c r="W156" s="61">
        <v>0</v>
      </c>
      <c r="X156" s="61">
        <v>0</v>
      </c>
      <c r="Y156" s="61">
        <v>0</v>
      </c>
      <c r="Z156" s="61">
        <v>0</v>
      </c>
      <c r="AA156" s="61">
        <v>0</v>
      </c>
      <c r="AB156" s="61">
        <v>0</v>
      </c>
      <c r="AC156" s="61">
        <v>0</v>
      </c>
      <c r="AD156" s="61">
        <v>4106.3</v>
      </c>
      <c r="AE156" s="62">
        <v>0</v>
      </c>
      <c r="AF156" s="61">
        <v>0</v>
      </c>
      <c r="AG156" s="61">
        <v>0</v>
      </c>
      <c r="AH156" s="61">
        <v>4106.3</v>
      </c>
      <c r="AI156" s="61">
        <v>0</v>
      </c>
      <c r="AJ156" s="61">
        <v>0</v>
      </c>
      <c r="AK156" s="61">
        <v>0</v>
      </c>
      <c r="AL156" s="61">
        <v>0</v>
      </c>
      <c r="AM156" s="61">
        <v>0</v>
      </c>
      <c r="AN156" s="61">
        <v>0</v>
      </c>
      <c r="AO156" s="61">
        <v>0</v>
      </c>
      <c r="AP156" s="61">
        <v>4106.3</v>
      </c>
      <c r="AQ156" s="61">
        <v>0</v>
      </c>
      <c r="AR156" s="61">
        <v>0</v>
      </c>
      <c r="AS156" s="61">
        <v>0</v>
      </c>
      <c r="AT156" s="61">
        <v>0</v>
      </c>
      <c r="AU156" s="61">
        <v>0</v>
      </c>
    </row>
    <row r="157" spans="1:47" x14ac:dyDescent="0.2">
      <c r="A157" s="58" t="s">
        <v>425</v>
      </c>
      <c r="B157" s="58" t="s">
        <v>426</v>
      </c>
      <c r="C157" s="58" t="s">
        <v>178</v>
      </c>
      <c r="D157" s="59">
        <v>687</v>
      </c>
      <c r="E157" s="59">
        <v>0</v>
      </c>
      <c r="F157" s="59">
        <v>4349</v>
      </c>
      <c r="G157" s="59">
        <v>0</v>
      </c>
      <c r="H157" s="59">
        <v>5036</v>
      </c>
      <c r="I157" s="59">
        <v>-3550</v>
      </c>
      <c r="J157" s="59">
        <v>0</v>
      </c>
      <c r="K157" s="59">
        <v>0</v>
      </c>
      <c r="L157" s="59">
        <v>0</v>
      </c>
      <c r="M157" s="59">
        <v>0</v>
      </c>
      <c r="N157" s="59">
        <v>0</v>
      </c>
      <c r="O157" s="59">
        <v>0</v>
      </c>
      <c r="P157" s="59">
        <v>1486</v>
      </c>
      <c r="Q157" s="59">
        <v>165</v>
      </c>
      <c r="R157" s="60">
        <v>45.973286000000002</v>
      </c>
      <c r="S157" s="61">
        <v>49.69</v>
      </c>
      <c r="T157" s="61">
        <v>47.44</v>
      </c>
      <c r="U157" s="61">
        <v>216101.81</v>
      </c>
      <c r="V157" s="61">
        <v>0</v>
      </c>
      <c r="W157" s="61">
        <v>-176399.5</v>
      </c>
      <c r="X157" s="61">
        <v>0</v>
      </c>
      <c r="Y157" s="61">
        <v>0</v>
      </c>
      <c r="Z157" s="61">
        <v>0</v>
      </c>
      <c r="AA157" s="61">
        <v>0</v>
      </c>
      <c r="AB157" s="61">
        <v>0</v>
      </c>
      <c r="AC157" s="61">
        <v>0</v>
      </c>
      <c r="AD157" s="61">
        <v>38966.94</v>
      </c>
      <c r="AE157" s="62">
        <v>0</v>
      </c>
      <c r="AF157" s="61">
        <v>199937.82</v>
      </c>
      <c r="AG157" s="61">
        <v>0</v>
      </c>
      <c r="AH157" s="61">
        <v>238904.76</v>
      </c>
      <c r="AI157" s="61">
        <v>-168409.83</v>
      </c>
      <c r="AJ157" s="61">
        <v>0</v>
      </c>
      <c r="AK157" s="61">
        <v>0</v>
      </c>
      <c r="AL157" s="61">
        <v>0</v>
      </c>
      <c r="AM157" s="61">
        <v>0</v>
      </c>
      <c r="AN157" s="61">
        <v>0</v>
      </c>
      <c r="AO157" s="61">
        <v>0</v>
      </c>
      <c r="AP157" s="61">
        <v>70494.929999999993</v>
      </c>
      <c r="AQ157" s="61">
        <v>0</v>
      </c>
      <c r="AR157" s="61">
        <v>7827.5</v>
      </c>
      <c r="AS157" s="61">
        <v>-16163.99</v>
      </c>
      <c r="AT157" s="61">
        <v>7989.67</v>
      </c>
      <c r="AU157" s="61">
        <v>0</v>
      </c>
    </row>
    <row r="158" spans="1:47" x14ac:dyDescent="0.2">
      <c r="A158" s="58" t="s">
        <v>427</v>
      </c>
      <c r="B158" s="58" t="s">
        <v>428</v>
      </c>
      <c r="C158" s="58" t="s">
        <v>178</v>
      </c>
      <c r="D158" s="59">
        <v>561</v>
      </c>
      <c r="E158" s="59">
        <v>80</v>
      </c>
      <c r="F158" s="59">
        <v>293</v>
      </c>
      <c r="G158" s="59">
        <v>0</v>
      </c>
      <c r="H158" s="59">
        <v>854</v>
      </c>
      <c r="I158" s="59">
        <v>-550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304</v>
      </c>
      <c r="Q158" s="59">
        <v>0</v>
      </c>
      <c r="R158" s="60">
        <v>34.179625000000001</v>
      </c>
      <c r="S158" s="61">
        <v>37.61</v>
      </c>
      <c r="T158" s="61">
        <v>39.25</v>
      </c>
      <c r="U158" s="61">
        <v>11019.73</v>
      </c>
      <c r="V158" s="61">
        <v>0</v>
      </c>
      <c r="W158" s="61">
        <v>-20685.5</v>
      </c>
      <c r="X158" s="61">
        <v>0</v>
      </c>
      <c r="Y158" s="61">
        <v>0</v>
      </c>
      <c r="Z158" s="61">
        <v>0</v>
      </c>
      <c r="AA158" s="61">
        <v>0</v>
      </c>
      <c r="AB158" s="61">
        <v>0</v>
      </c>
      <c r="AC158" s="61">
        <v>0</v>
      </c>
      <c r="AD158" s="61">
        <v>23505.42</v>
      </c>
      <c r="AE158" s="62">
        <v>0</v>
      </c>
      <c r="AF158" s="61">
        <v>10014.629999999999</v>
      </c>
      <c r="AG158" s="61">
        <v>0</v>
      </c>
      <c r="AH158" s="61">
        <v>33520.050000000003</v>
      </c>
      <c r="AI158" s="61">
        <v>-21587.85</v>
      </c>
      <c r="AJ158" s="61">
        <v>0</v>
      </c>
      <c r="AK158" s="61">
        <v>0</v>
      </c>
      <c r="AL158" s="61">
        <v>0</v>
      </c>
      <c r="AM158" s="61">
        <v>0</v>
      </c>
      <c r="AN158" s="61">
        <v>0</v>
      </c>
      <c r="AO158" s="61">
        <v>0</v>
      </c>
      <c r="AP158" s="61">
        <v>11932.19</v>
      </c>
      <c r="AQ158" s="61">
        <v>0</v>
      </c>
      <c r="AR158" s="61">
        <v>0</v>
      </c>
      <c r="AS158" s="61">
        <v>-1005.1</v>
      </c>
      <c r="AT158" s="61">
        <v>-902.35</v>
      </c>
      <c r="AU158" s="61">
        <v>0</v>
      </c>
    </row>
    <row r="159" spans="1:47" x14ac:dyDescent="0.2">
      <c r="A159" s="58" t="s">
        <v>429</v>
      </c>
      <c r="B159" s="58" t="s">
        <v>430</v>
      </c>
      <c r="C159" s="58" t="s">
        <v>178</v>
      </c>
      <c r="D159" s="59">
        <v>500</v>
      </c>
      <c r="E159" s="59">
        <v>550</v>
      </c>
      <c r="F159" s="59">
        <v>18</v>
      </c>
      <c r="G159" s="59">
        <v>0</v>
      </c>
      <c r="H159" s="59">
        <v>518</v>
      </c>
      <c r="I159" s="59">
        <v>0</v>
      </c>
      <c r="J159" s="59">
        <v>0</v>
      </c>
      <c r="K159" s="59">
        <v>0</v>
      </c>
      <c r="L159" s="59">
        <v>0</v>
      </c>
      <c r="M159" s="59">
        <v>0</v>
      </c>
      <c r="N159" s="59">
        <v>0</v>
      </c>
      <c r="O159" s="59">
        <v>0</v>
      </c>
      <c r="P159" s="59">
        <v>518</v>
      </c>
      <c r="Q159" s="59">
        <v>0</v>
      </c>
      <c r="R159" s="60">
        <v>35.176667000000002</v>
      </c>
      <c r="S159" s="61">
        <v>38.82</v>
      </c>
      <c r="T159" s="61">
        <v>40.74</v>
      </c>
      <c r="U159" s="61">
        <v>698.76</v>
      </c>
      <c r="V159" s="61">
        <v>0</v>
      </c>
      <c r="W159" s="61">
        <v>0</v>
      </c>
      <c r="X159" s="61">
        <v>0</v>
      </c>
      <c r="Y159" s="61">
        <v>0</v>
      </c>
      <c r="Z159" s="61">
        <v>0</v>
      </c>
      <c r="AA159" s="61">
        <v>0</v>
      </c>
      <c r="AB159" s="61">
        <v>0</v>
      </c>
      <c r="AC159" s="61">
        <v>0</v>
      </c>
      <c r="AD159" s="61">
        <v>20470.009999999998</v>
      </c>
      <c r="AE159" s="62">
        <v>0</v>
      </c>
      <c r="AF159" s="61">
        <v>633.17999999999995</v>
      </c>
      <c r="AG159" s="61">
        <v>0</v>
      </c>
      <c r="AH159" s="61">
        <v>21103.19</v>
      </c>
      <c r="AI159" s="61">
        <v>0</v>
      </c>
      <c r="AJ159" s="61">
        <v>0</v>
      </c>
      <c r="AK159" s="61">
        <v>0</v>
      </c>
      <c r="AL159" s="61">
        <v>0</v>
      </c>
      <c r="AM159" s="61">
        <v>0</v>
      </c>
      <c r="AN159" s="61">
        <v>0</v>
      </c>
      <c r="AO159" s="61">
        <v>0</v>
      </c>
      <c r="AP159" s="61">
        <v>21103.19</v>
      </c>
      <c r="AQ159" s="61">
        <v>0</v>
      </c>
      <c r="AR159" s="61">
        <v>0</v>
      </c>
      <c r="AS159" s="61">
        <v>-65.58</v>
      </c>
      <c r="AT159" s="61">
        <v>0</v>
      </c>
      <c r="AU159" s="61">
        <v>0</v>
      </c>
    </row>
    <row r="160" spans="1:47" x14ac:dyDescent="0.2">
      <c r="A160" s="58" t="s">
        <v>431</v>
      </c>
      <c r="B160" s="58" t="s">
        <v>432</v>
      </c>
      <c r="C160" s="58" t="s">
        <v>178</v>
      </c>
      <c r="D160" s="59">
        <v>161</v>
      </c>
      <c r="E160" s="59">
        <v>0</v>
      </c>
      <c r="F160" s="59">
        <v>5</v>
      </c>
      <c r="G160" s="59">
        <v>0</v>
      </c>
      <c r="H160" s="59">
        <v>166</v>
      </c>
      <c r="I160" s="59">
        <v>-25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141</v>
      </c>
      <c r="Q160" s="59">
        <v>0</v>
      </c>
      <c r="R160" s="60">
        <v>36.979999999999997</v>
      </c>
      <c r="S160" s="61">
        <v>40.090000000000003</v>
      </c>
      <c r="T160" s="61">
        <v>39.31</v>
      </c>
      <c r="U160" s="61">
        <v>200.45</v>
      </c>
      <c r="V160" s="61">
        <v>0</v>
      </c>
      <c r="W160" s="61">
        <v>-1002.25</v>
      </c>
      <c r="X160" s="61">
        <v>0</v>
      </c>
      <c r="Y160" s="61">
        <v>0</v>
      </c>
      <c r="Z160" s="61">
        <v>0</v>
      </c>
      <c r="AA160" s="61">
        <v>0</v>
      </c>
      <c r="AB160" s="61">
        <v>0</v>
      </c>
      <c r="AC160" s="61">
        <v>0</v>
      </c>
      <c r="AD160" s="61">
        <v>6341.26</v>
      </c>
      <c r="AE160" s="62">
        <v>0</v>
      </c>
      <c r="AF160" s="61">
        <v>184.9</v>
      </c>
      <c r="AG160" s="61">
        <v>0</v>
      </c>
      <c r="AH160" s="61">
        <v>6526.16</v>
      </c>
      <c r="AI160" s="61">
        <v>-982.86</v>
      </c>
      <c r="AJ160" s="61">
        <v>0</v>
      </c>
      <c r="AK160" s="61">
        <v>0</v>
      </c>
      <c r="AL160" s="61">
        <v>0</v>
      </c>
      <c r="AM160" s="61">
        <v>0</v>
      </c>
      <c r="AN160" s="61">
        <v>0</v>
      </c>
      <c r="AO160" s="61">
        <v>0</v>
      </c>
      <c r="AP160" s="61">
        <v>5543.3</v>
      </c>
      <c r="AQ160" s="61">
        <v>0</v>
      </c>
      <c r="AR160" s="61">
        <v>0</v>
      </c>
      <c r="AS160" s="61">
        <v>-15.55</v>
      </c>
      <c r="AT160" s="61">
        <v>19.399999999999999</v>
      </c>
      <c r="AU160" s="61">
        <v>0</v>
      </c>
    </row>
    <row r="161" spans="1:47" x14ac:dyDescent="0.2">
      <c r="A161" s="58" t="s">
        <v>433</v>
      </c>
      <c r="B161" s="58" t="s">
        <v>434</v>
      </c>
      <c r="C161" s="58" t="s">
        <v>178</v>
      </c>
      <c r="D161" s="59">
        <v>70</v>
      </c>
      <c r="E161" s="59">
        <v>0</v>
      </c>
      <c r="F161" s="59">
        <v>0</v>
      </c>
      <c r="G161" s="59">
        <v>0</v>
      </c>
      <c r="H161" s="59">
        <v>70</v>
      </c>
      <c r="I161" s="59">
        <v>0</v>
      </c>
      <c r="J161" s="59">
        <v>0</v>
      </c>
      <c r="K161" s="59">
        <v>0</v>
      </c>
      <c r="L161" s="59">
        <v>0</v>
      </c>
      <c r="M161" s="59">
        <v>0</v>
      </c>
      <c r="N161" s="59">
        <v>0</v>
      </c>
      <c r="O161" s="59">
        <v>0</v>
      </c>
      <c r="P161" s="59">
        <v>70</v>
      </c>
      <c r="Q161" s="59">
        <v>0</v>
      </c>
      <c r="R161" s="60">
        <v>0</v>
      </c>
      <c r="S161" s="61">
        <v>39.159999999999997</v>
      </c>
      <c r="T161" s="61">
        <v>37.81</v>
      </c>
      <c r="U161" s="61">
        <v>0</v>
      </c>
      <c r="V161" s="61">
        <v>0</v>
      </c>
      <c r="W161" s="61">
        <v>0</v>
      </c>
      <c r="X161" s="61">
        <v>0</v>
      </c>
      <c r="Y161" s="61">
        <v>0</v>
      </c>
      <c r="Z161" s="61">
        <v>0</v>
      </c>
      <c r="AA161" s="61">
        <v>0</v>
      </c>
      <c r="AB161" s="61">
        <v>0</v>
      </c>
      <c r="AC161" s="61">
        <v>0</v>
      </c>
      <c r="AD161" s="61">
        <v>2647.03</v>
      </c>
      <c r="AE161" s="62">
        <v>0</v>
      </c>
      <c r="AF161" s="61">
        <v>0</v>
      </c>
      <c r="AG161" s="61">
        <v>0</v>
      </c>
      <c r="AH161" s="61">
        <v>2647.03</v>
      </c>
      <c r="AI161" s="61">
        <v>0</v>
      </c>
      <c r="AJ161" s="61">
        <v>0</v>
      </c>
      <c r="AK161" s="61">
        <v>0</v>
      </c>
      <c r="AL161" s="61">
        <v>0</v>
      </c>
      <c r="AM161" s="61">
        <v>0</v>
      </c>
      <c r="AN161" s="61">
        <v>0</v>
      </c>
      <c r="AO161" s="61">
        <v>0</v>
      </c>
      <c r="AP161" s="61">
        <v>2647.03</v>
      </c>
      <c r="AQ161" s="61">
        <v>0</v>
      </c>
      <c r="AR161" s="61">
        <v>0</v>
      </c>
      <c r="AS161" s="61">
        <v>0</v>
      </c>
      <c r="AT161" s="61">
        <v>0</v>
      </c>
      <c r="AU161" s="61">
        <v>0</v>
      </c>
    </row>
    <row r="162" spans="1:47" x14ac:dyDescent="0.2">
      <c r="A162" s="58" t="s">
        <v>452</v>
      </c>
      <c r="B162" s="58" t="s">
        <v>453</v>
      </c>
      <c r="C162" s="58" t="s">
        <v>178</v>
      </c>
      <c r="D162" s="59">
        <v>104</v>
      </c>
      <c r="E162" s="59">
        <v>0</v>
      </c>
      <c r="F162" s="59">
        <v>0</v>
      </c>
      <c r="G162" s="59">
        <v>0</v>
      </c>
      <c r="H162" s="59">
        <v>104</v>
      </c>
      <c r="I162" s="59">
        <v>0</v>
      </c>
      <c r="J162" s="59">
        <v>0</v>
      </c>
      <c r="K162" s="59">
        <v>0</v>
      </c>
      <c r="L162" s="59">
        <v>0</v>
      </c>
      <c r="M162" s="59">
        <v>0</v>
      </c>
      <c r="N162" s="59">
        <v>0</v>
      </c>
      <c r="O162" s="59">
        <v>0</v>
      </c>
      <c r="P162" s="59">
        <v>104</v>
      </c>
      <c r="Q162" s="59">
        <v>0</v>
      </c>
      <c r="R162" s="60">
        <v>0</v>
      </c>
      <c r="S162" s="61">
        <v>47.34</v>
      </c>
      <c r="T162" s="61">
        <v>43.46</v>
      </c>
      <c r="U162" s="61">
        <v>0</v>
      </c>
      <c r="V162" s="61">
        <v>0</v>
      </c>
      <c r="W162" s="61">
        <v>0</v>
      </c>
      <c r="X162" s="61">
        <v>0</v>
      </c>
      <c r="Y162" s="61">
        <v>0</v>
      </c>
      <c r="Z162" s="61">
        <v>0</v>
      </c>
      <c r="AA162" s="61">
        <v>0</v>
      </c>
      <c r="AB162" s="61">
        <v>0</v>
      </c>
      <c r="AC162" s="61">
        <v>0</v>
      </c>
      <c r="AD162" s="61">
        <v>4519.41</v>
      </c>
      <c r="AE162" s="62">
        <v>0</v>
      </c>
      <c r="AF162" s="61">
        <v>0</v>
      </c>
      <c r="AG162" s="61">
        <v>0</v>
      </c>
      <c r="AH162" s="61">
        <v>4519.41</v>
      </c>
      <c r="AI162" s="61">
        <v>0</v>
      </c>
      <c r="AJ162" s="61">
        <v>0</v>
      </c>
      <c r="AK162" s="61">
        <v>0</v>
      </c>
      <c r="AL162" s="61">
        <v>0</v>
      </c>
      <c r="AM162" s="61">
        <v>0</v>
      </c>
      <c r="AN162" s="61">
        <v>0</v>
      </c>
      <c r="AO162" s="61">
        <v>0</v>
      </c>
      <c r="AP162" s="61">
        <v>4519.41</v>
      </c>
      <c r="AQ162" s="61">
        <v>0</v>
      </c>
      <c r="AR162" s="61">
        <v>0</v>
      </c>
      <c r="AS162" s="61">
        <v>0</v>
      </c>
      <c r="AT162" s="61">
        <v>0</v>
      </c>
      <c r="AU162" s="61">
        <v>0</v>
      </c>
    </row>
    <row r="163" spans="1:47" x14ac:dyDescent="0.2">
      <c r="A163" s="58" t="s">
        <v>454</v>
      </c>
      <c r="B163" s="58" t="s">
        <v>455</v>
      </c>
      <c r="C163" s="58" t="s">
        <v>178</v>
      </c>
      <c r="D163" s="59">
        <v>91</v>
      </c>
      <c r="E163" s="59">
        <v>0</v>
      </c>
      <c r="F163" s="59">
        <v>2</v>
      </c>
      <c r="G163" s="59">
        <v>0</v>
      </c>
      <c r="H163" s="59">
        <v>93</v>
      </c>
      <c r="I163" s="59">
        <v>0</v>
      </c>
      <c r="J163" s="59">
        <v>0</v>
      </c>
      <c r="K163" s="59">
        <v>0</v>
      </c>
      <c r="L163" s="59">
        <v>0</v>
      </c>
      <c r="M163" s="59">
        <v>0</v>
      </c>
      <c r="N163" s="59">
        <v>0</v>
      </c>
      <c r="O163" s="59">
        <v>0</v>
      </c>
      <c r="P163" s="59">
        <v>93</v>
      </c>
      <c r="Q163" s="59">
        <v>0</v>
      </c>
      <c r="R163" s="60">
        <v>41.854999999999997</v>
      </c>
      <c r="S163" s="61">
        <v>45.5</v>
      </c>
      <c r="T163" s="61">
        <v>43.69</v>
      </c>
      <c r="U163" s="61">
        <v>91</v>
      </c>
      <c r="V163" s="61">
        <v>0</v>
      </c>
      <c r="W163" s="61">
        <v>0</v>
      </c>
      <c r="X163" s="61">
        <v>0</v>
      </c>
      <c r="Y163" s="61">
        <v>0</v>
      </c>
      <c r="Z163" s="61">
        <v>0</v>
      </c>
      <c r="AA163" s="61">
        <v>0</v>
      </c>
      <c r="AB163" s="61">
        <v>0</v>
      </c>
      <c r="AC163" s="61">
        <v>0</v>
      </c>
      <c r="AD163" s="61">
        <v>3979.81</v>
      </c>
      <c r="AE163" s="62">
        <v>0</v>
      </c>
      <c r="AF163" s="61">
        <v>83.71</v>
      </c>
      <c r="AG163" s="61">
        <v>0</v>
      </c>
      <c r="AH163" s="61">
        <v>4063.52</v>
      </c>
      <c r="AI163" s="61">
        <v>0</v>
      </c>
      <c r="AJ163" s="61">
        <v>0</v>
      </c>
      <c r="AK163" s="61">
        <v>0</v>
      </c>
      <c r="AL163" s="61">
        <v>0</v>
      </c>
      <c r="AM163" s="61">
        <v>0</v>
      </c>
      <c r="AN163" s="61">
        <v>0</v>
      </c>
      <c r="AO163" s="61">
        <v>0</v>
      </c>
      <c r="AP163" s="61">
        <v>4063.52</v>
      </c>
      <c r="AQ163" s="61">
        <v>0</v>
      </c>
      <c r="AR163" s="61">
        <v>0</v>
      </c>
      <c r="AS163" s="61">
        <v>-7.29</v>
      </c>
      <c r="AT163" s="61">
        <v>0</v>
      </c>
      <c r="AU163" s="61">
        <v>0</v>
      </c>
    </row>
    <row r="164" spans="1:47" x14ac:dyDescent="0.2">
      <c r="A164" s="58" t="s">
        <v>560</v>
      </c>
      <c r="B164" s="58" t="s">
        <v>561</v>
      </c>
      <c r="C164" s="58" t="s">
        <v>178</v>
      </c>
      <c r="D164" s="59">
        <v>0</v>
      </c>
      <c r="E164" s="59">
        <v>0</v>
      </c>
      <c r="F164" s="59">
        <v>1600</v>
      </c>
      <c r="G164" s="59">
        <v>0</v>
      </c>
      <c r="H164" s="59">
        <v>1600</v>
      </c>
      <c r="I164" s="59">
        <v>0</v>
      </c>
      <c r="J164" s="59">
        <v>0</v>
      </c>
      <c r="K164" s="59">
        <v>0</v>
      </c>
      <c r="L164" s="59">
        <v>0</v>
      </c>
      <c r="M164" s="59">
        <v>0</v>
      </c>
      <c r="N164" s="59">
        <v>0</v>
      </c>
      <c r="O164" s="59">
        <v>0</v>
      </c>
      <c r="P164" s="59">
        <v>1600</v>
      </c>
      <c r="Q164" s="59">
        <v>0</v>
      </c>
      <c r="R164" s="60">
        <v>46.574993999999997</v>
      </c>
      <c r="S164" s="61">
        <v>50.41</v>
      </c>
      <c r="T164" s="61">
        <v>46.57</v>
      </c>
      <c r="U164" s="61">
        <v>80656</v>
      </c>
      <c r="V164" s="61">
        <v>0</v>
      </c>
      <c r="W164" s="61">
        <v>0</v>
      </c>
      <c r="X164" s="61">
        <v>0</v>
      </c>
      <c r="Y164" s="61">
        <v>0</v>
      </c>
      <c r="Z164" s="61">
        <v>0</v>
      </c>
      <c r="AA164" s="61">
        <v>0</v>
      </c>
      <c r="AB164" s="61">
        <v>0</v>
      </c>
      <c r="AC164" s="61">
        <v>0</v>
      </c>
      <c r="AD164" s="61">
        <v>0</v>
      </c>
      <c r="AE164" s="62">
        <v>0</v>
      </c>
      <c r="AF164" s="61">
        <v>74519.990000000005</v>
      </c>
      <c r="AG164" s="61">
        <v>0</v>
      </c>
      <c r="AH164" s="61">
        <v>74519.990000000005</v>
      </c>
      <c r="AI164" s="61">
        <v>0</v>
      </c>
      <c r="AJ164" s="61">
        <v>0</v>
      </c>
      <c r="AK164" s="61">
        <v>0</v>
      </c>
      <c r="AL164" s="61">
        <v>0</v>
      </c>
      <c r="AM164" s="61">
        <v>0</v>
      </c>
      <c r="AN164" s="61">
        <v>0</v>
      </c>
      <c r="AO164" s="61">
        <v>0</v>
      </c>
      <c r="AP164" s="61">
        <v>74519.990000000005</v>
      </c>
      <c r="AQ164" s="61">
        <v>0</v>
      </c>
      <c r="AR164" s="61">
        <v>0</v>
      </c>
      <c r="AS164" s="61">
        <v>-6136.01</v>
      </c>
      <c r="AT164" s="61">
        <v>0</v>
      </c>
      <c r="AU164" s="61">
        <v>0</v>
      </c>
    </row>
    <row r="165" spans="1:47" x14ac:dyDescent="0.2">
      <c r="A165" s="58" t="s">
        <v>527</v>
      </c>
      <c r="B165" s="58" t="s">
        <v>528</v>
      </c>
      <c r="C165" s="58" t="s">
        <v>178</v>
      </c>
      <c r="D165" s="59">
        <v>80</v>
      </c>
      <c r="E165" s="59">
        <v>0</v>
      </c>
      <c r="F165" s="59">
        <v>3136</v>
      </c>
      <c r="G165" s="59">
        <v>0</v>
      </c>
      <c r="H165" s="59">
        <v>3216</v>
      </c>
      <c r="I165" s="59">
        <v>-1416</v>
      </c>
      <c r="J165" s="59">
        <v>0</v>
      </c>
      <c r="K165" s="59">
        <v>0</v>
      </c>
      <c r="L165" s="59">
        <v>0</v>
      </c>
      <c r="M165" s="59">
        <v>0</v>
      </c>
      <c r="N165" s="59">
        <v>0</v>
      </c>
      <c r="O165" s="59">
        <v>0</v>
      </c>
      <c r="P165" s="59">
        <v>1800</v>
      </c>
      <c r="Q165" s="59">
        <v>795</v>
      </c>
      <c r="R165" s="60">
        <v>46.021521</v>
      </c>
      <c r="S165" s="61">
        <v>49.76</v>
      </c>
      <c r="T165" s="61">
        <v>46.29</v>
      </c>
      <c r="U165" s="61">
        <v>156047.35999999999</v>
      </c>
      <c r="V165" s="61">
        <v>0</v>
      </c>
      <c r="W165" s="61">
        <v>-70460.160000000003</v>
      </c>
      <c r="X165" s="61">
        <v>0</v>
      </c>
      <c r="Y165" s="61">
        <v>0</v>
      </c>
      <c r="Z165" s="61">
        <v>0</v>
      </c>
      <c r="AA165" s="61">
        <v>0</v>
      </c>
      <c r="AB165" s="61">
        <v>0</v>
      </c>
      <c r="AC165" s="61">
        <v>0</v>
      </c>
      <c r="AD165" s="61">
        <v>4551.7299999999996</v>
      </c>
      <c r="AE165" s="62">
        <v>0</v>
      </c>
      <c r="AF165" s="61">
        <v>144323.49</v>
      </c>
      <c r="AG165" s="61">
        <v>0</v>
      </c>
      <c r="AH165" s="61">
        <v>148875.22</v>
      </c>
      <c r="AI165" s="61">
        <v>-65549.539999999994</v>
      </c>
      <c r="AJ165" s="61">
        <v>0</v>
      </c>
      <c r="AK165" s="61">
        <v>0</v>
      </c>
      <c r="AL165" s="61">
        <v>0</v>
      </c>
      <c r="AM165" s="61">
        <v>0</v>
      </c>
      <c r="AN165" s="61">
        <v>0</v>
      </c>
      <c r="AO165" s="61">
        <v>0</v>
      </c>
      <c r="AP165" s="61">
        <v>83325.679999999993</v>
      </c>
      <c r="AQ165" s="61">
        <v>0</v>
      </c>
      <c r="AR165" s="61">
        <v>36802.18</v>
      </c>
      <c r="AS165" s="61">
        <v>-11723.87</v>
      </c>
      <c r="AT165" s="61">
        <v>4910.62</v>
      </c>
      <c r="AU165" s="61">
        <v>0</v>
      </c>
    </row>
    <row r="166" spans="1:47" x14ac:dyDescent="0.2">
      <c r="A166" s="58" t="s">
        <v>485</v>
      </c>
      <c r="B166" s="58" t="s">
        <v>501</v>
      </c>
      <c r="C166" s="58" t="s">
        <v>178</v>
      </c>
      <c r="D166" s="59">
        <v>95</v>
      </c>
      <c r="E166" s="59">
        <v>0</v>
      </c>
      <c r="F166" s="59">
        <v>1238</v>
      </c>
      <c r="G166" s="59">
        <v>0</v>
      </c>
      <c r="H166" s="59">
        <v>1333</v>
      </c>
      <c r="I166" s="59">
        <v>0</v>
      </c>
      <c r="J166" s="59">
        <v>0</v>
      </c>
      <c r="K166" s="59">
        <v>0</v>
      </c>
      <c r="L166" s="59">
        <v>0</v>
      </c>
      <c r="M166" s="59">
        <v>0</v>
      </c>
      <c r="N166" s="59">
        <v>0</v>
      </c>
      <c r="O166" s="59">
        <v>0</v>
      </c>
      <c r="P166" s="59">
        <v>1333</v>
      </c>
      <c r="Q166" s="59">
        <v>0</v>
      </c>
      <c r="R166" s="60">
        <v>44.495784</v>
      </c>
      <c r="S166" s="61">
        <v>48.3</v>
      </c>
      <c r="T166" s="61">
        <v>44.59</v>
      </c>
      <c r="U166" s="61">
        <v>59795.4</v>
      </c>
      <c r="V166" s="61">
        <v>0</v>
      </c>
      <c r="W166" s="61">
        <v>0</v>
      </c>
      <c r="X166" s="61">
        <v>0</v>
      </c>
      <c r="Y166" s="61">
        <v>0</v>
      </c>
      <c r="Z166" s="61">
        <v>0</v>
      </c>
      <c r="AA166" s="61">
        <v>0</v>
      </c>
      <c r="AB166" s="61">
        <v>0</v>
      </c>
      <c r="AC166" s="61">
        <v>0</v>
      </c>
      <c r="AD166" s="61">
        <v>4352.8900000000003</v>
      </c>
      <c r="AE166" s="62">
        <v>0</v>
      </c>
      <c r="AF166" s="61">
        <v>55085.78</v>
      </c>
      <c r="AG166" s="61">
        <v>0</v>
      </c>
      <c r="AH166" s="61">
        <v>59438.67</v>
      </c>
      <c r="AI166" s="61">
        <v>0</v>
      </c>
      <c r="AJ166" s="61">
        <v>0</v>
      </c>
      <c r="AK166" s="61">
        <v>0</v>
      </c>
      <c r="AL166" s="61">
        <v>0</v>
      </c>
      <c r="AM166" s="61">
        <v>0</v>
      </c>
      <c r="AN166" s="61">
        <v>0</v>
      </c>
      <c r="AO166" s="61">
        <v>0</v>
      </c>
      <c r="AP166" s="61">
        <v>59438.67</v>
      </c>
      <c r="AQ166" s="61">
        <v>0</v>
      </c>
      <c r="AR166" s="61">
        <v>0</v>
      </c>
      <c r="AS166" s="61">
        <v>-4709.62</v>
      </c>
      <c r="AT166" s="61">
        <v>0</v>
      </c>
      <c r="AU166" s="61">
        <v>0</v>
      </c>
    </row>
    <row r="167" spans="1:47" x14ac:dyDescent="0.2">
      <c r="A167" s="58" t="s">
        <v>487</v>
      </c>
      <c r="B167" s="58" t="s">
        <v>502</v>
      </c>
      <c r="C167" s="58" t="s">
        <v>178</v>
      </c>
      <c r="D167" s="59">
        <v>509</v>
      </c>
      <c r="E167" s="59">
        <v>0</v>
      </c>
      <c r="F167" s="59">
        <v>3695</v>
      </c>
      <c r="G167" s="59">
        <v>0</v>
      </c>
      <c r="H167" s="59">
        <v>4204</v>
      </c>
      <c r="I167" s="59">
        <v>-1386</v>
      </c>
      <c r="J167" s="59">
        <v>0</v>
      </c>
      <c r="K167" s="59">
        <v>0</v>
      </c>
      <c r="L167" s="59">
        <v>0</v>
      </c>
      <c r="M167" s="59">
        <v>0</v>
      </c>
      <c r="N167" s="59">
        <v>0</v>
      </c>
      <c r="O167" s="59">
        <v>0</v>
      </c>
      <c r="P167" s="59">
        <v>2818</v>
      </c>
      <c r="Q167" s="59">
        <v>0</v>
      </c>
      <c r="R167" s="60">
        <v>43.911980999999997</v>
      </c>
      <c r="S167" s="61">
        <v>47.73</v>
      </c>
      <c r="T167" s="61">
        <v>44.13</v>
      </c>
      <c r="U167" s="61">
        <v>176362.35</v>
      </c>
      <c r="V167" s="61">
        <v>0</v>
      </c>
      <c r="W167" s="61">
        <v>-66153.78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61">
        <v>23260.23</v>
      </c>
      <c r="AE167" s="62">
        <v>0</v>
      </c>
      <c r="AF167" s="61">
        <v>162254.76999999999</v>
      </c>
      <c r="AG167" s="61">
        <v>0</v>
      </c>
      <c r="AH167" s="61">
        <v>185515</v>
      </c>
      <c r="AI167" s="61">
        <v>-61161.7</v>
      </c>
      <c r="AJ167" s="61">
        <v>0</v>
      </c>
      <c r="AK167" s="61">
        <v>0</v>
      </c>
      <c r="AL167" s="61">
        <v>0</v>
      </c>
      <c r="AM167" s="61">
        <v>0</v>
      </c>
      <c r="AN167" s="61">
        <v>0</v>
      </c>
      <c r="AO167" s="61">
        <v>0</v>
      </c>
      <c r="AP167" s="61">
        <v>124353.3</v>
      </c>
      <c r="AQ167" s="61">
        <v>0</v>
      </c>
      <c r="AR167" s="61">
        <v>0</v>
      </c>
      <c r="AS167" s="61">
        <v>-14107.58</v>
      </c>
      <c r="AT167" s="61">
        <v>4992.08</v>
      </c>
      <c r="AU167" s="61">
        <v>0</v>
      </c>
    </row>
    <row r="168" spans="1:47" x14ac:dyDescent="0.2">
      <c r="A168" s="58" t="s">
        <v>489</v>
      </c>
      <c r="B168" s="58" t="s">
        <v>503</v>
      </c>
      <c r="C168" s="58" t="s">
        <v>178</v>
      </c>
      <c r="D168" s="59">
        <v>393</v>
      </c>
      <c r="E168" s="59">
        <v>0</v>
      </c>
      <c r="F168" s="59">
        <v>17352</v>
      </c>
      <c r="G168" s="59">
        <v>0</v>
      </c>
      <c r="H168" s="59">
        <v>17745</v>
      </c>
      <c r="I168" s="59">
        <v>-12455</v>
      </c>
      <c r="J168" s="59">
        <v>0</v>
      </c>
      <c r="K168" s="59">
        <v>0</v>
      </c>
      <c r="L168" s="59">
        <v>0</v>
      </c>
      <c r="M168" s="59">
        <v>0</v>
      </c>
      <c r="N168" s="59">
        <v>0</v>
      </c>
      <c r="O168" s="59">
        <v>0</v>
      </c>
      <c r="P168" s="59">
        <v>5290</v>
      </c>
      <c r="Q168" s="59">
        <v>1350</v>
      </c>
      <c r="R168" s="60">
        <v>38.279257000000001</v>
      </c>
      <c r="S168" s="61">
        <v>41.6</v>
      </c>
      <c r="T168" s="61">
        <v>38.33</v>
      </c>
      <c r="U168" s="61">
        <v>721843.19999999995</v>
      </c>
      <c r="V168" s="61">
        <v>0</v>
      </c>
      <c r="W168" s="61">
        <v>-518128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15944.44</v>
      </c>
      <c r="AE168" s="62">
        <v>0</v>
      </c>
      <c r="AF168" s="61">
        <v>664221.66</v>
      </c>
      <c r="AG168" s="61">
        <v>0</v>
      </c>
      <c r="AH168" s="61">
        <v>680166.1</v>
      </c>
      <c r="AI168" s="61">
        <v>-477400.33</v>
      </c>
      <c r="AJ168" s="61">
        <v>0</v>
      </c>
      <c r="AK168" s="61">
        <v>0</v>
      </c>
      <c r="AL168" s="61">
        <v>0</v>
      </c>
      <c r="AM168" s="61">
        <v>0</v>
      </c>
      <c r="AN168" s="61">
        <v>0</v>
      </c>
      <c r="AO168" s="61">
        <v>0</v>
      </c>
      <c r="AP168" s="61">
        <v>202765.78</v>
      </c>
      <c r="AQ168" s="61">
        <v>0</v>
      </c>
      <c r="AR168" s="61">
        <v>51745.52</v>
      </c>
      <c r="AS168" s="61">
        <v>-57621.54</v>
      </c>
      <c r="AT168" s="61">
        <v>40727.67</v>
      </c>
      <c r="AU168" s="61">
        <v>0</v>
      </c>
    </row>
    <row r="169" spans="1:47" x14ac:dyDescent="0.2">
      <c r="A169" s="58" t="s">
        <v>529</v>
      </c>
      <c r="B169" s="58" t="s">
        <v>530</v>
      </c>
      <c r="C169" s="58" t="s">
        <v>178</v>
      </c>
      <c r="D169" s="59">
        <v>1803</v>
      </c>
      <c r="E169" s="59">
        <v>819</v>
      </c>
      <c r="F169" s="59">
        <v>5662</v>
      </c>
      <c r="G169" s="59">
        <v>0</v>
      </c>
      <c r="H169" s="59">
        <v>7465</v>
      </c>
      <c r="I169" s="59">
        <v>-5885</v>
      </c>
      <c r="J169" s="59">
        <v>0</v>
      </c>
      <c r="K169" s="59">
        <v>0</v>
      </c>
      <c r="L169" s="59">
        <v>0</v>
      </c>
      <c r="M169" s="59">
        <v>0</v>
      </c>
      <c r="N169" s="59">
        <v>0</v>
      </c>
      <c r="O169" s="59">
        <v>0</v>
      </c>
      <c r="P169" s="59">
        <v>1580</v>
      </c>
      <c r="Q169" s="59">
        <v>819</v>
      </c>
      <c r="R169" s="60">
        <v>33.517912000000003</v>
      </c>
      <c r="S169" s="61">
        <v>36.520000000000003</v>
      </c>
      <c r="T169" s="61">
        <v>35.119999999999997</v>
      </c>
      <c r="U169" s="61">
        <v>206776.24</v>
      </c>
      <c r="V169" s="61">
        <v>0</v>
      </c>
      <c r="W169" s="61">
        <v>-214920.2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72363.56</v>
      </c>
      <c r="AE169" s="62">
        <v>0</v>
      </c>
      <c r="AF169" s="61">
        <v>189778.42</v>
      </c>
      <c r="AG169" s="61">
        <v>0</v>
      </c>
      <c r="AH169" s="61">
        <v>262141.98</v>
      </c>
      <c r="AI169" s="61">
        <v>-206658.48</v>
      </c>
      <c r="AJ169" s="61">
        <v>0</v>
      </c>
      <c r="AK169" s="61">
        <v>0</v>
      </c>
      <c r="AL169" s="61">
        <v>0</v>
      </c>
      <c r="AM169" s="61">
        <v>0</v>
      </c>
      <c r="AN169" s="61">
        <v>0</v>
      </c>
      <c r="AO169" s="61">
        <v>0</v>
      </c>
      <c r="AP169" s="61">
        <v>55483.5</v>
      </c>
      <c r="AQ169" s="61">
        <v>0</v>
      </c>
      <c r="AR169" s="61">
        <v>28760.12</v>
      </c>
      <c r="AS169" s="61">
        <v>-16997.82</v>
      </c>
      <c r="AT169" s="61">
        <v>8261.7199999999993</v>
      </c>
      <c r="AU169" s="61">
        <v>0</v>
      </c>
    </row>
    <row r="170" spans="1:47" x14ac:dyDescent="0.2">
      <c r="A170" s="58" t="s">
        <v>531</v>
      </c>
      <c r="B170" s="58" t="s">
        <v>532</v>
      </c>
      <c r="C170" s="58" t="s">
        <v>178</v>
      </c>
      <c r="D170" s="59">
        <v>156</v>
      </c>
      <c r="E170" s="59">
        <v>0</v>
      </c>
      <c r="F170" s="59">
        <v>4811</v>
      </c>
      <c r="G170" s="59">
        <v>0</v>
      </c>
      <c r="H170" s="59">
        <v>4967</v>
      </c>
      <c r="I170" s="59">
        <v>-3762</v>
      </c>
      <c r="J170" s="59">
        <v>0</v>
      </c>
      <c r="K170" s="59">
        <v>0</v>
      </c>
      <c r="L170" s="59">
        <v>0</v>
      </c>
      <c r="M170" s="59">
        <v>0</v>
      </c>
      <c r="N170" s="59">
        <v>0</v>
      </c>
      <c r="O170" s="59">
        <v>0</v>
      </c>
      <c r="P170" s="59">
        <v>1205</v>
      </c>
      <c r="Q170" s="59">
        <v>292</v>
      </c>
      <c r="R170" s="60">
        <v>37.533906000000002</v>
      </c>
      <c r="S170" s="61">
        <v>40.78</v>
      </c>
      <c r="T170" s="61">
        <v>37.659999999999997</v>
      </c>
      <c r="U170" s="61">
        <v>196192.58</v>
      </c>
      <c r="V170" s="61">
        <v>0</v>
      </c>
      <c r="W170" s="61">
        <v>-153414.35999999999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6494.19</v>
      </c>
      <c r="AE170" s="62">
        <v>0</v>
      </c>
      <c r="AF170" s="61">
        <v>180575.62</v>
      </c>
      <c r="AG170" s="61">
        <v>0</v>
      </c>
      <c r="AH170" s="61">
        <v>187069.81</v>
      </c>
      <c r="AI170" s="61">
        <v>-141686.46</v>
      </c>
      <c r="AJ170" s="61">
        <v>0</v>
      </c>
      <c r="AK170" s="61">
        <v>0</v>
      </c>
      <c r="AL170" s="61">
        <v>0</v>
      </c>
      <c r="AM170" s="61">
        <v>0</v>
      </c>
      <c r="AN170" s="61">
        <v>0</v>
      </c>
      <c r="AO170" s="61">
        <v>0</v>
      </c>
      <c r="AP170" s="61">
        <v>45383.35</v>
      </c>
      <c r="AQ170" s="61">
        <v>0</v>
      </c>
      <c r="AR170" s="61">
        <v>10997.46</v>
      </c>
      <c r="AS170" s="61">
        <v>-15616.96</v>
      </c>
      <c r="AT170" s="61">
        <v>11727.9</v>
      </c>
      <c r="AU170" s="61">
        <v>0</v>
      </c>
    </row>
    <row r="171" spans="1:47" x14ac:dyDescent="0.2">
      <c r="A171" s="58" t="s">
        <v>491</v>
      </c>
      <c r="B171" s="58" t="s">
        <v>504</v>
      </c>
      <c r="C171" s="58" t="s">
        <v>178</v>
      </c>
      <c r="D171" s="59">
        <v>44</v>
      </c>
      <c r="E171" s="59">
        <v>0</v>
      </c>
      <c r="F171" s="59">
        <v>4689</v>
      </c>
      <c r="G171" s="59">
        <v>0</v>
      </c>
      <c r="H171" s="59">
        <v>4733</v>
      </c>
      <c r="I171" s="59">
        <v>-3504</v>
      </c>
      <c r="J171" s="59">
        <v>0</v>
      </c>
      <c r="K171" s="59">
        <v>0</v>
      </c>
      <c r="L171" s="59">
        <v>0</v>
      </c>
      <c r="M171" s="59">
        <v>0</v>
      </c>
      <c r="N171" s="59">
        <v>0</v>
      </c>
      <c r="O171" s="59">
        <v>0</v>
      </c>
      <c r="P171" s="59">
        <v>1229</v>
      </c>
      <c r="Q171" s="59">
        <v>0</v>
      </c>
      <c r="R171" s="60">
        <v>31.694240000000001</v>
      </c>
      <c r="S171" s="61">
        <v>34.65</v>
      </c>
      <c r="T171" s="61">
        <v>31.71</v>
      </c>
      <c r="U171" s="61">
        <v>162473.85</v>
      </c>
      <c r="V171" s="61">
        <v>0</v>
      </c>
      <c r="W171" s="61">
        <v>-121413.6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61">
        <v>1487.73</v>
      </c>
      <c r="AE171" s="62">
        <v>0</v>
      </c>
      <c r="AF171" s="61">
        <v>148614.29</v>
      </c>
      <c r="AG171" s="61">
        <v>0</v>
      </c>
      <c r="AH171" s="61">
        <v>150102.01999999999</v>
      </c>
      <c r="AI171" s="61">
        <v>-111125.6</v>
      </c>
      <c r="AJ171" s="61">
        <v>0</v>
      </c>
      <c r="AK171" s="61">
        <v>0</v>
      </c>
      <c r="AL171" s="61">
        <v>0</v>
      </c>
      <c r="AM171" s="61">
        <v>0</v>
      </c>
      <c r="AN171" s="61">
        <v>0</v>
      </c>
      <c r="AO171" s="61">
        <v>0</v>
      </c>
      <c r="AP171" s="61">
        <v>38976.42</v>
      </c>
      <c r="AQ171" s="61">
        <v>0</v>
      </c>
      <c r="AR171" s="61">
        <v>0</v>
      </c>
      <c r="AS171" s="61">
        <v>-13859.56</v>
      </c>
      <c r="AT171" s="61">
        <v>10288</v>
      </c>
      <c r="AU171" s="61">
        <v>0</v>
      </c>
    </row>
    <row r="172" spans="1:47" x14ac:dyDescent="0.2">
      <c r="A172" s="58" t="s">
        <v>505</v>
      </c>
      <c r="B172" s="58" t="s">
        <v>506</v>
      </c>
      <c r="C172" s="58" t="s">
        <v>178</v>
      </c>
      <c r="D172" s="59">
        <v>0</v>
      </c>
      <c r="E172" s="59">
        <v>0</v>
      </c>
      <c r="F172" s="59">
        <v>3312</v>
      </c>
      <c r="G172" s="59">
        <v>0</v>
      </c>
      <c r="H172" s="59">
        <v>3312</v>
      </c>
      <c r="I172" s="59">
        <v>-1706</v>
      </c>
      <c r="J172" s="59">
        <v>0</v>
      </c>
      <c r="K172" s="59">
        <v>0</v>
      </c>
      <c r="L172" s="59">
        <v>0</v>
      </c>
      <c r="M172" s="59">
        <v>0</v>
      </c>
      <c r="N172" s="59">
        <v>0</v>
      </c>
      <c r="O172" s="59">
        <v>0</v>
      </c>
      <c r="P172" s="59">
        <v>1606</v>
      </c>
      <c r="Q172" s="59">
        <v>1706</v>
      </c>
      <c r="R172" s="60">
        <v>37.476877999999999</v>
      </c>
      <c r="S172" s="61">
        <v>40.67</v>
      </c>
      <c r="T172" s="61">
        <v>37.479999999999997</v>
      </c>
      <c r="U172" s="61">
        <v>134699.04</v>
      </c>
      <c r="V172" s="61">
        <v>0</v>
      </c>
      <c r="W172" s="61">
        <v>-69383.02</v>
      </c>
      <c r="X172" s="61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61">
        <v>0</v>
      </c>
      <c r="AE172" s="62">
        <v>0</v>
      </c>
      <c r="AF172" s="61">
        <v>124123.42</v>
      </c>
      <c r="AG172" s="61">
        <v>0</v>
      </c>
      <c r="AH172" s="61">
        <v>124123.42</v>
      </c>
      <c r="AI172" s="61">
        <v>-63935.55</v>
      </c>
      <c r="AJ172" s="61">
        <v>0</v>
      </c>
      <c r="AK172" s="61">
        <v>0</v>
      </c>
      <c r="AL172" s="61">
        <v>0</v>
      </c>
      <c r="AM172" s="61">
        <v>0</v>
      </c>
      <c r="AN172" s="61">
        <v>0</v>
      </c>
      <c r="AO172" s="61">
        <v>0</v>
      </c>
      <c r="AP172" s="61">
        <v>60187.87</v>
      </c>
      <c r="AQ172" s="61">
        <v>0</v>
      </c>
      <c r="AR172" s="61">
        <v>63935.55</v>
      </c>
      <c r="AS172" s="61">
        <v>-10575.62</v>
      </c>
      <c r="AT172" s="61">
        <v>5447.47</v>
      </c>
      <c r="AU172" s="61">
        <v>0</v>
      </c>
    </row>
    <row r="173" spans="1:47" x14ac:dyDescent="0.2">
      <c r="A173" s="58" t="s">
        <v>507</v>
      </c>
      <c r="B173" s="58" t="s">
        <v>508</v>
      </c>
      <c r="C173" s="58" t="s">
        <v>178</v>
      </c>
      <c r="D173" s="59">
        <v>1333</v>
      </c>
      <c r="E173" s="59">
        <v>561</v>
      </c>
      <c r="F173" s="59">
        <v>4510</v>
      </c>
      <c r="G173" s="59">
        <v>0</v>
      </c>
      <c r="H173" s="59">
        <v>5843</v>
      </c>
      <c r="I173" s="59">
        <v>-5012</v>
      </c>
      <c r="J173" s="59">
        <v>0</v>
      </c>
      <c r="K173" s="59">
        <v>0</v>
      </c>
      <c r="L173" s="59">
        <v>0</v>
      </c>
      <c r="M173" s="59">
        <v>0</v>
      </c>
      <c r="N173" s="59">
        <v>0</v>
      </c>
      <c r="O173" s="59">
        <v>0</v>
      </c>
      <c r="P173" s="59">
        <v>831</v>
      </c>
      <c r="Q173" s="59">
        <v>0</v>
      </c>
      <c r="R173" s="60">
        <v>42.544392000000002</v>
      </c>
      <c r="S173" s="61">
        <v>46.04</v>
      </c>
      <c r="T173" s="61">
        <v>44.7</v>
      </c>
      <c r="U173" s="61">
        <v>207640.4</v>
      </c>
      <c r="V173" s="61">
        <v>0</v>
      </c>
      <c r="W173" s="61">
        <v>-230752.48</v>
      </c>
      <c r="X173" s="61">
        <v>0</v>
      </c>
      <c r="Y173" s="61">
        <v>0</v>
      </c>
      <c r="Z173" s="61">
        <v>0</v>
      </c>
      <c r="AA173" s="61">
        <v>0</v>
      </c>
      <c r="AB173" s="61">
        <v>0</v>
      </c>
      <c r="AC173" s="61">
        <v>0</v>
      </c>
      <c r="AD173" s="61">
        <v>69293.02</v>
      </c>
      <c r="AE173" s="62">
        <v>0</v>
      </c>
      <c r="AF173" s="61">
        <v>191875.21</v>
      </c>
      <c r="AG173" s="61">
        <v>0</v>
      </c>
      <c r="AH173" s="61">
        <v>261168.23</v>
      </c>
      <c r="AI173" s="61">
        <v>-224024.5</v>
      </c>
      <c r="AJ173" s="61">
        <v>0</v>
      </c>
      <c r="AK173" s="61">
        <v>0</v>
      </c>
      <c r="AL173" s="61">
        <v>0</v>
      </c>
      <c r="AM173" s="61">
        <v>0</v>
      </c>
      <c r="AN173" s="61">
        <v>0</v>
      </c>
      <c r="AO173" s="61">
        <v>0</v>
      </c>
      <c r="AP173" s="61">
        <v>37143.730000000003</v>
      </c>
      <c r="AQ173" s="61">
        <v>0</v>
      </c>
      <c r="AR173" s="61">
        <v>0</v>
      </c>
      <c r="AS173" s="61">
        <v>-15765.19</v>
      </c>
      <c r="AT173" s="61">
        <v>6727.98</v>
      </c>
      <c r="AU173" s="61">
        <v>0</v>
      </c>
    </row>
    <row r="174" spans="1:47" x14ac:dyDescent="0.2">
      <c r="A174" s="58" t="s">
        <v>533</v>
      </c>
      <c r="B174" s="58" t="s">
        <v>534</v>
      </c>
      <c r="C174" s="58" t="s">
        <v>178</v>
      </c>
      <c r="D174" s="59">
        <v>1653</v>
      </c>
      <c r="E174" s="59">
        <v>741</v>
      </c>
      <c r="F174" s="59">
        <v>12492</v>
      </c>
      <c r="G174" s="59">
        <v>0</v>
      </c>
      <c r="H174" s="59">
        <v>14145</v>
      </c>
      <c r="I174" s="59">
        <v>-10520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0</v>
      </c>
      <c r="P174" s="59">
        <v>3625</v>
      </c>
      <c r="Q174" s="59">
        <v>2743</v>
      </c>
      <c r="R174" s="60">
        <v>37.957507</v>
      </c>
      <c r="S174" s="61">
        <v>41.53</v>
      </c>
      <c r="T174" s="61">
        <v>38.909999999999997</v>
      </c>
      <c r="U174" s="61">
        <v>518792.76</v>
      </c>
      <c r="V174" s="61">
        <v>0</v>
      </c>
      <c r="W174" s="61">
        <v>-436895.6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76286.98</v>
      </c>
      <c r="AE174" s="62">
        <v>0</v>
      </c>
      <c r="AF174" s="61">
        <v>474165.18</v>
      </c>
      <c r="AG174" s="61">
        <v>0</v>
      </c>
      <c r="AH174" s="61">
        <v>550452.16</v>
      </c>
      <c r="AI174" s="61">
        <v>-409385.42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141066.74</v>
      </c>
      <c r="AQ174" s="61">
        <v>0</v>
      </c>
      <c r="AR174" s="61">
        <v>106743.74</v>
      </c>
      <c r="AS174" s="61">
        <v>-44627.58</v>
      </c>
      <c r="AT174" s="61">
        <v>27510.18</v>
      </c>
      <c r="AU174" s="61">
        <v>0</v>
      </c>
    </row>
    <row r="175" spans="1:47" x14ac:dyDescent="0.2">
      <c r="A175" s="58" t="s">
        <v>493</v>
      </c>
      <c r="B175" s="58" t="s">
        <v>509</v>
      </c>
      <c r="C175" s="58" t="s">
        <v>178</v>
      </c>
      <c r="D175" s="59">
        <v>407</v>
      </c>
      <c r="E175" s="59">
        <v>0</v>
      </c>
      <c r="F175" s="59">
        <v>0</v>
      </c>
      <c r="G175" s="59">
        <v>0</v>
      </c>
      <c r="H175" s="59">
        <v>407</v>
      </c>
      <c r="I175" s="59">
        <v>0</v>
      </c>
      <c r="J175" s="59">
        <v>0</v>
      </c>
      <c r="K175" s="59">
        <v>0</v>
      </c>
      <c r="L175" s="59">
        <v>0</v>
      </c>
      <c r="M175" s="59">
        <v>0</v>
      </c>
      <c r="N175" s="59">
        <v>0</v>
      </c>
      <c r="O175" s="59">
        <v>0</v>
      </c>
      <c r="P175" s="59">
        <v>407</v>
      </c>
      <c r="Q175" s="59">
        <v>0</v>
      </c>
      <c r="R175" s="60">
        <v>0</v>
      </c>
      <c r="S175" s="61">
        <v>36.51</v>
      </c>
      <c r="T175" s="61">
        <v>35.82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0</v>
      </c>
      <c r="AD175" s="61">
        <v>14579.24</v>
      </c>
      <c r="AE175" s="62">
        <v>0</v>
      </c>
      <c r="AF175" s="61">
        <v>0</v>
      </c>
      <c r="AG175" s="61">
        <v>0</v>
      </c>
      <c r="AH175" s="61">
        <v>14579.24</v>
      </c>
      <c r="AI175" s="61">
        <v>0</v>
      </c>
      <c r="AJ175" s="61">
        <v>0</v>
      </c>
      <c r="AK175" s="61">
        <v>0</v>
      </c>
      <c r="AL175" s="61">
        <v>0</v>
      </c>
      <c r="AM175" s="61">
        <v>0</v>
      </c>
      <c r="AN175" s="61">
        <v>0</v>
      </c>
      <c r="AO175" s="61">
        <v>0</v>
      </c>
      <c r="AP175" s="61">
        <v>14579.24</v>
      </c>
      <c r="AQ175" s="61">
        <v>0</v>
      </c>
      <c r="AR175" s="61">
        <v>0</v>
      </c>
      <c r="AS175" s="61">
        <v>0</v>
      </c>
      <c r="AT175" s="61">
        <v>0</v>
      </c>
      <c r="AU175" s="61">
        <v>0</v>
      </c>
    </row>
    <row r="176" spans="1:47" x14ac:dyDescent="0.2">
      <c r="A176" s="58" t="s">
        <v>468</v>
      </c>
      <c r="B176" s="58" t="s">
        <v>469</v>
      </c>
      <c r="C176" s="58" t="s">
        <v>178</v>
      </c>
      <c r="D176" s="59">
        <v>1577</v>
      </c>
      <c r="E176" s="59">
        <v>806</v>
      </c>
      <c r="F176" s="59">
        <v>5364</v>
      </c>
      <c r="G176" s="59">
        <v>0</v>
      </c>
      <c r="H176" s="59">
        <v>6941</v>
      </c>
      <c r="I176" s="59">
        <v>-5227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v>0</v>
      </c>
      <c r="P176" s="59">
        <v>1714</v>
      </c>
      <c r="Q176" s="59">
        <v>603</v>
      </c>
      <c r="R176" s="60">
        <v>40.375808999999997</v>
      </c>
      <c r="S176" s="61">
        <v>43.77</v>
      </c>
      <c r="T176" s="61">
        <v>42.09</v>
      </c>
      <c r="U176" s="61">
        <v>234782.28</v>
      </c>
      <c r="V176" s="61">
        <v>0</v>
      </c>
      <c r="W176" s="61">
        <v>-228785.79</v>
      </c>
      <c r="X176" s="61">
        <v>0</v>
      </c>
      <c r="Y176" s="61">
        <v>0</v>
      </c>
      <c r="Z176" s="61">
        <v>0</v>
      </c>
      <c r="AA176" s="61">
        <v>0</v>
      </c>
      <c r="AB176" s="61">
        <v>0</v>
      </c>
      <c r="AC176" s="61">
        <v>0</v>
      </c>
      <c r="AD176" s="61">
        <v>75551.839999999997</v>
      </c>
      <c r="AE176" s="62">
        <v>0</v>
      </c>
      <c r="AF176" s="61">
        <v>216575.84</v>
      </c>
      <c r="AG176" s="61">
        <v>0</v>
      </c>
      <c r="AH176" s="61">
        <v>292127.68</v>
      </c>
      <c r="AI176" s="61">
        <v>-219990.11</v>
      </c>
      <c r="AJ176" s="61">
        <v>0</v>
      </c>
      <c r="AK176" s="61">
        <v>0</v>
      </c>
      <c r="AL176" s="61">
        <v>0</v>
      </c>
      <c r="AM176" s="61">
        <v>0</v>
      </c>
      <c r="AN176" s="61">
        <v>0</v>
      </c>
      <c r="AO176" s="61">
        <v>0</v>
      </c>
      <c r="AP176" s="61">
        <v>72137.570000000007</v>
      </c>
      <c r="AQ176" s="61">
        <v>0</v>
      </c>
      <c r="AR176" s="61">
        <v>25378.62</v>
      </c>
      <c r="AS176" s="61">
        <v>-18206.439999999999</v>
      </c>
      <c r="AT176" s="61">
        <v>8795.68</v>
      </c>
      <c r="AU176" s="61">
        <v>0</v>
      </c>
    </row>
    <row r="177" spans="1:47" x14ac:dyDescent="0.2">
      <c r="A177" s="58" t="s">
        <v>587</v>
      </c>
      <c r="B177" s="58" t="s">
        <v>588</v>
      </c>
      <c r="C177" s="58" t="s">
        <v>178</v>
      </c>
      <c r="D177" s="59">
        <v>0</v>
      </c>
      <c r="E177" s="59">
        <v>0</v>
      </c>
      <c r="F177" s="59">
        <v>3360</v>
      </c>
      <c r="G177" s="59">
        <v>0</v>
      </c>
      <c r="H177" s="59">
        <v>3360</v>
      </c>
      <c r="I177" s="59">
        <v>-1569</v>
      </c>
      <c r="J177" s="59">
        <v>0</v>
      </c>
      <c r="K177" s="59">
        <v>0</v>
      </c>
      <c r="L177" s="59">
        <v>0</v>
      </c>
      <c r="M177" s="59">
        <v>0</v>
      </c>
      <c r="N177" s="59">
        <v>0</v>
      </c>
      <c r="O177" s="59">
        <v>0</v>
      </c>
      <c r="P177" s="59">
        <v>1791</v>
      </c>
      <c r="Q177" s="59">
        <v>1569</v>
      </c>
      <c r="R177" s="60">
        <v>30.923199</v>
      </c>
      <c r="S177" s="61">
        <v>33.89</v>
      </c>
      <c r="T177" s="61">
        <v>30.92</v>
      </c>
      <c r="U177" s="61">
        <v>113870.39999999999</v>
      </c>
      <c r="V177" s="61">
        <v>0</v>
      </c>
      <c r="W177" s="61">
        <v>-53173.41</v>
      </c>
      <c r="X177" s="61">
        <v>0</v>
      </c>
      <c r="Y177" s="61">
        <v>0</v>
      </c>
      <c r="Z177" s="61">
        <v>0</v>
      </c>
      <c r="AA177" s="61">
        <v>0</v>
      </c>
      <c r="AB177" s="61">
        <v>0</v>
      </c>
      <c r="AC177" s="61">
        <v>0</v>
      </c>
      <c r="AD177" s="61">
        <v>0</v>
      </c>
      <c r="AE177" s="62">
        <v>0</v>
      </c>
      <c r="AF177" s="61">
        <v>103901.95</v>
      </c>
      <c r="AG177" s="61">
        <v>0</v>
      </c>
      <c r="AH177" s="61">
        <v>103901.95</v>
      </c>
      <c r="AI177" s="61">
        <v>-48518.5</v>
      </c>
      <c r="AJ177" s="61">
        <v>0</v>
      </c>
      <c r="AK177" s="61">
        <v>0</v>
      </c>
      <c r="AL177" s="61">
        <v>0</v>
      </c>
      <c r="AM177" s="61">
        <v>0</v>
      </c>
      <c r="AN177" s="61">
        <v>0</v>
      </c>
      <c r="AO177" s="61">
        <v>0</v>
      </c>
      <c r="AP177" s="61">
        <v>55383.45</v>
      </c>
      <c r="AQ177" s="61">
        <v>0</v>
      </c>
      <c r="AR177" s="61">
        <v>48518.5</v>
      </c>
      <c r="AS177" s="61">
        <v>-9968.4500000000007</v>
      </c>
      <c r="AT177" s="61">
        <v>4654.91</v>
      </c>
      <c r="AU177" s="61">
        <v>0</v>
      </c>
    </row>
    <row r="178" spans="1:47" x14ac:dyDescent="0.2">
      <c r="A178" s="58" t="s">
        <v>535</v>
      </c>
      <c r="B178" s="58" t="s">
        <v>536</v>
      </c>
      <c r="C178" s="58" t="s">
        <v>178</v>
      </c>
      <c r="D178" s="59">
        <v>95</v>
      </c>
      <c r="E178" s="59">
        <v>0</v>
      </c>
      <c r="F178" s="59">
        <v>0</v>
      </c>
      <c r="G178" s="59">
        <v>0</v>
      </c>
      <c r="H178" s="59">
        <v>95</v>
      </c>
      <c r="I178" s="59">
        <v>0</v>
      </c>
      <c r="J178" s="59">
        <v>0</v>
      </c>
      <c r="K178" s="59">
        <v>0</v>
      </c>
      <c r="L178" s="59">
        <v>0</v>
      </c>
      <c r="M178" s="59">
        <v>0</v>
      </c>
      <c r="N178" s="59">
        <v>0</v>
      </c>
      <c r="O178" s="59">
        <v>0</v>
      </c>
      <c r="P178" s="59">
        <v>95</v>
      </c>
      <c r="Q178" s="59">
        <v>0</v>
      </c>
      <c r="R178" s="60">
        <v>0</v>
      </c>
      <c r="S178" s="61">
        <v>38.35</v>
      </c>
      <c r="T178" s="61">
        <v>36.31</v>
      </c>
      <c r="U178" s="61">
        <v>0</v>
      </c>
      <c r="V178" s="61">
        <v>0</v>
      </c>
      <c r="W178" s="61">
        <v>0</v>
      </c>
      <c r="X178" s="61">
        <v>0</v>
      </c>
      <c r="Y178" s="61">
        <v>0</v>
      </c>
      <c r="Z178" s="61">
        <v>0</v>
      </c>
      <c r="AA178" s="61">
        <v>0</v>
      </c>
      <c r="AB178" s="61">
        <v>0</v>
      </c>
      <c r="AC178" s="61">
        <v>0</v>
      </c>
      <c r="AD178" s="61">
        <v>3449.36</v>
      </c>
      <c r="AE178" s="62">
        <v>0</v>
      </c>
      <c r="AF178" s="61">
        <v>0</v>
      </c>
      <c r="AG178" s="61">
        <v>0</v>
      </c>
      <c r="AH178" s="61">
        <v>3449.36</v>
      </c>
      <c r="AI178" s="61">
        <v>0</v>
      </c>
      <c r="AJ178" s="61">
        <v>0</v>
      </c>
      <c r="AK178" s="61">
        <v>0</v>
      </c>
      <c r="AL178" s="61">
        <v>0</v>
      </c>
      <c r="AM178" s="61">
        <v>0</v>
      </c>
      <c r="AN178" s="61">
        <v>0</v>
      </c>
      <c r="AO178" s="61">
        <v>0</v>
      </c>
      <c r="AP178" s="61">
        <v>3449.36</v>
      </c>
      <c r="AQ178" s="61">
        <v>0</v>
      </c>
      <c r="AR178" s="61">
        <v>0</v>
      </c>
      <c r="AS178" s="61">
        <v>0</v>
      </c>
      <c r="AT178" s="61">
        <v>0</v>
      </c>
      <c r="AU178" s="61">
        <v>0</v>
      </c>
    </row>
    <row r="179" spans="1:47" x14ac:dyDescent="0.2">
      <c r="A179" s="58" t="s">
        <v>537</v>
      </c>
      <c r="B179" s="58" t="s">
        <v>538</v>
      </c>
      <c r="C179" s="58" t="s">
        <v>178</v>
      </c>
      <c r="D179" s="59">
        <v>0</v>
      </c>
      <c r="E179" s="59">
        <v>0</v>
      </c>
      <c r="F179" s="59">
        <v>2588</v>
      </c>
      <c r="G179" s="59">
        <v>0</v>
      </c>
      <c r="H179" s="59">
        <v>2588</v>
      </c>
      <c r="I179" s="59">
        <v>0</v>
      </c>
      <c r="J179" s="59">
        <v>0</v>
      </c>
      <c r="K179" s="59">
        <v>0</v>
      </c>
      <c r="L179" s="59">
        <v>0</v>
      </c>
      <c r="M179" s="59">
        <v>0</v>
      </c>
      <c r="N179" s="59">
        <v>0</v>
      </c>
      <c r="O179" s="59">
        <v>0</v>
      </c>
      <c r="P179" s="59">
        <v>2588</v>
      </c>
      <c r="Q179" s="59">
        <v>0</v>
      </c>
      <c r="R179" s="60">
        <v>34.966116999999997</v>
      </c>
      <c r="S179" s="61">
        <v>38.03</v>
      </c>
      <c r="T179" s="61">
        <v>34.97</v>
      </c>
      <c r="U179" s="61">
        <v>98421.64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2">
        <v>0</v>
      </c>
      <c r="AF179" s="61">
        <v>90492.31</v>
      </c>
      <c r="AG179" s="61">
        <v>0</v>
      </c>
      <c r="AH179" s="61">
        <v>90492.31</v>
      </c>
      <c r="AI179" s="61">
        <v>0</v>
      </c>
      <c r="AJ179" s="61">
        <v>0</v>
      </c>
      <c r="AK179" s="61">
        <v>0</v>
      </c>
      <c r="AL179" s="61">
        <v>0</v>
      </c>
      <c r="AM179" s="61">
        <v>0</v>
      </c>
      <c r="AN179" s="61">
        <v>0</v>
      </c>
      <c r="AO179" s="61">
        <v>0</v>
      </c>
      <c r="AP179" s="61">
        <v>90492.31</v>
      </c>
      <c r="AQ179" s="61">
        <v>0</v>
      </c>
      <c r="AR179" s="61">
        <v>0</v>
      </c>
      <c r="AS179" s="61">
        <v>-7929.33</v>
      </c>
      <c r="AT179" s="61">
        <v>0</v>
      </c>
      <c r="AU179" s="61">
        <v>0</v>
      </c>
    </row>
    <row r="180" spans="1:47" x14ac:dyDescent="0.2">
      <c r="A180" s="58" t="s">
        <v>562</v>
      </c>
      <c r="B180" s="58" t="s">
        <v>563</v>
      </c>
      <c r="C180" s="58" t="s">
        <v>178</v>
      </c>
      <c r="D180" s="59">
        <v>101</v>
      </c>
      <c r="E180" s="59">
        <v>0</v>
      </c>
      <c r="F180" s="59">
        <v>2</v>
      </c>
      <c r="G180" s="59">
        <v>0</v>
      </c>
      <c r="H180" s="59">
        <v>103</v>
      </c>
      <c r="I180" s="59">
        <v>0</v>
      </c>
      <c r="J180" s="59">
        <v>0</v>
      </c>
      <c r="K180" s="59">
        <v>0</v>
      </c>
      <c r="L180" s="59">
        <v>0</v>
      </c>
      <c r="M180" s="59">
        <v>0</v>
      </c>
      <c r="N180" s="59">
        <v>0</v>
      </c>
      <c r="O180" s="59">
        <v>0</v>
      </c>
      <c r="P180" s="59">
        <v>103</v>
      </c>
      <c r="Q180" s="59">
        <v>0</v>
      </c>
      <c r="R180" s="60">
        <v>36.51</v>
      </c>
      <c r="S180" s="61">
        <v>39.74</v>
      </c>
      <c r="T180" s="61">
        <v>43.95</v>
      </c>
      <c r="U180" s="61">
        <v>79.48</v>
      </c>
      <c r="V180" s="61">
        <v>0</v>
      </c>
      <c r="W180" s="61">
        <v>0</v>
      </c>
      <c r="X180" s="61">
        <v>0</v>
      </c>
      <c r="Y180" s="61">
        <v>0</v>
      </c>
      <c r="Z180" s="61">
        <v>0</v>
      </c>
      <c r="AA180" s="61">
        <v>0</v>
      </c>
      <c r="AB180" s="61">
        <v>0</v>
      </c>
      <c r="AC180" s="61">
        <v>0</v>
      </c>
      <c r="AD180" s="61">
        <v>4454.01</v>
      </c>
      <c r="AE180" s="62">
        <v>0</v>
      </c>
      <c r="AF180" s="61">
        <v>73.02</v>
      </c>
      <c r="AG180" s="61">
        <v>0</v>
      </c>
      <c r="AH180" s="61">
        <v>4527.03</v>
      </c>
      <c r="AI180" s="61">
        <v>0</v>
      </c>
      <c r="AJ180" s="61">
        <v>0</v>
      </c>
      <c r="AK180" s="61">
        <v>0</v>
      </c>
      <c r="AL180" s="61">
        <v>0</v>
      </c>
      <c r="AM180" s="61">
        <v>0</v>
      </c>
      <c r="AN180" s="61">
        <v>0</v>
      </c>
      <c r="AO180" s="61">
        <v>0</v>
      </c>
      <c r="AP180" s="61">
        <v>4527.03</v>
      </c>
      <c r="AQ180" s="61">
        <v>0</v>
      </c>
      <c r="AR180" s="61">
        <v>0</v>
      </c>
      <c r="AS180" s="61">
        <v>-6.46</v>
      </c>
      <c r="AT180" s="61">
        <v>0</v>
      </c>
      <c r="AU180" s="61">
        <v>0</v>
      </c>
    </row>
    <row r="181" spans="1:47" x14ac:dyDescent="0.2">
      <c r="A181" s="58" t="s">
        <v>564</v>
      </c>
      <c r="B181" s="58" t="s">
        <v>565</v>
      </c>
      <c r="C181" s="58" t="s">
        <v>178</v>
      </c>
      <c r="D181" s="59">
        <v>66</v>
      </c>
      <c r="E181" s="59">
        <v>0</v>
      </c>
      <c r="F181" s="59">
        <v>4259</v>
      </c>
      <c r="G181" s="59">
        <v>0</v>
      </c>
      <c r="H181" s="59">
        <v>4325</v>
      </c>
      <c r="I181" s="59">
        <v>-2998</v>
      </c>
      <c r="J181" s="59">
        <v>0</v>
      </c>
      <c r="K181" s="59">
        <v>0</v>
      </c>
      <c r="L181" s="59">
        <v>0</v>
      </c>
      <c r="M181" s="59">
        <v>0</v>
      </c>
      <c r="N181" s="59">
        <v>0</v>
      </c>
      <c r="O181" s="59">
        <v>0</v>
      </c>
      <c r="P181" s="59">
        <v>1327</v>
      </c>
      <c r="Q181" s="59">
        <v>200</v>
      </c>
      <c r="R181" s="60">
        <v>38.487133</v>
      </c>
      <c r="S181" s="61">
        <v>41.98</v>
      </c>
      <c r="T181" s="61">
        <v>38.51</v>
      </c>
      <c r="U181" s="61">
        <v>178792.82</v>
      </c>
      <c r="V181" s="61">
        <v>0</v>
      </c>
      <c r="W181" s="61">
        <v>-125856.04</v>
      </c>
      <c r="X181" s="61">
        <v>0</v>
      </c>
      <c r="Y181" s="61">
        <v>0</v>
      </c>
      <c r="Z181" s="61">
        <v>0</v>
      </c>
      <c r="AA181" s="61">
        <v>0</v>
      </c>
      <c r="AB181" s="61">
        <v>0</v>
      </c>
      <c r="AC181" s="61">
        <v>0</v>
      </c>
      <c r="AD181" s="61">
        <v>2643.66</v>
      </c>
      <c r="AE181" s="62">
        <v>0</v>
      </c>
      <c r="AF181" s="61">
        <v>163916.70000000001</v>
      </c>
      <c r="AG181" s="61">
        <v>0</v>
      </c>
      <c r="AH181" s="61">
        <v>166560.35999999999</v>
      </c>
      <c r="AI181" s="61">
        <v>-115456.18</v>
      </c>
      <c r="AJ181" s="61">
        <v>0</v>
      </c>
      <c r="AK181" s="61">
        <v>0</v>
      </c>
      <c r="AL181" s="61">
        <v>0</v>
      </c>
      <c r="AM181" s="61">
        <v>0</v>
      </c>
      <c r="AN181" s="61">
        <v>0</v>
      </c>
      <c r="AO181" s="61">
        <v>0</v>
      </c>
      <c r="AP181" s="61">
        <v>51104.18</v>
      </c>
      <c r="AQ181" s="61">
        <v>0</v>
      </c>
      <c r="AR181" s="61">
        <v>7702.21</v>
      </c>
      <c r="AS181" s="61">
        <v>-14876.12</v>
      </c>
      <c r="AT181" s="61">
        <v>10399.86</v>
      </c>
      <c r="AU181" s="61">
        <v>0</v>
      </c>
    </row>
    <row r="182" spans="1:47" x14ac:dyDescent="0.2">
      <c r="A182" s="58" t="s">
        <v>576</v>
      </c>
      <c r="B182" s="58" t="s">
        <v>577</v>
      </c>
      <c r="C182" s="58" t="s">
        <v>178</v>
      </c>
      <c r="D182" s="59">
        <v>83</v>
      </c>
      <c r="E182" s="59">
        <v>0</v>
      </c>
      <c r="F182" s="59">
        <v>0</v>
      </c>
      <c r="G182" s="59">
        <v>0</v>
      </c>
      <c r="H182" s="59">
        <v>83</v>
      </c>
      <c r="I182" s="59">
        <v>0</v>
      </c>
      <c r="J182" s="59">
        <v>0</v>
      </c>
      <c r="K182" s="59">
        <v>0</v>
      </c>
      <c r="L182" s="59">
        <v>0</v>
      </c>
      <c r="M182" s="59">
        <v>0</v>
      </c>
      <c r="N182" s="59">
        <v>0</v>
      </c>
      <c r="O182" s="59">
        <v>0</v>
      </c>
      <c r="P182" s="59">
        <v>83</v>
      </c>
      <c r="Q182" s="59">
        <v>0</v>
      </c>
      <c r="R182" s="60">
        <v>0</v>
      </c>
      <c r="S182" s="61">
        <v>38.770000000000003</v>
      </c>
      <c r="T182" s="61">
        <v>45.16</v>
      </c>
      <c r="U182" s="61">
        <v>0</v>
      </c>
      <c r="V182" s="61">
        <v>0</v>
      </c>
      <c r="W182" s="61">
        <v>0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0</v>
      </c>
      <c r="AD182" s="61">
        <v>3747.87</v>
      </c>
      <c r="AE182" s="62">
        <v>0</v>
      </c>
      <c r="AF182" s="61">
        <v>0</v>
      </c>
      <c r="AG182" s="61">
        <v>0</v>
      </c>
      <c r="AH182" s="61">
        <v>3747.87</v>
      </c>
      <c r="AI182" s="61">
        <v>0</v>
      </c>
      <c r="AJ182" s="61">
        <v>0</v>
      </c>
      <c r="AK182" s="61">
        <v>0</v>
      </c>
      <c r="AL182" s="61">
        <v>0</v>
      </c>
      <c r="AM182" s="61">
        <v>0</v>
      </c>
      <c r="AN182" s="61">
        <v>0</v>
      </c>
      <c r="AO182" s="61">
        <v>0</v>
      </c>
      <c r="AP182" s="61">
        <v>3747.87</v>
      </c>
      <c r="AQ182" s="61">
        <v>0</v>
      </c>
      <c r="AR182" s="61">
        <v>0</v>
      </c>
      <c r="AS182" s="61">
        <v>0</v>
      </c>
      <c r="AT182" s="61">
        <v>0</v>
      </c>
      <c r="AU182" s="61">
        <v>0</v>
      </c>
    </row>
    <row r="183" spans="1:47" x14ac:dyDescent="0.2">
      <c r="A183" s="58" t="s">
        <v>510</v>
      </c>
      <c r="B183" s="58" t="s">
        <v>511</v>
      </c>
      <c r="C183" s="58" t="s">
        <v>178</v>
      </c>
      <c r="D183" s="59">
        <v>580</v>
      </c>
      <c r="E183" s="59">
        <v>275</v>
      </c>
      <c r="F183" s="59">
        <v>10</v>
      </c>
      <c r="G183" s="59">
        <v>0</v>
      </c>
      <c r="H183" s="59">
        <v>590</v>
      </c>
      <c r="I183" s="59">
        <v>0</v>
      </c>
      <c r="J183" s="59">
        <v>0</v>
      </c>
      <c r="K183" s="59">
        <v>0</v>
      </c>
      <c r="L183" s="59">
        <v>0</v>
      </c>
      <c r="M183" s="59">
        <v>0</v>
      </c>
      <c r="N183" s="59">
        <v>0</v>
      </c>
      <c r="O183" s="59">
        <v>0</v>
      </c>
      <c r="P183" s="59">
        <v>590</v>
      </c>
      <c r="Q183" s="59">
        <v>0</v>
      </c>
      <c r="R183" s="60">
        <v>36.393000000000001</v>
      </c>
      <c r="S183" s="61">
        <v>37.35</v>
      </c>
      <c r="T183" s="61">
        <v>39.08</v>
      </c>
      <c r="U183" s="61">
        <v>373.5</v>
      </c>
      <c r="V183" s="61">
        <v>0</v>
      </c>
      <c r="W183" s="61">
        <v>0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22691.47</v>
      </c>
      <c r="AE183" s="62">
        <v>0</v>
      </c>
      <c r="AF183" s="61">
        <v>363.93</v>
      </c>
      <c r="AG183" s="61">
        <v>0</v>
      </c>
      <c r="AH183" s="61">
        <v>23055.4</v>
      </c>
      <c r="AI183" s="61">
        <v>0</v>
      </c>
      <c r="AJ183" s="61">
        <v>0</v>
      </c>
      <c r="AK183" s="61">
        <v>0</v>
      </c>
      <c r="AL183" s="61">
        <v>0</v>
      </c>
      <c r="AM183" s="61">
        <v>0</v>
      </c>
      <c r="AN183" s="61">
        <v>0</v>
      </c>
      <c r="AO183" s="61">
        <v>0</v>
      </c>
      <c r="AP183" s="61">
        <v>23055.4</v>
      </c>
      <c r="AQ183" s="61">
        <v>0</v>
      </c>
      <c r="AR183" s="61">
        <v>0</v>
      </c>
      <c r="AS183" s="61">
        <v>-9.57</v>
      </c>
      <c r="AT183" s="61">
        <v>0</v>
      </c>
      <c r="AU183" s="61">
        <v>0</v>
      </c>
    </row>
    <row r="184" spans="1:47" x14ac:dyDescent="0.2">
      <c r="A184" s="58" t="s">
        <v>512</v>
      </c>
      <c r="B184" s="58" t="s">
        <v>513</v>
      </c>
      <c r="C184" s="58" t="s">
        <v>178</v>
      </c>
      <c r="D184" s="59">
        <v>20</v>
      </c>
      <c r="E184" s="59">
        <v>1111</v>
      </c>
      <c r="F184" s="59">
        <v>130</v>
      </c>
      <c r="G184" s="59">
        <v>0</v>
      </c>
      <c r="H184" s="59">
        <v>150</v>
      </c>
      <c r="I184" s="59">
        <v>0</v>
      </c>
      <c r="J184" s="59">
        <v>0</v>
      </c>
      <c r="K184" s="59">
        <v>0</v>
      </c>
      <c r="L184" s="59">
        <v>0</v>
      </c>
      <c r="M184" s="59">
        <v>0</v>
      </c>
      <c r="N184" s="59">
        <v>0</v>
      </c>
      <c r="O184" s="59">
        <v>0</v>
      </c>
      <c r="P184" s="59">
        <v>150</v>
      </c>
      <c r="Q184" s="59">
        <v>0</v>
      </c>
      <c r="R184" s="60">
        <v>36.401462000000002</v>
      </c>
      <c r="S184" s="61">
        <v>37.35</v>
      </c>
      <c r="T184" s="61">
        <v>36.549999999999997</v>
      </c>
      <c r="U184" s="61">
        <v>4855.5</v>
      </c>
      <c r="V184" s="61">
        <v>0</v>
      </c>
      <c r="W184" s="61">
        <v>0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750.88</v>
      </c>
      <c r="AE184" s="62">
        <v>0</v>
      </c>
      <c r="AF184" s="61">
        <v>4732.1899999999996</v>
      </c>
      <c r="AG184" s="61">
        <v>0</v>
      </c>
      <c r="AH184" s="61">
        <v>5483.07</v>
      </c>
      <c r="AI184" s="61">
        <v>0</v>
      </c>
      <c r="AJ184" s="61">
        <v>0</v>
      </c>
      <c r="AK184" s="61">
        <v>0</v>
      </c>
      <c r="AL184" s="61">
        <v>0</v>
      </c>
      <c r="AM184" s="61">
        <v>0</v>
      </c>
      <c r="AN184" s="61">
        <v>0</v>
      </c>
      <c r="AO184" s="61">
        <v>0</v>
      </c>
      <c r="AP184" s="61">
        <v>5483.07</v>
      </c>
      <c r="AQ184" s="61">
        <v>0</v>
      </c>
      <c r="AR184" s="61">
        <v>0</v>
      </c>
      <c r="AS184" s="61">
        <v>-123.31</v>
      </c>
      <c r="AT184" s="61">
        <v>0</v>
      </c>
      <c r="AU184" s="61">
        <v>0</v>
      </c>
    </row>
    <row r="185" spans="1:47" x14ac:dyDescent="0.2">
      <c r="A185" s="58" t="s">
        <v>514</v>
      </c>
      <c r="B185" s="58" t="s">
        <v>515</v>
      </c>
      <c r="C185" s="58" t="s">
        <v>178</v>
      </c>
      <c r="D185" s="59">
        <v>7</v>
      </c>
      <c r="E185" s="59">
        <v>120</v>
      </c>
      <c r="F185" s="59">
        <v>1</v>
      </c>
      <c r="G185" s="59">
        <v>0</v>
      </c>
      <c r="H185" s="59">
        <v>8</v>
      </c>
      <c r="I185" s="59">
        <v>0</v>
      </c>
      <c r="J185" s="59">
        <v>0</v>
      </c>
      <c r="K185" s="59">
        <v>0</v>
      </c>
      <c r="L185" s="59">
        <v>0</v>
      </c>
      <c r="M185" s="59">
        <v>0</v>
      </c>
      <c r="N185" s="59">
        <v>0</v>
      </c>
      <c r="O185" s="59">
        <v>0</v>
      </c>
      <c r="P185" s="59">
        <v>8</v>
      </c>
      <c r="Q185" s="59">
        <v>0</v>
      </c>
      <c r="R185" s="60">
        <v>36.04</v>
      </c>
      <c r="S185" s="61">
        <v>39.35</v>
      </c>
      <c r="T185" s="61">
        <v>36.86</v>
      </c>
      <c r="U185" s="61">
        <v>39.35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258.83999999999997</v>
      </c>
      <c r="AE185" s="62">
        <v>0</v>
      </c>
      <c r="AF185" s="61">
        <v>36.04</v>
      </c>
      <c r="AG185" s="61">
        <v>0</v>
      </c>
      <c r="AH185" s="61">
        <v>294.88</v>
      </c>
      <c r="AI185" s="61">
        <v>0</v>
      </c>
      <c r="AJ185" s="61">
        <v>0</v>
      </c>
      <c r="AK185" s="61">
        <v>0</v>
      </c>
      <c r="AL185" s="61">
        <v>0</v>
      </c>
      <c r="AM185" s="61">
        <v>0</v>
      </c>
      <c r="AN185" s="61">
        <v>0</v>
      </c>
      <c r="AO185" s="61">
        <v>0</v>
      </c>
      <c r="AP185" s="61">
        <v>294.88</v>
      </c>
      <c r="AQ185" s="61">
        <v>0</v>
      </c>
      <c r="AR185" s="61">
        <v>0</v>
      </c>
      <c r="AS185" s="61">
        <v>-3.31</v>
      </c>
      <c r="AT185" s="61">
        <v>0</v>
      </c>
      <c r="AU185" s="61">
        <v>0</v>
      </c>
    </row>
    <row r="186" spans="1:47" x14ac:dyDescent="0.2">
      <c r="A186" s="58" t="s">
        <v>589</v>
      </c>
      <c r="B186" s="58" t="s">
        <v>590</v>
      </c>
      <c r="C186" s="58" t="s">
        <v>178</v>
      </c>
      <c r="D186" s="59">
        <v>0</v>
      </c>
      <c r="E186" s="59">
        <v>0</v>
      </c>
      <c r="F186" s="59">
        <v>72</v>
      </c>
      <c r="G186" s="59">
        <v>0</v>
      </c>
      <c r="H186" s="59">
        <v>72</v>
      </c>
      <c r="I186" s="59">
        <v>0</v>
      </c>
      <c r="J186" s="59">
        <v>0</v>
      </c>
      <c r="K186" s="59">
        <v>0</v>
      </c>
      <c r="L186" s="59">
        <v>0</v>
      </c>
      <c r="M186" s="59">
        <v>0</v>
      </c>
      <c r="N186" s="59">
        <v>0</v>
      </c>
      <c r="O186" s="59">
        <v>0</v>
      </c>
      <c r="P186" s="59">
        <v>72</v>
      </c>
      <c r="Q186" s="59">
        <v>0</v>
      </c>
      <c r="R186" s="60">
        <v>37.156111000000003</v>
      </c>
      <c r="S186" s="61">
        <v>40.409999999999997</v>
      </c>
      <c r="T186" s="61">
        <v>37.159999999999997</v>
      </c>
      <c r="U186" s="61">
        <v>2909.52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2">
        <v>0</v>
      </c>
      <c r="AF186" s="61">
        <v>2675.24</v>
      </c>
      <c r="AG186" s="61">
        <v>0</v>
      </c>
      <c r="AH186" s="61">
        <v>2675.24</v>
      </c>
      <c r="AI186" s="61">
        <v>0</v>
      </c>
      <c r="AJ186" s="61">
        <v>0</v>
      </c>
      <c r="AK186" s="61">
        <v>0</v>
      </c>
      <c r="AL186" s="61">
        <v>0</v>
      </c>
      <c r="AM186" s="61">
        <v>0</v>
      </c>
      <c r="AN186" s="61">
        <v>0</v>
      </c>
      <c r="AO186" s="61">
        <v>0</v>
      </c>
      <c r="AP186" s="61">
        <v>2675.24</v>
      </c>
      <c r="AQ186" s="61">
        <v>0</v>
      </c>
      <c r="AR186" s="61">
        <v>0</v>
      </c>
      <c r="AS186" s="61">
        <v>-234.28</v>
      </c>
      <c r="AT186" s="61">
        <v>0</v>
      </c>
      <c r="AU186" s="61">
        <v>0</v>
      </c>
    </row>
    <row r="187" spans="1:47" x14ac:dyDescent="0.2">
      <c r="A187" s="58" t="s">
        <v>495</v>
      </c>
      <c r="B187" s="58" t="s">
        <v>516</v>
      </c>
      <c r="C187" s="58" t="s">
        <v>178</v>
      </c>
      <c r="D187" s="59">
        <v>45</v>
      </c>
      <c r="E187" s="59">
        <v>801</v>
      </c>
      <c r="F187" s="59">
        <v>21</v>
      </c>
      <c r="G187" s="59">
        <v>0</v>
      </c>
      <c r="H187" s="59">
        <v>66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66</v>
      </c>
      <c r="Q187" s="59">
        <v>0</v>
      </c>
      <c r="R187" s="60">
        <v>36.043332999999997</v>
      </c>
      <c r="S187" s="61">
        <v>39.36</v>
      </c>
      <c r="T187" s="61">
        <v>38.58</v>
      </c>
      <c r="U187" s="61">
        <v>826.56</v>
      </c>
      <c r="V187" s="61">
        <v>0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1789.05</v>
      </c>
      <c r="AE187" s="62">
        <v>0</v>
      </c>
      <c r="AF187" s="61">
        <v>756.91</v>
      </c>
      <c r="AG187" s="61">
        <v>0</v>
      </c>
      <c r="AH187" s="61">
        <v>2545.96</v>
      </c>
      <c r="AI187" s="61">
        <v>0</v>
      </c>
      <c r="AJ187" s="61">
        <v>0</v>
      </c>
      <c r="AK187" s="61">
        <v>0</v>
      </c>
      <c r="AL187" s="61">
        <v>0</v>
      </c>
      <c r="AM187" s="61">
        <v>0</v>
      </c>
      <c r="AN187" s="61">
        <v>0</v>
      </c>
      <c r="AO187" s="61">
        <v>0</v>
      </c>
      <c r="AP187" s="61">
        <v>2545.96</v>
      </c>
      <c r="AQ187" s="61">
        <v>0</v>
      </c>
      <c r="AR187" s="61">
        <v>0</v>
      </c>
      <c r="AS187" s="61">
        <v>-69.650000000000006</v>
      </c>
      <c r="AT187" s="61">
        <v>0</v>
      </c>
      <c r="AU187" s="61">
        <v>0</v>
      </c>
    </row>
    <row r="188" spans="1:47" x14ac:dyDescent="0.2">
      <c r="A188" s="58" t="s">
        <v>591</v>
      </c>
      <c r="B188" s="58" t="s">
        <v>592</v>
      </c>
      <c r="C188" s="58" t="s">
        <v>178</v>
      </c>
      <c r="D188" s="59">
        <v>0</v>
      </c>
      <c r="E188" s="59">
        <v>0</v>
      </c>
      <c r="F188" s="59">
        <v>64</v>
      </c>
      <c r="G188" s="59">
        <v>0</v>
      </c>
      <c r="H188" s="59">
        <v>64</v>
      </c>
      <c r="I188" s="59">
        <v>0</v>
      </c>
      <c r="J188" s="59">
        <v>0</v>
      </c>
      <c r="K188" s="59">
        <v>0</v>
      </c>
      <c r="L188" s="59">
        <v>0</v>
      </c>
      <c r="M188" s="59">
        <v>0</v>
      </c>
      <c r="N188" s="59">
        <v>0</v>
      </c>
      <c r="O188" s="59">
        <v>0</v>
      </c>
      <c r="P188" s="59">
        <v>64</v>
      </c>
      <c r="Q188" s="59">
        <v>0</v>
      </c>
      <c r="R188" s="60">
        <v>29.570312999999999</v>
      </c>
      <c r="S188" s="61">
        <v>32.78</v>
      </c>
      <c r="T188" s="61">
        <v>29.57</v>
      </c>
      <c r="U188" s="61">
        <v>2097.92</v>
      </c>
      <c r="V188" s="61">
        <v>0</v>
      </c>
      <c r="W188" s="61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2">
        <v>0</v>
      </c>
      <c r="AF188" s="61">
        <v>1892.5</v>
      </c>
      <c r="AG188" s="61">
        <v>0</v>
      </c>
      <c r="AH188" s="61">
        <v>1892.5</v>
      </c>
      <c r="AI188" s="61">
        <v>0</v>
      </c>
      <c r="AJ188" s="61">
        <v>0</v>
      </c>
      <c r="AK188" s="61">
        <v>0</v>
      </c>
      <c r="AL188" s="61">
        <v>0</v>
      </c>
      <c r="AM188" s="61">
        <v>0</v>
      </c>
      <c r="AN188" s="61">
        <v>0</v>
      </c>
      <c r="AO188" s="61">
        <v>0</v>
      </c>
      <c r="AP188" s="61">
        <v>1892.5</v>
      </c>
      <c r="AQ188" s="61">
        <v>0</v>
      </c>
      <c r="AR188" s="61">
        <v>0</v>
      </c>
      <c r="AS188" s="61">
        <v>-205.42</v>
      </c>
      <c r="AT188" s="61">
        <v>0</v>
      </c>
      <c r="AU188" s="61">
        <v>0</v>
      </c>
    </row>
    <row r="189" spans="1:47" x14ac:dyDescent="0.2">
      <c r="A189" s="58" t="s">
        <v>593</v>
      </c>
      <c r="B189" s="58" t="s">
        <v>594</v>
      </c>
      <c r="C189" s="58" t="s">
        <v>178</v>
      </c>
      <c r="D189" s="59">
        <v>0</v>
      </c>
      <c r="E189" s="59">
        <v>0</v>
      </c>
      <c r="F189" s="59">
        <v>84</v>
      </c>
      <c r="G189" s="59">
        <v>0</v>
      </c>
      <c r="H189" s="59">
        <v>84</v>
      </c>
      <c r="I189" s="59">
        <v>0</v>
      </c>
      <c r="J189" s="59">
        <v>0</v>
      </c>
      <c r="K189" s="59">
        <v>0</v>
      </c>
      <c r="L189" s="59">
        <v>0</v>
      </c>
      <c r="M189" s="59">
        <v>0</v>
      </c>
      <c r="N189" s="59">
        <v>0</v>
      </c>
      <c r="O189" s="59">
        <v>0</v>
      </c>
      <c r="P189" s="59">
        <v>84</v>
      </c>
      <c r="Q189" s="59">
        <v>0</v>
      </c>
      <c r="R189" s="60">
        <v>30.862857000000002</v>
      </c>
      <c r="S189" s="61">
        <v>33.74</v>
      </c>
      <c r="T189" s="61">
        <v>30.86</v>
      </c>
      <c r="U189" s="61">
        <v>2834.16</v>
      </c>
      <c r="V189" s="61">
        <v>0</v>
      </c>
      <c r="W189" s="61">
        <v>0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61">
        <v>0</v>
      </c>
      <c r="AE189" s="62">
        <v>0</v>
      </c>
      <c r="AF189" s="61">
        <v>2592.48</v>
      </c>
      <c r="AG189" s="61">
        <v>0</v>
      </c>
      <c r="AH189" s="61">
        <v>2592.48</v>
      </c>
      <c r="AI189" s="61">
        <v>0</v>
      </c>
      <c r="AJ189" s="61">
        <v>0</v>
      </c>
      <c r="AK189" s="61">
        <v>0</v>
      </c>
      <c r="AL189" s="61">
        <v>0</v>
      </c>
      <c r="AM189" s="61">
        <v>0</v>
      </c>
      <c r="AN189" s="61">
        <v>0</v>
      </c>
      <c r="AO189" s="61">
        <v>0</v>
      </c>
      <c r="AP189" s="61">
        <v>2592.48</v>
      </c>
      <c r="AQ189" s="61">
        <v>0</v>
      </c>
      <c r="AR189" s="61">
        <v>0</v>
      </c>
      <c r="AS189" s="61">
        <v>-241.68</v>
      </c>
      <c r="AT189" s="61">
        <v>0</v>
      </c>
      <c r="AU189" s="61">
        <v>0</v>
      </c>
    </row>
    <row r="190" spans="1:47" x14ac:dyDescent="0.2">
      <c r="A190" s="63"/>
      <c r="B190" s="63"/>
      <c r="C190" s="63"/>
      <c r="D190" s="64">
        <v>140876</v>
      </c>
      <c r="E190" s="64">
        <v>21022</v>
      </c>
      <c r="F190" s="64">
        <v>265324</v>
      </c>
      <c r="G190" s="64">
        <v>0</v>
      </c>
      <c r="H190" s="64">
        <v>406200</v>
      </c>
      <c r="I190" s="64">
        <v>-256224</v>
      </c>
      <c r="J190" s="64">
        <v>0</v>
      </c>
      <c r="K190" s="64">
        <v>0</v>
      </c>
      <c r="L190" s="64">
        <v>0</v>
      </c>
      <c r="M190" s="64">
        <v>0</v>
      </c>
      <c r="N190" s="64">
        <v>-30</v>
      </c>
      <c r="O190" s="64">
        <v>0</v>
      </c>
      <c r="P190" s="64">
        <v>149946</v>
      </c>
      <c r="Q190" s="64">
        <v>26632</v>
      </c>
      <c r="R190" s="65"/>
      <c r="S190" s="66"/>
      <c r="T190" s="66"/>
      <c r="U190" s="66">
        <v>10139488.220000001</v>
      </c>
      <c r="V190" s="66">
        <v>0</v>
      </c>
      <c r="W190" s="66">
        <v>-9661492.9600000009</v>
      </c>
      <c r="X190" s="66">
        <v>0</v>
      </c>
      <c r="Y190" s="66">
        <v>0</v>
      </c>
      <c r="Z190" s="66">
        <v>0</v>
      </c>
      <c r="AA190" s="66">
        <v>0</v>
      </c>
      <c r="AB190" s="66">
        <v>-1401.9</v>
      </c>
      <c r="AC190" s="66">
        <v>0</v>
      </c>
      <c r="AD190" s="66">
        <v>5529170.4699999997</v>
      </c>
      <c r="AE190" s="67"/>
      <c r="AF190" s="66">
        <v>9278302.6699999999</v>
      </c>
      <c r="AG190" s="66">
        <v>0</v>
      </c>
      <c r="AH190" s="66">
        <v>14807473.140000001</v>
      </c>
      <c r="AI190" s="66">
        <v>-9392879.8499999996</v>
      </c>
      <c r="AJ190" s="66">
        <v>0</v>
      </c>
      <c r="AK190" s="66">
        <v>0</v>
      </c>
      <c r="AL190" s="66">
        <v>0</v>
      </c>
      <c r="AM190" s="66">
        <v>0</v>
      </c>
      <c r="AN190" s="66">
        <v>-1409.22</v>
      </c>
      <c r="AO190" s="66">
        <v>0</v>
      </c>
      <c r="AP190" s="66">
        <v>5413184.04</v>
      </c>
      <c r="AQ190" s="66">
        <v>0</v>
      </c>
      <c r="AR190" s="66">
        <v>1016486.48</v>
      </c>
      <c r="AS190" s="66">
        <v>-861185.55</v>
      </c>
      <c r="AT190" s="66">
        <v>268613.12</v>
      </c>
      <c r="AU190" s="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Q157"/>
  <sheetViews>
    <sheetView showGridLines="0" workbookViewId="0">
      <pane xSplit="2" ySplit="4" topLeftCell="C134" activePane="bottomRight" state="frozen"/>
      <selection pane="topRight" activeCell="C1" sqref="C1"/>
      <selection pane="bottomLeft" activeCell="A5" sqref="A5"/>
      <selection pane="bottomRight" activeCell="I115" sqref="I115"/>
    </sheetView>
  </sheetViews>
  <sheetFormatPr defaultColWidth="9.140625" defaultRowHeight="12.75" x14ac:dyDescent="0.2"/>
  <cols>
    <col min="1" max="1" width="6.28515625" customWidth="1"/>
    <col min="2" max="2" width="15.140625" customWidth="1"/>
    <col min="3" max="3" width="31" customWidth="1"/>
    <col min="4" max="4" width="7.7109375" customWidth="1"/>
    <col min="5" max="5" width="10.85546875" customWidth="1"/>
    <col min="6" max="6" width="11.5703125" customWidth="1"/>
    <col min="7" max="7" width="10.5703125" customWidth="1"/>
    <col min="8" max="8" width="11.28515625" customWidth="1"/>
    <col min="9" max="9" width="11.7109375" customWidth="1"/>
    <col min="10" max="10" width="11.5703125" customWidth="1"/>
    <col min="11" max="11" width="10.85546875" customWidth="1"/>
    <col min="12" max="12" width="12.5703125" customWidth="1"/>
    <col min="13" max="13" width="13.7109375" customWidth="1"/>
    <col min="14" max="14" width="9.140625" customWidth="1"/>
    <col min="15" max="15" width="10.5703125" customWidth="1"/>
    <col min="16" max="16" width="13.140625" style="22" customWidth="1"/>
    <col min="17" max="17" width="11.7109375" customWidth="1"/>
    <col min="18" max="18" width="12.85546875" style="25" customWidth="1"/>
    <col min="19" max="19" width="10.85546875" customWidth="1"/>
    <col min="20" max="20" width="12.5703125" style="22" customWidth="1"/>
    <col min="21" max="21" width="9.140625" customWidth="1"/>
    <col min="22" max="22" width="10.5703125" customWidth="1"/>
    <col min="23" max="23" width="11.28515625" customWidth="1"/>
    <col min="24" max="24" width="11.7109375" customWidth="1"/>
    <col min="25" max="25" width="11.5703125" customWidth="1"/>
    <col min="26" max="26" width="10.85546875" customWidth="1"/>
    <col min="27" max="27" width="12.5703125" customWidth="1"/>
  </cols>
  <sheetData>
    <row r="1" spans="1:27" ht="19.5" customHeight="1" x14ac:dyDescent="0.2">
      <c r="A1" s="1"/>
      <c r="B1" s="1"/>
      <c r="C1" s="2"/>
    </row>
    <row r="2" spans="1:27" ht="19.5" customHeight="1" x14ac:dyDescent="0.2">
      <c r="A2" s="40" t="s">
        <v>0</v>
      </c>
      <c r="B2" s="42" t="s">
        <v>1</v>
      </c>
      <c r="C2" s="42" t="s">
        <v>2</v>
      </c>
      <c r="D2" s="42" t="s">
        <v>3</v>
      </c>
      <c r="E2" s="39" t="s">
        <v>4</v>
      </c>
      <c r="F2" s="36"/>
      <c r="G2" s="39" t="s">
        <v>5</v>
      </c>
      <c r="H2" s="36"/>
      <c r="I2" s="39" t="s">
        <v>6</v>
      </c>
      <c r="J2" s="36"/>
      <c r="K2" s="39" t="s">
        <v>7</v>
      </c>
      <c r="L2" s="36"/>
      <c r="M2" s="3" t="s">
        <v>8</v>
      </c>
      <c r="O2" s="36" t="s">
        <v>5</v>
      </c>
      <c r="P2" s="36"/>
      <c r="Q2" s="36" t="s">
        <v>6</v>
      </c>
      <c r="R2" s="36"/>
      <c r="S2" s="36" t="s">
        <v>7</v>
      </c>
      <c r="T2" s="36"/>
      <c r="V2" s="36" t="s">
        <v>5</v>
      </c>
      <c r="W2" s="36"/>
      <c r="X2" s="36" t="s">
        <v>6</v>
      </c>
      <c r="Y2" s="36"/>
      <c r="Z2" s="36" t="s">
        <v>7</v>
      </c>
      <c r="AA2" s="36"/>
    </row>
    <row r="3" spans="1:27" ht="29.25" customHeight="1" x14ac:dyDescent="0.2">
      <c r="A3" s="41"/>
      <c r="B3" s="43"/>
      <c r="C3" s="43"/>
      <c r="D3" s="43"/>
      <c r="E3" s="4" t="s">
        <v>9</v>
      </c>
      <c r="F3" s="4" t="s">
        <v>10</v>
      </c>
      <c r="G3" s="4" t="s">
        <v>9</v>
      </c>
      <c r="H3" s="4" t="s">
        <v>10</v>
      </c>
      <c r="I3" s="4" t="s">
        <v>9</v>
      </c>
      <c r="J3" s="4" t="s">
        <v>10</v>
      </c>
      <c r="K3" s="4" t="s">
        <v>9</v>
      </c>
      <c r="L3" s="4" t="s">
        <v>10</v>
      </c>
      <c r="M3" s="5"/>
      <c r="O3" s="4" t="s">
        <v>9</v>
      </c>
      <c r="P3" s="20" t="s">
        <v>10</v>
      </c>
      <c r="Q3" s="4" t="s">
        <v>9</v>
      </c>
      <c r="R3" s="23" t="s">
        <v>10</v>
      </c>
      <c r="S3" s="4" t="s">
        <v>9</v>
      </c>
      <c r="T3" s="20" t="s">
        <v>10</v>
      </c>
      <c r="V3" s="4" t="s">
        <v>9</v>
      </c>
      <c r="W3" s="4" t="s">
        <v>10</v>
      </c>
      <c r="X3" s="4" t="s">
        <v>9</v>
      </c>
      <c r="Y3" s="4" t="s">
        <v>10</v>
      </c>
      <c r="Z3" s="4" t="s">
        <v>9</v>
      </c>
      <c r="AA3" s="4" t="s">
        <v>10</v>
      </c>
    </row>
    <row r="4" spans="1:27" ht="15.75" customHeight="1" x14ac:dyDescent="0.2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8" t="s">
        <v>23</v>
      </c>
      <c r="O4" s="7" t="s">
        <v>17</v>
      </c>
      <c r="P4" s="19" t="s">
        <v>18</v>
      </c>
      <c r="Q4" s="7" t="s">
        <v>19</v>
      </c>
      <c r="R4" s="26" t="s">
        <v>20</v>
      </c>
      <c r="S4" s="7" t="s">
        <v>21</v>
      </c>
      <c r="T4" s="19" t="s">
        <v>22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7" t="s">
        <v>22</v>
      </c>
    </row>
    <row r="5" spans="1:27" ht="25.5" customHeight="1" x14ac:dyDescent="0.2">
      <c r="A5" s="9">
        <v>1</v>
      </c>
      <c r="B5" s="10" t="s">
        <v>176</v>
      </c>
      <c r="C5" s="10" t="s">
        <v>470</v>
      </c>
      <c r="D5" s="11" t="s">
        <v>26</v>
      </c>
      <c r="E5" s="12">
        <v>14718</v>
      </c>
      <c r="F5" s="12">
        <v>426773.34</v>
      </c>
      <c r="G5" s="12">
        <v>19112</v>
      </c>
      <c r="H5" s="12">
        <v>484893.21</v>
      </c>
      <c r="I5" s="12">
        <v>24150</v>
      </c>
      <c r="J5" s="12">
        <v>650805.43000000005</v>
      </c>
      <c r="K5" s="12">
        <v>9680</v>
      </c>
      <c r="L5" s="31">
        <v>260861.12</v>
      </c>
      <c r="M5" s="13"/>
      <c r="O5" s="12">
        <f>+SUMIF(Zvf51!$A$2:$A$189,fp!$B5,Zvf51!$F$2:$F$189)</f>
        <v>19112</v>
      </c>
      <c r="P5" s="18">
        <f>+SUMIF(Zvf51!$A$2:$A$189,fp!$B5,Zvf51!$AF$2:$AF$189)</f>
        <v>484893.23</v>
      </c>
      <c r="Q5" s="12">
        <f>-SUMIF(Zvf51!$A$2:$A$189,fp!$B5,Zvf51!$I$2:$I$189)</f>
        <v>24150</v>
      </c>
      <c r="R5" s="24">
        <f>-SUMIF(Zvf51!$A$2:$A$189,fp!$B5,Zvf51!$AI$2:$AI$189)</f>
        <v>650805.43000000005</v>
      </c>
      <c r="S5" s="12">
        <f>+SUMIF(Zvf51!$A$2:$A$189,fp!$B5,Zvf51!$P$2:$P$189)</f>
        <v>9680</v>
      </c>
      <c r="T5" s="18">
        <f>+SUMIF(Zvf51!$A$2:$A$189,fp!$B5,Zvf51!$AP$2:$AP$189)</f>
        <v>260861.14</v>
      </c>
      <c r="V5" s="12">
        <f>+O5-G5</f>
        <v>0</v>
      </c>
      <c r="W5" s="12">
        <f t="shared" ref="W5" si="0">+P5-H5</f>
        <v>1.9999999960418791E-2</v>
      </c>
      <c r="X5" s="12">
        <f t="shared" ref="X5" si="1">+Q5-I5</f>
        <v>0</v>
      </c>
      <c r="Y5" s="12">
        <f t="shared" ref="Y5" si="2">+R5-J5</f>
        <v>0</v>
      </c>
      <c r="Z5" s="12">
        <f t="shared" ref="Z5" si="3">+S5-K5</f>
        <v>0</v>
      </c>
      <c r="AA5" s="12">
        <f t="shared" ref="AA5" si="4">+T5-L5</f>
        <v>2.0000000018626451E-2</v>
      </c>
    </row>
    <row r="6" spans="1:27" ht="25.5" customHeight="1" x14ac:dyDescent="0.2">
      <c r="A6" s="9">
        <v>2</v>
      </c>
      <c r="B6" s="10" t="s">
        <v>183</v>
      </c>
      <c r="C6" s="10" t="s">
        <v>597</v>
      </c>
      <c r="D6" s="11" t="s">
        <v>26</v>
      </c>
      <c r="E6" s="12">
        <v>0</v>
      </c>
      <c r="F6" s="12">
        <v>0</v>
      </c>
      <c r="G6" s="12">
        <v>96</v>
      </c>
      <c r="H6" s="12">
        <v>3014.49</v>
      </c>
      <c r="I6" s="12">
        <v>0</v>
      </c>
      <c r="J6" s="12">
        <v>0</v>
      </c>
      <c r="K6" s="12">
        <v>96</v>
      </c>
      <c r="L6" s="31">
        <v>3014.49</v>
      </c>
      <c r="M6" s="13"/>
      <c r="O6" s="12">
        <f>+SUMIF(Zvf51!$A$2:$A$189,fp!$B6,Zvf51!$F$2:$F$189)</f>
        <v>96</v>
      </c>
      <c r="P6" s="18">
        <f>+SUMIF(Zvf51!$A$2:$A$189,fp!$B6,Zvf51!$AF$2:$AF$189)</f>
        <v>3014.49</v>
      </c>
      <c r="Q6" s="12">
        <f>-SUMIF(Zvf51!$A$2:$A$189,fp!$B6,Zvf51!$I$2:$I$189)</f>
        <v>0</v>
      </c>
      <c r="R6" s="24">
        <f>-SUMIF(Zvf51!$A$2:$A$189,fp!$B6,Zvf51!$AI$2:$AI$189)</f>
        <v>0</v>
      </c>
      <c r="S6" s="12">
        <f>+SUMIF(Zvf51!$A$2:$A$189,fp!$B6,Zvf51!$P$2:$P$189)</f>
        <v>96</v>
      </c>
      <c r="T6" s="18">
        <f>+SUMIF(Zvf51!$A$2:$A$189,fp!$B6,Zvf51!$AP$2:$AP$189)</f>
        <v>3014.49</v>
      </c>
      <c r="V6" s="12">
        <f t="shared" ref="V6:V69" si="5">+O6-G6</f>
        <v>0</v>
      </c>
      <c r="W6" s="12">
        <f t="shared" ref="W6:W69" si="6">+P6-H6</f>
        <v>0</v>
      </c>
      <c r="X6" s="12">
        <f t="shared" ref="X6:X69" si="7">+Q6-I6</f>
        <v>0</v>
      </c>
      <c r="Y6" s="12">
        <f t="shared" ref="Y6:Y69" si="8">+R6-J6</f>
        <v>0</v>
      </c>
      <c r="Z6" s="12">
        <f t="shared" ref="Z6:Z69" si="9">+S6-K6</f>
        <v>0</v>
      </c>
      <c r="AA6" s="12">
        <f t="shared" ref="AA6:AA69" si="10">+T6-L6</f>
        <v>0</v>
      </c>
    </row>
    <row r="7" spans="1:27" ht="25.5" customHeight="1" x14ac:dyDescent="0.2">
      <c r="A7" s="9">
        <v>3</v>
      </c>
      <c r="B7" s="10" t="s">
        <v>185</v>
      </c>
      <c r="C7" s="10" t="s">
        <v>567</v>
      </c>
      <c r="D7" s="11" t="s">
        <v>26</v>
      </c>
      <c r="E7" s="12">
        <v>7365</v>
      </c>
      <c r="F7" s="12">
        <v>342312.6</v>
      </c>
      <c r="G7" s="12">
        <v>23471</v>
      </c>
      <c r="H7" s="12">
        <v>847384.48</v>
      </c>
      <c r="I7" s="12">
        <v>18250</v>
      </c>
      <c r="J7" s="12">
        <v>704111.04</v>
      </c>
      <c r="K7" s="12">
        <v>12586</v>
      </c>
      <c r="L7" s="31">
        <v>485586.04</v>
      </c>
      <c r="M7" s="13"/>
      <c r="O7" s="12">
        <f>+SUMIF(Zvf51!$A$2:$A$189,fp!$B7,Zvf51!$F$2:$F$189)</f>
        <v>23471</v>
      </c>
      <c r="P7" s="18">
        <f>+SUMIF(Zvf51!$A$2:$A$189,fp!$B7,Zvf51!$AF$2:$AF$189)</f>
        <v>847384.35</v>
      </c>
      <c r="Q7" s="12">
        <f>-SUMIF(Zvf51!$A$2:$A$189,fp!$B7,Zvf51!$I$2:$I$189)</f>
        <v>18250</v>
      </c>
      <c r="R7" s="24">
        <f>-SUMIF(Zvf51!$A$2:$A$189,fp!$B7,Zvf51!$AI$2:$AI$189)</f>
        <v>704111.08</v>
      </c>
      <c r="S7" s="12">
        <f>+SUMIF(Zvf51!$A$2:$A$189,fp!$B7,Zvf51!$P$2:$P$189)</f>
        <v>12586</v>
      </c>
      <c r="T7" s="18">
        <f>+SUMIF(Zvf51!$A$2:$A$189,fp!$B7,Zvf51!$AP$2:$AP$189)</f>
        <v>485585.87</v>
      </c>
      <c r="V7" s="12">
        <f t="shared" si="5"/>
        <v>0</v>
      </c>
      <c r="W7" s="12">
        <f t="shared" si="6"/>
        <v>-0.13000000000465661</v>
      </c>
      <c r="X7" s="12">
        <f t="shared" si="7"/>
        <v>0</v>
      </c>
      <c r="Y7" s="12">
        <f t="shared" si="8"/>
        <v>3.9999999920837581E-2</v>
      </c>
      <c r="Z7" s="12">
        <f t="shared" si="9"/>
        <v>0</v>
      </c>
      <c r="AA7" s="12">
        <f t="shared" si="10"/>
        <v>-0.16999999998370185</v>
      </c>
    </row>
    <row r="8" spans="1:27" ht="25.5" customHeight="1" x14ac:dyDescent="0.2">
      <c r="A8" s="9">
        <v>4</v>
      </c>
      <c r="B8" s="10" t="s">
        <v>187</v>
      </c>
      <c r="C8" s="10" t="s">
        <v>471</v>
      </c>
      <c r="D8" s="11" t="s">
        <v>26</v>
      </c>
      <c r="E8" s="12">
        <v>9564</v>
      </c>
      <c r="F8" s="12">
        <v>359374.75</v>
      </c>
      <c r="G8" s="12">
        <v>19359</v>
      </c>
      <c r="H8" s="12">
        <v>564369.96</v>
      </c>
      <c r="I8" s="12">
        <v>17193</v>
      </c>
      <c r="J8" s="12">
        <v>549111.18000000005</v>
      </c>
      <c r="K8" s="12">
        <v>11730</v>
      </c>
      <c r="L8" s="31">
        <v>374633.53</v>
      </c>
      <c r="M8" s="13"/>
      <c r="O8" s="12">
        <f>+SUMIF(Zvf51!$A$2:$A$189,fp!$B8,Zvf51!$F$2:$F$189)</f>
        <v>19359</v>
      </c>
      <c r="P8" s="18">
        <f>+SUMIF(Zvf51!$A$2:$A$189,fp!$B8,Zvf51!$AF$2:$AF$189)</f>
        <v>564369.94999999995</v>
      </c>
      <c r="Q8" s="12">
        <f>-SUMIF(Zvf51!$A$2:$A$189,fp!$B8,Zvf51!$I$2:$I$189)</f>
        <v>17193</v>
      </c>
      <c r="R8" s="24">
        <f>-SUMIF(Zvf51!$A$2:$A$189,fp!$B8,Zvf51!$AI$2:$AI$189)</f>
        <v>549111.18000000005</v>
      </c>
      <c r="S8" s="12">
        <f>+SUMIF(Zvf51!$A$2:$A$189,fp!$B8,Zvf51!$P$2:$P$189)</f>
        <v>11730</v>
      </c>
      <c r="T8" s="18">
        <f>+SUMIF(Zvf51!$A$2:$A$189,fp!$B8,Zvf51!$AP$2:$AP$189)</f>
        <v>374633.52</v>
      </c>
      <c r="V8" s="12">
        <f t="shared" si="5"/>
        <v>0</v>
      </c>
      <c r="W8" s="12">
        <f t="shared" si="6"/>
        <v>-1.0000000009313226E-2</v>
      </c>
      <c r="X8" s="12">
        <f t="shared" si="7"/>
        <v>0</v>
      </c>
      <c r="Y8" s="12">
        <f t="shared" si="8"/>
        <v>0</v>
      </c>
      <c r="Z8" s="12">
        <f t="shared" si="9"/>
        <v>0</v>
      </c>
      <c r="AA8" s="12">
        <f t="shared" si="10"/>
        <v>-1.0000000009313226E-2</v>
      </c>
    </row>
    <row r="9" spans="1:27" ht="25.5" customHeight="1" x14ac:dyDescent="0.2">
      <c r="A9" s="9">
        <v>5</v>
      </c>
      <c r="B9" s="10" t="s">
        <v>197</v>
      </c>
      <c r="C9" s="10" t="s">
        <v>568</v>
      </c>
      <c r="D9" s="11" t="s">
        <v>26</v>
      </c>
      <c r="E9" s="12">
        <v>1791</v>
      </c>
      <c r="F9" s="12">
        <v>78387.58</v>
      </c>
      <c r="G9" s="12">
        <v>5725</v>
      </c>
      <c r="H9" s="12">
        <v>194515.39</v>
      </c>
      <c r="I9" s="12">
        <v>4674</v>
      </c>
      <c r="J9" s="12">
        <v>169711.12</v>
      </c>
      <c r="K9" s="12">
        <v>2842</v>
      </c>
      <c r="L9" s="31">
        <v>103191.85</v>
      </c>
      <c r="M9" s="13"/>
      <c r="O9" s="12">
        <f>+SUMIF(Zvf51!$A$2:$A$189,fp!$B9,Zvf51!$F$2:$F$189)</f>
        <v>5725</v>
      </c>
      <c r="P9" s="18">
        <f>+SUMIF(Zvf51!$A$2:$A$189,fp!$B9,Zvf51!$AF$2:$AF$189)</f>
        <v>194515.43</v>
      </c>
      <c r="Q9" s="12">
        <f>-SUMIF(Zvf51!$A$2:$A$189,fp!$B9,Zvf51!$I$2:$I$189)</f>
        <v>4674</v>
      </c>
      <c r="R9" s="24">
        <f>-SUMIF(Zvf51!$A$2:$A$189,fp!$B9,Zvf51!$AI$2:$AI$189)</f>
        <v>169711.11</v>
      </c>
      <c r="S9" s="12">
        <f>+SUMIF(Zvf51!$A$2:$A$189,fp!$B9,Zvf51!$P$2:$P$189)</f>
        <v>2842</v>
      </c>
      <c r="T9" s="18">
        <f>+SUMIF(Zvf51!$A$2:$A$189,fp!$B9,Zvf51!$AP$2:$AP$189)</f>
        <v>103191.9</v>
      </c>
      <c r="V9" s="12">
        <f t="shared" si="5"/>
        <v>0</v>
      </c>
      <c r="W9" s="12">
        <f t="shared" si="6"/>
        <v>3.9999999979045242E-2</v>
      </c>
      <c r="X9" s="12">
        <f t="shared" si="7"/>
        <v>0</v>
      </c>
      <c r="Y9" s="12">
        <f t="shared" si="8"/>
        <v>-1.0000000009313226E-2</v>
      </c>
      <c r="Z9" s="12">
        <f t="shared" si="9"/>
        <v>0</v>
      </c>
      <c r="AA9" s="12">
        <f t="shared" si="10"/>
        <v>4.9999999988358468E-2</v>
      </c>
    </row>
    <row r="10" spans="1:27" ht="25.5" customHeight="1" x14ac:dyDescent="0.2">
      <c r="A10" s="9">
        <v>6</v>
      </c>
      <c r="B10" s="10" t="s">
        <v>207</v>
      </c>
      <c r="C10" s="10" t="s">
        <v>410</v>
      </c>
      <c r="D10" s="11" t="s">
        <v>26</v>
      </c>
      <c r="E10" s="12">
        <v>1093</v>
      </c>
      <c r="F10" s="12">
        <v>40119.360000000001</v>
      </c>
      <c r="G10" s="12">
        <v>25</v>
      </c>
      <c r="H10" s="12">
        <v>753.48</v>
      </c>
      <c r="I10" s="12">
        <v>842</v>
      </c>
      <c r="J10" s="12">
        <v>30782.59</v>
      </c>
      <c r="K10" s="12">
        <v>276</v>
      </c>
      <c r="L10" s="31">
        <v>10090.25</v>
      </c>
      <c r="M10" s="13"/>
      <c r="O10" s="12">
        <f>+SUMIF(Zvf51!$A$2:$A$189,fp!$B10,Zvf51!$F$2:$F$189)</f>
        <v>25</v>
      </c>
      <c r="P10" s="18">
        <f>+SUMIF(Zvf51!$A$2:$A$189,fp!$B10,Zvf51!$AF$2:$AF$189)</f>
        <v>753.48</v>
      </c>
      <c r="Q10" s="12">
        <f>-SUMIF(Zvf51!$A$2:$A$189,fp!$B10,Zvf51!$I$2:$I$189)</f>
        <v>842</v>
      </c>
      <c r="R10" s="24">
        <f>-SUMIF(Zvf51!$A$2:$A$189,fp!$B10,Zvf51!$AI$2:$AI$189)</f>
        <v>30782.58</v>
      </c>
      <c r="S10" s="12">
        <f>+SUMIF(Zvf51!$A$2:$A$189,fp!$B10,Zvf51!$P$2:$P$189)</f>
        <v>276</v>
      </c>
      <c r="T10" s="18">
        <f>+SUMIF(Zvf51!$A$2:$A$189,fp!$B10,Zvf51!$AP$2:$AP$189)</f>
        <v>10090.25</v>
      </c>
      <c r="V10" s="12">
        <f t="shared" si="5"/>
        <v>0</v>
      </c>
      <c r="W10" s="12">
        <f t="shared" si="6"/>
        <v>0</v>
      </c>
      <c r="X10" s="12">
        <f t="shared" si="7"/>
        <v>0</v>
      </c>
      <c r="Y10" s="12">
        <f t="shared" si="8"/>
        <v>-9.9999999983992893E-3</v>
      </c>
      <c r="Z10" s="12">
        <f t="shared" si="9"/>
        <v>0</v>
      </c>
      <c r="AA10" s="12">
        <f t="shared" si="10"/>
        <v>0</v>
      </c>
    </row>
    <row r="11" spans="1:27" ht="25.5" customHeight="1" x14ac:dyDescent="0.2">
      <c r="A11" s="9">
        <v>7</v>
      </c>
      <c r="B11" s="10" t="s">
        <v>24</v>
      </c>
      <c r="C11" s="10" t="s">
        <v>25</v>
      </c>
      <c r="D11" s="11" t="s">
        <v>26</v>
      </c>
      <c r="E11" s="12">
        <v>2103</v>
      </c>
      <c r="F11" s="12">
        <v>76587.679999999993</v>
      </c>
      <c r="G11" s="12">
        <v>6020</v>
      </c>
      <c r="H11" s="12">
        <v>179480.36</v>
      </c>
      <c r="I11" s="12">
        <v>5766</v>
      </c>
      <c r="J11" s="12">
        <v>181766.36</v>
      </c>
      <c r="K11" s="12">
        <v>2357</v>
      </c>
      <c r="L11" s="31">
        <v>74301.679999999993</v>
      </c>
      <c r="M11" s="13"/>
      <c r="O11" s="12">
        <f>+SUMIF(Zvf51!$A$2:$A$189,fp!$B11,Zvf51!$F$2:$F$189)</f>
        <v>6020</v>
      </c>
      <c r="P11" s="18">
        <f>+SUMIF(Zvf51!$A$2:$A$189,fp!$B11,Zvf51!$AF$2:$AF$189)</f>
        <v>179480.35</v>
      </c>
      <c r="Q11" s="12">
        <f>-SUMIF(Zvf51!$A$2:$A$189,fp!$B11,Zvf51!$I$2:$I$189)</f>
        <v>5766</v>
      </c>
      <c r="R11" s="24">
        <f>-SUMIF(Zvf51!$A$2:$A$189,fp!$B11,Zvf51!$AI$2:$AI$189)</f>
        <v>181766.37</v>
      </c>
      <c r="S11" s="12">
        <f>+SUMIF(Zvf51!$A$2:$A$189,fp!$B11,Zvf51!$P$2:$P$189)</f>
        <v>2357</v>
      </c>
      <c r="T11" s="18">
        <f>+SUMIF(Zvf51!$A$2:$A$189,fp!$B11,Zvf51!$AP$2:$AP$189)</f>
        <v>74301.649999999994</v>
      </c>
      <c r="V11" s="12">
        <f t="shared" si="5"/>
        <v>0</v>
      </c>
      <c r="W11" s="12">
        <f t="shared" si="6"/>
        <v>-9.9999999802093953E-3</v>
      </c>
      <c r="X11" s="12">
        <f t="shared" si="7"/>
        <v>0</v>
      </c>
      <c r="Y11" s="12">
        <f t="shared" si="8"/>
        <v>1.0000000009313226E-2</v>
      </c>
      <c r="Z11" s="12">
        <f t="shared" si="9"/>
        <v>0</v>
      </c>
      <c r="AA11" s="35">
        <f t="shared" si="10"/>
        <v>-2.9999999998835847E-2</v>
      </c>
    </row>
    <row r="12" spans="1:27" ht="25.5" customHeight="1" x14ac:dyDescent="0.2">
      <c r="A12" s="9">
        <v>8</v>
      </c>
      <c r="B12" s="10" t="s">
        <v>212</v>
      </c>
      <c r="C12" s="10" t="s">
        <v>409</v>
      </c>
      <c r="D12" s="11" t="s">
        <v>43</v>
      </c>
      <c r="E12" s="12">
        <v>19</v>
      </c>
      <c r="F12" s="12">
        <v>881.62</v>
      </c>
      <c r="G12" s="12">
        <v>0</v>
      </c>
      <c r="H12" s="12">
        <v>0</v>
      </c>
      <c r="I12" s="12">
        <v>0</v>
      </c>
      <c r="J12" s="12">
        <v>0</v>
      </c>
      <c r="K12" s="12">
        <v>19</v>
      </c>
      <c r="L12" s="31">
        <v>881.62</v>
      </c>
      <c r="M12" s="13"/>
      <c r="O12" s="12">
        <f>+SUMIF(Zvf51!$A$2:$A$189,fp!$B12,Zvf51!$F$2:$F$189)</f>
        <v>0</v>
      </c>
      <c r="P12" s="18">
        <f>+SUMIF(Zvf51!$A$2:$A$189,fp!$B12,Zvf51!$AF$2:$AF$189)</f>
        <v>0</v>
      </c>
      <c r="Q12" s="12">
        <f>-SUMIF(Zvf51!$A$2:$A$189,fp!$B12,Zvf51!$I$2:$I$189)</f>
        <v>0</v>
      </c>
      <c r="R12" s="24">
        <f>-SUMIF(Zvf51!$A$2:$A$189,fp!$B12,Zvf51!$AI$2:$AI$189)</f>
        <v>0</v>
      </c>
      <c r="S12" s="12">
        <f>+SUMIF(Zvf51!$A$2:$A$189,fp!$B12,Zvf51!$P$2:$P$189)</f>
        <v>19</v>
      </c>
      <c r="T12" s="18">
        <f>+SUMIF(Zvf51!$A$2:$A$189,fp!$B12,Zvf51!$AP$2:$AP$189)</f>
        <v>881.63</v>
      </c>
      <c r="V12" s="12">
        <f t="shared" si="5"/>
        <v>0</v>
      </c>
      <c r="W12" s="12">
        <f t="shared" si="6"/>
        <v>0</v>
      </c>
      <c r="X12" s="12">
        <f t="shared" si="7"/>
        <v>0</v>
      </c>
      <c r="Y12" s="12">
        <f t="shared" si="8"/>
        <v>0</v>
      </c>
      <c r="Z12" s="12">
        <f t="shared" si="9"/>
        <v>0</v>
      </c>
      <c r="AA12" s="12">
        <f t="shared" si="10"/>
        <v>9.9999999999909051E-3</v>
      </c>
    </row>
    <row r="13" spans="1:27" ht="15.75" customHeight="1" x14ac:dyDescent="0.2">
      <c r="A13" s="9">
        <v>9</v>
      </c>
      <c r="B13" s="10" t="s">
        <v>216</v>
      </c>
      <c r="C13" s="10" t="s">
        <v>408</v>
      </c>
      <c r="D13" s="11" t="s">
        <v>26</v>
      </c>
      <c r="E13" s="12">
        <v>173</v>
      </c>
      <c r="F13" s="12">
        <v>9345.41</v>
      </c>
      <c r="G13" s="12">
        <v>0</v>
      </c>
      <c r="H13" s="12">
        <v>0</v>
      </c>
      <c r="I13" s="12">
        <v>0</v>
      </c>
      <c r="J13" s="12">
        <v>0</v>
      </c>
      <c r="K13" s="12">
        <v>173</v>
      </c>
      <c r="L13" s="31">
        <v>9345.41</v>
      </c>
      <c r="M13" s="13"/>
      <c r="O13" s="12">
        <f>+SUMIF(Zvf51!$A$2:$A$189,fp!$B13,Zvf51!$F$2:$F$189)</f>
        <v>0</v>
      </c>
      <c r="P13" s="18">
        <f>+SUMIF(Zvf51!$A$2:$A$189,fp!$B13,Zvf51!$AF$2:$AF$189)</f>
        <v>0</v>
      </c>
      <c r="Q13" s="12">
        <f>-SUMIF(Zvf51!$A$2:$A$189,fp!$B13,Zvf51!$I$2:$I$189)</f>
        <v>0</v>
      </c>
      <c r="R13" s="24">
        <f>-SUMIF(Zvf51!$A$2:$A$189,fp!$B13,Zvf51!$AI$2:$AI$189)</f>
        <v>0</v>
      </c>
      <c r="S13" s="12">
        <f>+SUMIF(Zvf51!$A$2:$A$189,fp!$B13,Zvf51!$P$2:$P$189)</f>
        <v>173</v>
      </c>
      <c r="T13" s="18">
        <f>+SUMIF(Zvf51!$A$2:$A$189,fp!$B13,Zvf51!$AP$2:$AP$189)</f>
        <v>9345.41</v>
      </c>
      <c r="V13" s="12">
        <f t="shared" si="5"/>
        <v>0</v>
      </c>
      <c r="W13" s="12">
        <f t="shared" si="6"/>
        <v>0</v>
      </c>
      <c r="X13" s="12">
        <f t="shared" si="7"/>
        <v>0</v>
      </c>
      <c r="Y13" s="12">
        <f t="shared" si="8"/>
        <v>0</v>
      </c>
      <c r="Z13" s="12">
        <f t="shared" si="9"/>
        <v>0</v>
      </c>
      <c r="AA13" s="12">
        <f t="shared" si="10"/>
        <v>0</v>
      </c>
    </row>
    <row r="14" spans="1:27" s="27" customFormat="1" ht="25.5" customHeight="1" x14ac:dyDescent="0.2">
      <c r="A14" s="9">
        <v>10</v>
      </c>
      <c r="B14" s="10" t="s">
        <v>220</v>
      </c>
      <c r="C14" s="10" t="s">
        <v>407</v>
      </c>
      <c r="D14" s="11" t="s">
        <v>26</v>
      </c>
      <c r="E14" s="12">
        <v>192</v>
      </c>
      <c r="F14" s="12">
        <v>8727.74</v>
      </c>
      <c r="G14" s="12">
        <v>0</v>
      </c>
      <c r="H14" s="12">
        <v>0</v>
      </c>
      <c r="I14" s="12">
        <v>0</v>
      </c>
      <c r="J14" s="12">
        <v>0</v>
      </c>
      <c r="K14" s="12">
        <v>192</v>
      </c>
      <c r="L14" s="31">
        <v>8727.74</v>
      </c>
      <c r="M14" s="13"/>
      <c r="O14" s="12">
        <f>+SUMIF(Zvf51!$A$2:$A$189,fp!$B14,Zvf51!$F$2:$F$189)</f>
        <v>0</v>
      </c>
      <c r="P14" s="18">
        <f>+SUMIF(Zvf51!$A$2:$A$189,fp!$B14,Zvf51!$AF$2:$AF$189)</f>
        <v>0</v>
      </c>
      <c r="Q14" s="12">
        <f>-SUMIF(Zvf51!$A$2:$A$189,fp!$B14,Zvf51!$I$2:$I$189)</f>
        <v>0</v>
      </c>
      <c r="R14" s="24">
        <f>-SUMIF(Zvf51!$A$2:$A$189,fp!$B14,Zvf51!$AI$2:$AI$189)</f>
        <v>0</v>
      </c>
      <c r="S14" s="12">
        <f>+SUMIF(Zvf51!$A$2:$A$189,fp!$B14,Zvf51!$P$2:$P$189)</f>
        <v>192</v>
      </c>
      <c r="T14" s="18">
        <f>+SUMIF(Zvf51!$A$2:$A$189,fp!$B14,Zvf51!$AP$2:$AP$189)</f>
        <v>8727.74</v>
      </c>
      <c r="V14" s="12">
        <f t="shared" si="5"/>
        <v>0</v>
      </c>
      <c r="W14" s="12">
        <f t="shared" si="6"/>
        <v>0</v>
      </c>
      <c r="X14" s="12">
        <f t="shared" si="7"/>
        <v>0</v>
      </c>
      <c r="Y14" s="12">
        <f t="shared" si="8"/>
        <v>0</v>
      </c>
      <c r="Z14" s="12">
        <f t="shared" si="9"/>
        <v>0</v>
      </c>
      <c r="AA14" s="12">
        <f t="shared" si="10"/>
        <v>0</v>
      </c>
    </row>
    <row r="15" spans="1:27" ht="36.75" customHeight="1" x14ac:dyDescent="0.2">
      <c r="A15" s="9">
        <v>11</v>
      </c>
      <c r="B15" s="10" t="s">
        <v>222</v>
      </c>
      <c r="C15" s="10" t="s">
        <v>406</v>
      </c>
      <c r="D15" s="11" t="s">
        <v>26</v>
      </c>
      <c r="E15" s="12">
        <v>115</v>
      </c>
      <c r="F15" s="12">
        <v>5172.28</v>
      </c>
      <c r="G15" s="12">
        <v>0</v>
      </c>
      <c r="H15" s="12">
        <v>0</v>
      </c>
      <c r="I15" s="12">
        <v>0</v>
      </c>
      <c r="J15" s="12">
        <v>0</v>
      </c>
      <c r="K15" s="12">
        <v>115</v>
      </c>
      <c r="L15" s="31">
        <v>5172.28</v>
      </c>
      <c r="M15" s="13"/>
      <c r="O15" s="12">
        <f>+SUMIF(Zvf51!$A$2:$A$189,fp!$B15,Zvf51!$F$2:$F$189)</f>
        <v>0</v>
      </c>
      <c r="P15" s="18">
        <f>+SUMIF(Zvf51!$A$2:$A$189,fp!$B15,Zvf51!$AF$2:$AF$189)</f>
        <v>0</v>
      </c>
      <c r="Q15" s="12">
        <f>-SUMIF(Zvf51!$A$2:$A$189,fp!$B15,Zvf51!$I$2:$I$189)</f>
        <v>0</v>
      </c>
      <c r="R15" s="24">
        <f>-SUMIF(Zvf51!$A$2:$A$189,fp!$B15,Zvf51!$AI$2:$AI$189)</f>
        <v>0</v>
      </c>
      <c r="S15" s="12">
        <f>+SUMIF(Zvf51!$A$2:$A$189,fp!$B15,Zvf51!$P$2:$P$189)</f>
        <v>115</v>
      </c>
      <c r="T15" s="18">
        <f>+SUMIF(Zvf51!$A$2:$A$189,fp!$B15,Zvf51!$AP$2:$AP$189)</f>
        <v>5172.28</v>
      </c>
      <c r="V15" s="12">
        <f t="shared" si="5"/>
        <v>0</v>
      </c>
      <c r="W15" s="12">
        <f t="shared" si="6"/>
        <v>0</v>
      </c>
      <c r="X15" s="12">
        <f t="shared" si="7"/>
        <v>0</v>
      </c>
      <c r="Y15" s="12">
        <f t="shared" si="8"/>
        <v>0</v>
      </c>
      <c r="Z15" s="12">
        <f t="shared" si="9"/>
        <v>0</v>
      </c>
      <c r="AA15" s="12">
        <f t="shared" si="10"/>
        <v>0</v>
      </c>
    </row>
    <row r="16" spans="1:27" ht="36.75" customHeight="1" x14ac:dyDescent="0.2">
      <c r="A16" s="9">
        <v>12</v>
      </c>
      <c r="B16" s="10" t="s">
        <v>226</v>
      </c>
      <c r="C16" s="10" t="s">
        <v>405</v>
      </c>
      <c r="D16" s="11" t="s">
        <v>26</v>
      </c>
      <c r="E16" s="12">
        <v>4</v>
      </c>
      <c r="F16" s="12">
        <v>155.83000000000001</v>
      </c>
      <c r="G16" s="12">
        <v>186</v>
      </c>
      <c r="H16" s="12">
        <v>7042.59</v>
      </c>
      <c r="I16" s="12">
        <v>154</v>
      </c>
      <c r="J16" s="12">
        <v>5834.51</v>
      </c>
      <c r="K16" s="12">
        <v>36</v>
      </c>
      <c r="L16" s="31">
        <v>1363.91</v>
      </c>
      <c r="M16" s="13"/>
      <c r="O16" s="12">
        <f>+SUMIF(Zvf51!$A$2:$A$189,fp!$B16,Zvf51!$F$2:$F$189)</f>
        <v>186</v>
      </c>
      <c r="P16" s="18">
        <f>+SUMIF(Zvf51!$A$2:$A$189,fp!$B16,Zvf51!$AF$2:$AF$189)</f>
        <v>7042.6</v>
      </c>
      <c r="Q16" s="12">
        <f>-SUMIF(Zvf51!$A$2:$A$189,fp!$B16,Zvf51!$I$2:$I$189)</f>
        <v>154</v>
      </c>
      <c r="R16" s="24">
        <f>-SUMIF(Zvf51!$A$2:$A$189,fp!$B16,Zvf51!$AI$2:$AI$189)</f>
        <v>5834.51</v>
      </c>
      <c r="S16" s="12">
        <f>+SUMIF(Zvf51!$A$2:$A$189,fp!$B16,Zvf51!$P$2:$P$189)</f>
        <v>36</v>
      </c>
      <c r="T16" s="18">
        <f>+SUMIF(Zvf51!$A$2:$A$189,fp!$B16,Zvf51!$AP$2:$AP$189)</f>
        <v>1363.91</v>
      </c>
      <c r="V16" s="12">
        <f t="shared" si="5"/>
        <v>0</v>
      </c>
      <c r="W16" s="12">
        <f t="shared" si="6"/>
        <v>1.0000000000218279E-2</v>
      </c>
      <c r="X16" s="12">
        <f t="shared" si="7"/>
        <v>0</v>
      </c>
      <c r="Y16" s="12">
        <f t="shared" si="8"/>
        <v>0</v>
      </c>
      <c r="Z16" s="12">
        <f t="shared" si="9"/>
        <v>0</v>
      </c>
      <c r="AA16" s="12">
        <f t="shared" si="10"/>
        <v>0</v>
      </c>
    </row>
    <row r="17" spans="1:69" ht="25.5" customHeight="1" x14ac:dyDescent="0.2">
      <c r="A17" s="9">
        <v>13</v>
      </c>
      <c r="B17" s="10" t="s">
        <v>581</v>
      </c>
      <c r="C17" s="10" t="s">
        <v>598</v>
      </c>
      <c r="D17" s="11" t="s">
        <v>26</v>
      </c>
      <c r="E17" s="12">
        <v>0</v>
      </c>
      <c r="F17" s="12">
        <v>0</v>
      </c>
      <c r="G17" s="12">
        <v>72</v>
      </c>
      <c r="H17" s="12">
        <v>2466.9</v>
      </c>
      <c r="I17" s="12">
        <v>0</v>
      </c>
      <c r="J17" s="12">
        <v>0</v>
      </c>
      <c r="K17" s="12">
        <v>72</v>
      </c>
      <c r="L17" s="31">
        <v>2466.9</v>
      </c>
      <c r="M17" s="13"/>
      <c r="O17" s="12">
        <f>+SUMIF(Zvf51!$A$2:$A$189,fp!$B17,Zvf51!$F$2:$F$189)</f>
        <v>72</v>
      </c>
      <c r="P17" s="18">
        <f>+SUMIF(Zvf51!$A$2:$A$189,fp!$B17,Zvf51!$AF$2:$AF$189)</f>
        <v>2466.9</v>
      </c>
      <c r="Q17" s="12">
        <f>-SUMIF(Zvf51!$A$2:$A$189,fp!$B17,Zvf51!$I$2:$I$189)</f>
        <v>0</v>
      </c>
      <c r="R17" s="24">
        <f>-SUMIF(Zvf51!$A$2:$A$189,fp!$B17,Zvf51!$AI$2:$AI$189)</f>
        <v>0</v>
      </c>
      <c r="S17" s="12">
        <f>+SUMIF(Zvf51!$A$2:$A$189,fp!$B17,Zvf51!$P$2:$P$189)</f>
        <v>72</v>
      </c>
      <c r="T17" s="18">
        <f>+SUMIF(Zvf51!$A$2:$A$189,fp!$B17,Zvf51!$AP$2:$AP$189)</f>
        <v>2466.9</v>
      </c>
      <c r="V17" s="12">
        <f t="shared" si="5"/>
        <v>0</v>
      </c>
      <c r="W17" s="12">
        <f t="shared" si="6"/>
        <v>0</v>
      </c>
      <c r="X17" s="12">
        <f t="shared" si="7"/>
        <v>0</v>
      </c>
      <c r="Y17" s="12">
        <f t="shared" si="8"/>
        <v>0</v>
      </c>
      <c r="Z17" s="12">
        <f t="shared" si="9"/>
        <v>0</v>
      </c>
      <c r="AA17" s="12">
        <f t="shared" si="10"/>
        <v>0</v>
      </c>
    </row>
    <row r="18" spans="1:69" ht="15.75" customHeight="1" x14ac:dyDescent="0.2">
      <c r="A18" s="9">
        <v>14</v>
      </c>
      <c r="B18" s="10" t="s">
        <v>228</v>
      </c>
      <c r="C18" s="10" t="s">
        <v>404</v>
      </c>
      <c r="D18" s="11" t="s">
        <v>26</v>
      </c>
      <c r="E18" s="12">
        <v>441</v>
      </c>
      <c r="F18" s="12">
        <v>12254.49</v>
      </c>
      <c r="G18" s="12">
        <v>0</v>
      </c>
      <c r="H18" s="12">
        <v>0</v>
      </c>
      <c r="I18" s="12">
        <v>0</v>
      </c>
      <c r="J18" s="12">
        <v>0</v>
      </c>
      <c r="K18" s="12">
        <v>441</v>
      </c>
      <c r="L18" s="31">
        <v>12254.49</v>
      </c>
      <c r="M18" s="13"/>
      <c r="O18" s="12">
        <f>+SUMIF(Zvf51!$A$2:$A$189,fp!$B18,Zvf51!$F$2:$F$189)</f>
        <v>0</v>
      </c>
      <c r="P18" s="18">
        <f>+SUMIF(Zvf51!$A$2:$A$189,fp!$B18,Zvf51!$AF$2:$AF$189)</f>
        <v>0</v>
      </c>
      <c r="Q18" s="12">
        <f>-SUMIF(Zvf51!$A$2:$A$189,fp!$B18,Zvf51!$I$2:$I$189)</f>
        <v>0</v>
      </c>
      <c r="R18" s="24">
        <f>-SUMIF(Zvf51!$A$2:$A$189,fp!$B18,Zvf51!$AI$2:$AI$189)</f>
        <v>0</v>
      </c>
      <c r="S18" s="12">
        <f>+SUMIF(Zvf51!$A$2:$A$189,fp!$B18,Zvf51!$P$2:$P$189)</f>
        <v>441</v>
      </c>
      <c r="T18" s="18">
        <f>+SUMIF(Zvf51!$A$2:$A$189,fp!$B18,Zvf51!$AP$2:$AP$189)</f>
        <v>12254.49</v>
      </c>
      <c r="V18" s="12">
        <f t="shared" si="5"/>
        <v>0</v>
      </c>
      <c r="W18" s="12">
        <f t="shared" si="6"/>
        <v>0</v>
      </c>
      <c r="X18" s="12">
        <f t="shared" si="7"/>
        <v>0</v>
      </c>
      <c r="Y18" s="12">
        <f t="shared" si="8"/>
        <v>0</v>
      </c>
      <c r="Z18" s="12">
        <f t="shared" si="9"/>
        <v>0</v>
      </c>
      <c r="AA18" s="12">
        <f t="shared" si="10"/>
        <v>0</v>
      </c>
    </row>
    <row r="19" spans="1:69" ht="25.5" customHeight="1" x14ac:dyDescent="0.2">
      <c r="A19" s="9">
        <v>15</v>
      </c>
      <c r="B19" s="10" t="s">
        <v>27</v>
      </c>
      <c r="C19" s="10" t="s">
        <v>28</v>
      </c>
      <c r="D19" s="11" t="s">
        <v>26</v>
      </c>
      <c r="E19" s="12">
        <v>3092</v>
      </c>
      <c r="F19" s="12">
        <v>129658.69</v>
      </c>
      <c r="G19" s="12">
        <v>71</v>
      </c>
      <c r="H19" s="12">
        <v>2494.21</v>
      </c>
      <c r="I19" s="12">
        <v>2729</v>
      </c>
      <c r="J19" s="12">
        <v>114020</v>
      </c>
      <c r="K19" s="12">
        <v>434</v>
      </c>
      <c r="L19" s="31">
        <v>18132.900000000001</v>
      </c>
      <c r="M19" s="13"/>
      <c r="O19" s="12">
        <f>+SUMIF(Zvf51!$A$2:$A$189,fp!$B19,Zvf51!$F$2:$F$189)</f>
        <v>71</v>
      </c>
      <c r="P19" s="18">
        <f>+SUMIF(Zvf51!$A$2:$A$189,fp!$B19,Zvf51!$AF$2:$AF$189)</f>
        <v>2494.21</v>
      </c>
      <c r="Q19" s="12">
        <f>-SUMIF(Zvf51!$A$2:$A$189,fp!$B19,Zvf51!$I$2:$I$189)</f>
        <v>2729</v>
      </c>
      <c r="R19" s="24">
        <f>-SUMIF(Zvf51!$A$2:$A$189,fp!$B19,Zvf51!$AI$2:$AI$189)</f>
        <v>114020</v>
      </c>
      <c r="S19" s="12">
        <f>+SUMIF(Zvf51!$A$2:$A$189,fp!$B19,Zvf51!$P$2:$P$189)</f>
        <v>434</v>
      </c>
      <c r="T19" s="18">
        <f>+SUMIF(Zvf51!$A$2:$A$189,fp!$B19,Zvf51!$AP$2:$AP$189)</f>
        <v>18132.900000000001</v>
      </c>
      <c r="V19" s="12">
        <f t="shared" si="5"/>
        <v>0</v>
      </c>
      <c r="W19" s="12">
        <f t="shared" si="6"/>
        <v>0</v>
      </c>
      <c r="X19" s="12">
        <f t="shared" si="7"/>
        <v>0</v>
      </c>
      <c r="Y19" s="12">
        <f t="shared" si="8"/>
        <v>0</v>
      </c>
      <c r="Z19" s="12">
        <f t="shared" si="9"/>
        <v>0</v>
      </c>
      <c r="AA19" s="12">
        <f t="shared" si="10"/>
        <v>0</v>
      </c>
    </row>
    <row r="20" spans="1:69" ht="25.5" customHeight="1" x14ac:dyDescent="0.2">
      <c r="A20" s="9">
        <v>16</v>
      </c>
      <c r="B20" s="10" t="s">
        <v>29</v>
      </c>
      <c r="C20" s="10" t="s">
        <v>30</v>
      </c>
      <c r="D20" s="11" t="s">
        <v>26</v>
      </c>
      <c r="E20" s="12">
        <v>617</v>
      </c>
      <c r="F20" s="12">
        <v>21502.9</v>
      </c>
      <c r="G20" s="12">
        <v>2531</v>
      </c>
      <c r="H20" s="12">
        <v>75327.5</v>
      </c>
      <c r="I20" s="12">
        <v>1017</v>
      </c>
      <c r="J20" s="12">
        <v>31282.25</v>
      </c>
      <c r="K20" s="12">
        <v>2131</v>
      </c>
      <c r="L20" s="31">
        <v>65548.149999999994</v>
      </c>
      <c r="M20" s="13"/>
      <c r="O20" s="12">
        <f>+SUMIF(Zvf51!$A$2:$A$189,fp!$B20,Zvf51!$F$2:$F$189)</f>
        <v>2531</v>
      </c>
      <c r="P20" s="18">
        <f>+SUMIF(Zvf51!$A$2:$A$189,fp!$B20,Zvf51!$AF$2:$AF$189)</f>
        <v>75327.490000000005</v>
      </c>
      <c r="Q20" s="12">
        <f>-SUMIF(Zvf51!$A$2:$A$189,fp!$B20,Zvf51!$I$2:$I$189)</f>
        <v>1017</v>
      </c>
      <c r="R20" s="24">
        <f>-SUMIF(Zvf51!$A$2:$A$189,fp!$B20,Zvf51!$AI$2:$AI$189)</f>
        <v>31282.25</v>
      </c>
      <c r="S20" s="12">
        <f>+SUMIF(Zvf51!$A$2:$A$189,fp!$B20,Zvf51!$P$2:$P$189)</f>
        <v>2131</v>
      </c>
      <c r="T20" s="18">
        <f>+SUMIF(Zvf51!$A$2:$A$189,fp!$B20,Zvf51!$AP$2:$AP$189)</f>
        <v>65548.149999999994</v>
      </c>
      <c r="V20" s="12">
        <f t="shared" si="5"/>
        <v>0</v>
      </c>
      <c r="W20" s="12">
        <f t="shared" si="6"/>
        <v>-9.9999999947613105E-3</v>
      </c>
      <c r="X20" s="12">
        <f t="shared" si="7"/>
        <v>0</v>
      </c>
      <c r="Y20" s="12">
        <f t="shared" si="8"/>
        <v>0</v>
      </c>
      <c r="Z20" s="12">
        <f t="shared" si="9"/>
        <v>0</v>
      </c>
      <c r="AA20" s="12">
        <f t="shared" si="10"/>
        <v>0</v>
      </c>
    </row>
    <row r="21" spans="1:69" ht="25.5" customHeight="1" x14ac:dyDescent="0.2">
      <c r="A21" s="9">
        <v>17</v>
      </c>
      <c r="B21" s="10" t="s">
        <v>31</v>
      </c>
      <c r="C21" s="10" t="s">
        <v>32</v>
      </c>
      <c r="D21" s="11" t="s">
        <v>26</v>
      </c>
      <c r="E21" s="12">
        <v>2816</v>
      </c>
      <c r="F21" s="12">
        <v>94874.63</v>
      </c>
      <c r="G21" s="12">
        <v>10591</v>
      </c>
      <c r="H21" s="12">
        <v>311439.21000000002</v>
      </c>
      <c r="I21" s="12">
        <v>12969</v>
      </c>
      <c r="J21" s="12">
        <v>393039.78</v>
      </c>
      <c r="K21" s="12">
        <v>438</v>
      </c>
      <c r="L21" s="31">
        <v>13274.06</v>
      </c>
      <c r="M21" s="13"/>
      <c r="O21" s="12">
        <f>+SUMIF(Zvf51!$A$2:$A$189,fp!$B21,Zvf51!$F$2:$F$189)</f>
        <v>10591</v>
      </c>
      <c r="P21" s="18">
        <f>+SUMIF(Zvf51!$A$2:$A$189,fp!$B21,Zvf51!$AF$2:$AF$189)</f>
        <v>311439.24</v>
      </c>
      <c r="Q21" s="12">
        <f>-SUMIF(Zvf51!$A$2:$A$189,fp!$B21,Zvf51!$I$2:$I$189)</f>
        <v>12969</v>
      </c>
      <c r="R21" s="24">
        <f>-SUMIF(Zvf51!$A$2:$A$189,fp!$B21,Zvf51!$AI$2:$AI$189)</f>
        <v>393039.8</v>
      </c>
      <c r="S21" s="12">
        <f>+SUMIF(Zvf51!$A$2:$A$189,fp!$B21,Zvf51!$P$2:$P$189)</f>
        <v>438</v>
      </c>
      <c r="T21" s="18">
        <f>+SUMIF(Zvf51!$A$2:$A$189,fp!$B21,Zvf51!$AP$2:$AP$189)</f>
        <v>13274.07</v>
      </c>
      <c r="V21" s="12">
        <f t="shared" si="5"/>
        <v>0</v>
      </c>
      <c r="W21" s="12">
        <f t="shared" si="6"/>
        <v>2.9999999969732016E-2</v>
      </c>
      <c r="X21" s="12">
        <f t="shared" si="7"/>
        <v>0</v>
      </c>
      <c r="Y21" s="12">
        <f t="shared" si="8"/>
        <v>1.9999999960418791E-2</v>
      </c>
      <c r="Z21" s="12">
        <f t="shared" si="9"/>
        <v>0</v>
      </c>
      <c r="AA21" s="12">
        <f t="shared" si="10"/>
        <v>1.0000000000218279E-2</v>
      </c>
    </row>
    <row r="22" spans="1:69" ht="36.75" customHeight="1" x14ac:dyDescent="0.2">
      <c r="A22" s="9">
        <v>18</v>
      </c>
      <c r="B22" s="10" t="s">
        <v>33</v>
      </c>
      <c r="C22" s="10" t="s">
        <v>34</v>
      </c>
      <c r="D22" s="11" t="s">
        <v>26</v>
      </c>
      <c r="E22" s="12">
        <v>1279</v>
      </c>
      <c r="F22" s="12">
        <v>60707.63</v>
      </c>
      <c r="G22" s="12">
        <v>55</v>
      </c>
      <c r="H22" s="12">
        <v>2220.7199999999998</v>
      </c>
      <c r="I22" s="12">
        <v>1149</v>
      </c>
      <c r="J22" s="12">
        <v>54201.39</v>
      </c>
      <c r="K22" s="12">
        <v>185</v>
      </c>
      <c r="L22" s="31">
        <v>8726.9599999999991</v>
      </c>
      <c r="M22" s="13"/>
      <c r="O22" s="12">
        <f>+SUMIF(Zvf51!$A$2:$A$189,fp!$B22,Zvf51!$F$2:$F$189)</f>
        <v>55</v>
      </c>
      <c r="P22" s="18">
        <f>+SUMIF(Zvf51!$A$2:$A$189,fp!$B22,Zvf51!$AF$2:$AF$189)</f>
        <v>2220.71</v>
      </c>
      <c r="Q22" s="12">
        <f>-SUMIF(Zvf51!$A$2:$A$189,fp!$B22,Zvf51!$I$2:$I$189)</f>
        <v>1149</v>
      </c>
      <c r="R22" s="24">
        <f>-SUMIF(Zvf51!$A$2:$A$189,fp!$B22,Zvf51!$AI$2:$AI$189)</f>
        <v>54201.39</v>
      </c>
      <c r="S22" s="12">
        <f>+SUMIF(Zvf51!$A$2:$A$189,fp!$B22,Zvf51!$P$2:$P$189)</f>
        <v>185</v>
      </c>
      <c r="T22" s="18">
        <f>+SUMIF(Zvf51!$A$2:$A$189,fp!$B22,Zvf51!$AP$2:$AP$189)</f>
        <v>8726.94</v>
      </c>
      <c r="V22" s="12">
        <f t="shared" si="5"/>
        <v>0</v>
      </c>
      <c r="W22" s="12">
        <f t="shared" si="6"/>
        <v>-9.9999999997635314E-3</v>
      </c>
      <c r="X22" s="12">
        <f t="shared" si="7"/>
        <v>0</v>
      </c>
      <c r="Y22" s="12">
        <f t="shared" si="8"/>
        <v>0</v>
      </c>
      <c r="Z22" s="12">
        <f t="shared" si="9"/>
        <v>0</v>
      </c>
      <c r="AA22" s="12">
        <f t="shared" si="10"/>
        <v>-1.9999999998617568E-2</v>
      </c>
    </row>
    <row r="23" spans="1:69" ht="15.75" customHeight="1" x14ac:dyDescent="0.2">
      <c r="A23" s="9">
        <v>19</v>
      </c>
      <c r="B23" s="10" t="s">
        <v>35</v>
      </c>
      <c r="C23" s="10" t="s">
        <v>36</v>
      </c>
      <c r="D23" s="11" t="s">
        <v>26</v>
      </c>
      <c r="E23" s="12">
        <v>577</v>
      </c>
      <c r="F23" s="12">
        <v>20979.37</v>
      </c>
      <c r="G23" s="12">
        <v>1787</v>
      </c>
      <c r="H23" s="12">
        <v>56736.17</v>
      </c>
      <c r="I23" s="12">
        <v>568</v>
      </c>
      <c r="J23" s="12">
        <v>18672.77</v>
      </c>
      <c r="K23" s="12">
        <v>1796</v>
      </c>
      <c r="L23" s="31">
        <v>59042.77</v>
      </c>
      <c r="M23" s="13"/>
      <c r="O23" s="12">
        <f>+SUMIF(Zvf51!$A$2:$A$189,fp!$B23,Zvf51!$F$2:$F$189)</f>
        <v>1787</v>
      </c>
      <c r="P23" s="18">
        <f>+SUMIF(Zvf51!$A$2:$A$189,fp!$B23,Zvf51!$AF$2:$AF$189)</f>
        <v>56736.18</v>
      </c>
      <c r="Q23" s="12">
        <f>-SUMIF(Zvf51!$A$2:$A$189,fp!$B23,Zvf51!$I$2:$I$189)</f>
        <v>568</v>
      </c>
      <c r="R23" s="24">
        <f>-SUMIF(Zvf51!$A$2:$A$189,fp!$B23,Zvf51!$AI$2:$AI$189)</f>
        <v>18672.77</v>
      </c>
      <c r="S23" s="12">
        <f>+SUMIF(Zvf51!$A$2:$A$189,fp!$B23,Zvf51!$P$2:$P$189)</f>
        <v>1796</v>
      </c>
      <c r="T23" s="18">
        <f>+SUMIF(Zvf51!$A$2:$A$189,fp!$B23,Zvf51!$AP$2:$AP$189)</f>
        <v>59042.78</v>
      </c>
      <c r="V23" s="12">
        <f t="shared" si="5"/>
        <v>0</v>
      </c>
      <c r="W23" s="12">
        <f t="shared" si="6"/>
        <v>1.0000000002037268E-2</v>
      </c>
      <c r="X23" s="12">
        <f t="shared" si="7"/>
        <v>0</v>
      </c>
      <c r="Y23" s="12">
        <f t="shared" si="8"/>
        <v>0</v>
      </c>
      <c r="Z23" s="12">
        <f t="shared" si="9"/>
        <v>0</v>
      </c>
      <c r="AA23" s="12">
        <f t="shared" si="10"/>
        <v>1.0000000002037268E-2</v>
      </c>
    </row>
    <row r="24" spans="1:69" ht="25.5" customHeight="1" x14ac:dyDescent="0.2">
      <c r="A24" s="9">
        <v>20</v>
      </c>
      <c r="B24" s="10" t="s">
        <v>241</v>
      </c>
      <c r="C24" s="10" t="s">
        <v>403</v>
      </c>
      <c r="D24" s="11" t="s">
        <v>26</v>
      </c>
      <c r="E24" s="12">
        <v>11</v>
      </c>
      <c r="F24" s="12">
        <v>452.69</v>
      </c>
      <c r="G24" s="12">
        <v>0</v>
      </c>
      <c r="H24" s="12">
        <v>0</v>
      </c>
      <c r="I24" s="12">
        <v>0</v>
      </c>
      <c r="J24" s="12">
        <v>0</v>
      </c>
      <c r="K24" s="12">
        <v>11</v>
      </c>
      <c r="L24" s="31">
        <v>452.69</v>
      </c>
      <c r="M24" s="13"/>
      <c r="O24" s="12">
        <f>+SUMIF(Zvf51!$A$2:$A$189,fp!$B24,Zvf51!$F$2:$F$189)</f>
        <v>0</v>
      </c>
      <c r="P24" s="18">
        <f>+SUMIF(Zvf51!$A$2:$A$189,fp!$B24,Zvf51!$AF$2:$AF$189)</f>
        <v>0</v>
      </c>
      <c r="Q24" s="12">
        <f>-SUMIF(Zvf51!$A$2:$A$189,fp!$B24,Zvf51!$I$2:$I$189)</f>
        <v>0</v>
      </c>
      <c r="R24" s="24">
        <f>-SUMIF(Zvf51!$A$2:$A$189,fp!$B24,Zvf51!$AI$2:$AI$189)</f>
        <v>0</v>
      </c>
      <c r="S24" s="12">
        <f>+SUMIF(Zvf51!$A$2:$A$189,fp!$B24,Zvf51!$P$2:$P$189)</f>
        <v>11</v>
      </c>
      <c r="T24" s="18">
        <f>+SUMIF(Zvf51!$A$2:$A$189,fp!$B24,Zvf51!$AP$2:$AP$189)</f>
        <v>452.69</v>
      </c>
      <c r="V24" s="12">
        <f t="shared" si="5"/>
        <v>0</v>
      </c>
      <c r="W24" s="12">
        <f t="shared" si="6"/>
        <v>0</v>
      </c>
      <c r="X24" s="12">
        <f t="shared" si="7"/>
        <v>0</v>
      </c>
      <c r="Y24" s="12">
        <f t="shared" si="8"/>
        <v>0</v>
      </c>
      <c r="Z24" s="12">
        <f t="shared" si="9"/>
        <v>0</v>
      </c>
      <c r="AA24" s="12">
        <f t="shared" si="10"/>
        <v>0</v>
      </c>
    </row>
    <row r="25" spans="1:69" ht="36.75" customHeight="1" x14ac:dyDescent="0.2">
      <c r="A25" s="9">
        <v>21</v>
      </c>
      <c r="B25" s="10" t="s">
        <v>243</v>
      </c>
      <c r="C25" s="10" t="s">
        <v>569</v>
      </c>
      <c r="D25" s="11" t="s">
        <v>26</v>
      </c>
      <c r="E25" s="12">
        <v>132</v>
      </c>
      <c r="F25" s="12">
        <v>4973.8900000000003</v>
      </c>
      <c r="G25" s="12">
        <v>2</v>
      </c>
      <c r="H25" s="12">
        <v>71.19</v>
      </c>
      <c r="I25" s="12">
        <v>130</v>
      </c>
      <c r="J25" s="12">
        <v>4894.4799999999996</v>
      </c>
      <c r="K25" s="12">
        <v>4</v>
      </c>
      <c r="L25" s="31">
        <v>150.6</v>
      </c>
      <c r="M25" s="13"/>
      <c r="O25" s="12">
        <f>+SUMIF(Zvf51!$A$2:$A$189,fp!$B25,Zvf51!$F$2:$F$189)</f>
        <v>2</v>
      </c>
      <c r="P25" s="18">
        <f>+SUMIF(Zvf51!$A$2:$A$189,fp!$B25,Zvf51!$AF$2:$AF$189)</f>
        <v>71.19</v>
      </c>
      <c r="Q25" s="12">
        <f>-SUMIF(Zvf51!$A$2:$A$189,fp!$B25,Zvf51!$I$2:$I$189)</f>
        <v>130</v>
      </c>
      <c r="R25" s="24">
        <f>-SUMIF(Zvf51!$A$2:$A$189,fp!$B25,Zvf51!$AI$2:$AI$189)</f>
        <v>4894.4799999999996</v>
      </c>
      <c r="S25" s="12">
        <f>+SUMIF(Zvf51!$A$2:$A$189,fp!$B25,Zvf51!$P$2:$P$189)</f>
        <v>4</v>
      </c>
      <c r="T25" s="18">
        <f>+SUMIF(Zvf51!$A$2:$A$189,fp!$B25,Zvf51!$AP$2:$AP$189)</f>
        <v>150.6</v>
      </c>
      <c r="V25" s="12">
        <f t="shared" si="5"/>
        <v>0</v>
      </c>
      <c r="W25" s="12">
        <f t="shared" si="6"/>
        <v>0</v>
      </c>
      <c r="X25" s="12">
        <f t="shared" si="7"/>
        <v>0</v>
      </c>
      <c r="Y25" s="12">
        <f t="shared" si="8"/>
        <v>0</v>
      </c>
      <c r="Z25" s="12">
        <f t="shared" si="9"/>
        <v>0</v>
      </c>
      <c r="AA25" s="12">
        <f t="shared" si="10"/>
        <v>0</v>
      </c>
    </row>
    <row r="26" spans="1:69" ht="36.75" customHeight="1" x14ac:dyDescent="0.2">
      <c r="A26" s="9">
        <v>22</v>
      </c>
      <c r="B26" s="10" t="s">
        <v>245</v>
      </c>
      <c r="C26" s="10" t="s">
        <v>402</v>
      </c>
      <c r="D26" s="11" t="s">
        <v>26</v>
      </c>
      <c r="E26" s="12">
        <v>322</v>
      </c>
      <c r="F26" s="12">
        <v>13824.82</v>
      </c>
      <c r="G26" s="12">
        <v>0</v>
      </c>
      <c r="H26" s="12">
        <v>0</v>
      </c>
      <c r="I26" s="12">
        <v>0</v>
      </c>
      <c r="J26" s="12">
        <v>0</v>
      </c>
      <c r="K26" s="12">
        <v>322</v>
      </c>
      <c r="L26" s="31">
        <v>13824.82</v>
      </c>
      <c r="M26" s="13"/>
      <c r="O26" s="12">
        <f>+SUMIF(Zvf51!$A$2:$A$189,fp!$B26,Zvf51!$F$2:$F$189)</f>
        <v>0</v>
      </c>
      <c r="P26" s="18">
        <f>+SUMIF(Zvf51!$A$2:$A$189,fp!$B26,Zvf51!$AF$2:$AF$189)</f>
        <v>0</v>
      </c>
      <c r="Q26" s="12">
        <f>-SUMIF(Zvf51!$A$2:$A$189,fp!$B26,Zvf51!$I$2:$I$189)</f>
        <v>0</v>
      </c>
      <c r="R26" s="24">
        <f>-SUMIF(Zvf51!$A$2:$A$189,fp!$B26,Zvf51!$AI$2:$AI$189)</f>
        <v>0</v>
      </c>
      <c r="S26" s="12">
        <f>+SUMIF(Zvf51!$A$2:$A$189,fp!$B26,Zvf51!$P$2:$P$189)</f>
        <v>322</v>
      </c>
      <c r="T26" s="18">
        <f>+SUMIF(Zvf51!$A$2:$A$189,fp!$B26,Zvf51!$AP$2:$AP$189)</f>
        <v>13824.82</v>
      </c>
      <c r="V26" s="12">
        <f t="shared" si="5"/>
        <v>0</v>
      </c>
      <c r="W26" s="12">
        <f t="shared" si="6"/>
        <v>0</v>
      </c>
      <c r="X26" s="12">
        <f t="shared" si="7"/>
        <v>0</v>
      </c>
      <c r="Y26" s="12">
        <f t="shared" si="8"/>
        <v>0</v>
      </c>
      <c r="Z26" s="12">
        <f t="shared" si="9"/>
        <v>0</v>
      </c>
      <c r="AA26" s="12">
        <f t="shared" si="10"/>
        <v>0</v>
      </c>
    </row>
    <row r="27" spans="1:69" s="21" customFormat="1" ht="36.75" customHeight="1" x14ac:dyDescent="0.2">
      <c r="A27" s="9">
        <v>23</v>
      </c>
      <c r="B27" s="10" t="s">
        <v>37</v>
      </c>
      <c r="C27" s="10" t="s">
        <v>38</v>
      </c>
      <c r="D27" s="11" t="s">
        <v>26</v>
      </c>
      <c r="E27" s="12">
        <v>1327</v>
      </c>
      <c r="F27" s="12">
        <v>40843.120000000003</v>
      </c>
      <c r="G27" s="12">
        <v>2</v>
      </c>
      <c r="H27" s="12">
        <v>56.89</v>
      </c>
      <c r="I27" s="12">
        <v>0</v>
      </c>
      <c r="J27" s="12">
        <v>0</v>
      </c>
      <c r="K27" s="12">
        <v>1329</v>
      </c>
      <c r="L27" s="31">
        <v>40900.01</v>
      </c>
      <c r="M27" s="13"/>
      <c r="O27" s="12">
        <f>+SUMIF(Zvf51!$A$2:$A$189,fp!$B27,Zvf51!$F$2:$F$189)</f>
        <v>2</v>
      </c>
      <c r="P27" s="18">
        <f>+SUMIF(Zvf51!$A$2:$A$189,fp!$B27,Zvf51!$AF$2:$AF$189)</f>
        <v>56.89</v>
      </c>
      <c r="Q27" s="12">
        <f>-SUMIF(Zvf51!$A$2:$A$189,fp!$B27,Zvf51!$I$2:$I$189)</f>
        <v>0</v>
      </c>
      <c r="R27" s="24">
        <f>-SUMIF(Zvf51!$A$2:$A$189,fp!$B27,Zvf51!$AI$2:$AI$189)</f>
        <v>0</v>
      </c>
      <c r="S27" s="12">
        <f>+SUMIF(Zvf51!$A$2:$A$189,fp!$B27,Zvf51!$P$2:$P$189)</f>
        <v>1329</v>
      </c>
      <c r="T27" s="18">
        <f>+SUMIF(Zvf51!$A$2:$A$189,fp!$B27,Zvf51!$AP$2:$AP$189)</f>
        <v>40900.01</v>
      </c>
      <c r="V27" s="12">
        <f t="shared" si="5"/>
        <v>0</v>
      </c>
      <c r="W27" s="12">
        <f t="shared" si="6"/>
        <v>0</v>
      </c>
      <c r="X27" s="12">
        <f t="shared" si="7"/>
        <v>0</v>
      </c>
      <c r="Y27" s="12">
        <f t="shared" si="8"/>
        <v>0</v>
      </c>
      <c r="Z27" s="12">
        <f t="shared" si="9"/>
        <v>0</v>
      </c>
      <c r="AA27" s="12">
        <f t="shared" si="10"/>
        <v>0</v>
      </c>
    </row>
    <row r="28" spans="1:69" ht="36.75" customHeight="1" x14ac:dyDescent="0.2">
      <c r="A28" s="9">
        <v>24</v>
      </c>
      <c r="B28" s="10" t="s">
        <v>39</v>
      </c>
      <c r="C28" s="10" t="s">
        <v>40</v>
      </c>
      <c r="D28" s="11" t="s">
        <v>26</v>
      </c>
      <c r="E28" s="12">
        <v>1996</v>
      </c>
      <c r="F28" s="12">
        <v>83257.45</v>
      </c>
      <c r="G28" s="12">
        <v>716</v>
      </c>
      <c r="H28" s="12">
        <v>24435.62</v>
      </c>
      <c r="I28" s="12">
        <v>2605</v>
      </c>
      <c r="J28" s="12">
        <v>103444.11</v>
      </c>
      <c r="K28" s="12">
        <v>107</v>
      </c>
      <c r="L28" s="31">
        <v>4248.96</v>
      </c>
      <c r="M28" s="13"/>
      <c r="O28" s="12">
        <f>+SUMIF(Zvf51!$A$2:$A$189,fp!$B28,Zvf51!$F$2:$F$189)</f>
        <v>716</v>
      </c>
      <c r="P28" s="18">
        <f>+SUMIF(Zvf51!$A$2:$A$189,fp!$B28,Zvf51!$AF$2:$AF$189)</f>
        <v>24435.62</v>
      </c>
      <c r="Q28" s="12">
        <f>-SUMIF(Zvf51!$A$2:$A$189,fp!$B28,Zvf51!$I$2:$I$189)</f>
        <v>2605</v>
      </c>
      <c r="R28" s="24">
        <f>-SUMIF(Zvf51!$A$2:$A$189,fp!$B28,Zvf51!$AI$2:$AI$189)</f>
        <v>103444.12</v>
      </c>
      <c r="S28" s="12">
        <f>+SUMIF(Zvf51!$A$2:$A$189,fp!$B28,Zvf51!$P$2:$P$189)</f>
        <v>107</v>
      </c>
      <c r="T28" s="18">
        <f>+SUMIF(Zvf51!$A$2:$A$189,fp!$B28,Zvf51!$AP$2:$AP$189)</f>
        <v>4248.95</v>
      </c>
      <c r="V28" s="12">
        <f t="shared" si="5"/>
        <v>0</v>
      </c>
      <c r="W28" s="12">
        <f t="shared" si="6"/>
        <v>0</v>
      </c>
      <c r="X28" s="12">
        <f t="shared" si="7"/>
        <v>0</v>
      </c>
      <c r="Y28" s="12">
        <f t="shared" si="8"/>
        <v>9.9999999947613105E-3</v>
      </c>
      <c r="Z28" s="12">
        <f t="shared" si="9"/>
        <v>0</v>
      </c>
      <c r="AA28" s="12">
        <f t="shared" si="10"/>
        <v>-1.0000000000218279E-2</v>
      </c>
    </row>
    <row r="29" spans="1:69" ht="25.5" customHeight="1" x14ac:dyDescent="0.2">
      <c r="A29" s="9">
        <v>25</v>
      </c>
      <c r="B29" s="10" t="s">
        <v>249</v>
      </c>
      <c r="C29" s="10" t="s">
        <v>401</v>
      </c>
      <c r="D29" s="11" t="s">
        <v>26</v>
      </c>
      <c r="E29" s="12">
        <v>3</v>
      </c>
      <c r="F29" s="12">
        <v>159.66999999999999</v>
      </c>
      <c r="G29" s="12">
        <v>0</v>
      </c>
      <c r="H29" s="12">
        <v>0</v>
      </c>
      <c r="I29" s="12">
        <v>0</v>
      </c>
      <c r="J29" s="12">
        <v>0</v>
      </c>
      <c r="K29" s="12">
        <v>3</v>
      </c>
      <c r="L29" s="31">
        <v>159.66999999999999</v>
      </c>
      <c r="M29" s="13"/>
      <c r="O29" s="12">
        <f>+SUMIF(Zvf51!$A$2:$A$189,fp!$B29,Zvf51!$F$2:$F$189)</f>
        <v>0</v>
      </c>
      <c r="P29" s="18">
        <f>+SUMIF(Zvf51!$A$2:$A$189,fp!$B29,Zvf51!$AF$2:$AF$189)</f>
        <v>0</v>
      </c>
      <c r="Q29" s="12">
        <f>-SUMIF(Zvf51!$A$2:$A$189,fp!$B29,Zvf51!$I$2:$I$189)</f>
        <v>0</v>
      </c>
      <c r="R29" s="24">
        <f>-SUMIF(Zvf51!$A$2:$A$189,fp!$B29,Zvf51!$AI$2:$AI$189)</f>
        <v>0</v>
      </c>
      <c r="S29" s="12">
        <f>+SUMIF(Zvf51!$A$2:$A$189,fp!$B29,Zvf51!$P$2:$P$189)</f>
        <v>3</v>
      </c>
      <c r="T29" s="18">
        <f>+SUMIF(Zvf51!$A$2:$A$189,fp!$B29,Zvf51!$AP$2:$AP$189)</f>
        <v>159.66999999999999</v>
      </c>
      <c r="V29" s="12">
        <f t="shared" si="5"/>
        <v>0</v>
      </c>
      <c r="W29" s="12">
        <f t="shared" si="6"/>
        <v>0</v>
      </c>
      <c r="X29" s="12">
        <f t="shared" si="7"/>
        <v>0</v>
      </c>
      <c r="Y29" s="12">
        <f t="shared" si="8"/>
        <v>0</v>
      </c>
      <c r="Z29" s="12">
        <f t="shared" si="9"/>
        <v>0</v>
      </c>
      <c r="AA29" s="12">
        <f t="shared" si="10"/>
        <v>0</v>
      </c>
    </row>
    <row r="30" spans="1:69" ht="25.5" customHeight="1" x14ac:dyDescent="0.2">
      <c r="A30" s="9">
        <v>26</v>
      </c>
      <c r="B30" s="10" t="s">
        <v>41</v>
      </c>
      <c r="C30" s="10" t="s">
        <v>42</v>
      </c>
      <c r="D30" s="11" t="s">
        <v>43</v>
      </c>
      <c r="E30" s="12">
        <v>1902</v>
      </c>
      <c r="F30" s="12">
        <v>90234.23</v>
      </c>
      <c r="G30" s="12">
        <v>3120</v>
      </c>
      <c r="H30" s="12">
        <v>128164.58</v>
      </c>
      <c r="I30" s="12">
        <v>4720</v>
      </c>
      <c r="J30" s="12">
        <v>205265.31</v>
      </c>
      <c r="K30" s="12">
        <v>302</v>
      </c>
      <c r="L30" s="31">
        <v>13133.5</v>
      </c>
      <c r="M30" s="13"/>
      <c r="O30" s="12">
        <f>+SUMIF(Zvf51!$A$2:$A$189,fp!$B30,Zvf51!$F$2:$F$189)</f>
        <v>3120</v>
      </c>
      <c r="P30" s="18">
        <f>+SUMIF(Zvf51!$A$2:$A$189,fp!$B30,Zvf51!$AF$2:$AF$189)</f>
        <v>128164.59</v>
      </c>
      <c r="Q30" s="12">
        <f>-SUMIF(Zvf51!$A$2:$A$189,fp!$B30,Zvf51!$I$2:$I$189)</f>
        <v>4720</v>
      </c>
      <c r="R30" s="24">
        <f>-SUMIF(Zvf51!$A$2:$A$189,fp!$B30,Zvf51!$AI$2:$AI$189)</f>
        <v>205265.32</v>
      </c>
      <c r="S30" s="12">
        <f>+SUMIF(Zvf51!$A$2:$A$189,fp!$B30,Zvf51!$P$2:$P$189)</f>
        <v>302</v>
      </c>
      <c r="T30" s="18">
        <f>+SUMIF(Zvf51!$A$2:$A$189,fp!$B30,Zvf51!$AP$2:$AP$189)</f>
        <v>13133.5</v>
      </c>
      <c r="V30" s="12">
        <f t="shared" si="5"/>
        <v>0</v>
      </c>
      <c r="W30" s="12">
        <f t="shared" si="6"/>
        <v>9.9999999947613105E-3</v>
      </c>
      <c r="X30" s="12">
        <f t="shared" si="7"/>
        <v>0</v>
      </c>
      <c r="Y30" s="12">
        <f t="shared" si="8"/>
        <v>1.0000000009313226E-2</v>
      </c>
      <c r="Z30" s="12">
        <f t="shared" si="9"/>
        <v>0</v>
      </c>
      <c r="AA30" s="12">
        <f t="shared" si="10"/>
        <v>0</v>
      </c>
    </row>
    <row r="31" spans="1:69" s="17" customFormat="1" ht="36.75" customHeight="1" x14ac:dyDescent="0.2">
      <c r="A31" s="9">
        <v>27</v>
      </c>
      <c r="B31" s="10" t="s">
        <v>44</v>
      </c>
      <c r="C31" s="10" t="s">
        <v>45</v>
      </c>
      <c r="D31" s="11" t="s">
        <v>43</v>
      </c>
      <c r="E31" s="12">
        <v>82</v>
      </c>
      <c r="F31" s="12">
        <v>3466.34</v>
      </c>
      <c r="G31" s="12">
        <v>4184</v>
      </c>
      <c r="H31" s="12">
        <v>173060.71</v>
      </c>
      <c r="I31" s="12">
        <v>2587</v>
      </c>
      <c r="J31" s="12">
        <v>107050.06</v>
      </c>
      <c r="K31" s="12">
        <v>1679</v>
      </c>
      <c r="L31" s="31">
        <v>69476.990000000005</v>
      </c>
      <c r="M31" s="13"/>
      <c r="N31" s="21"/>
      <c r="O31" s="12">
        <f>+SUMIF(Zvf51!$A$2:$A$189,fp!$B31,Zvf51!$F$2:$F$189)</f>
        <v>4184</v>
      </c>
      <c r="P31" s="18">
        <f>+SUMIF(Zvf51!$A$2:$A$189,fp!$B31,Zvf51!$AF$2:$AF$189)</f>
        <v>173060.76</v>
      </c>
      <c r="Q31" s="12">
        <f>-SUMIF(Zvf51!$A$2:$A$189,fp!$B31,Zvf51!$I$2:$I$189)</f>
        <v>2587</v>
      </c>
      <c r="R31" s="24">
        <f>-SUMIF(Zvf51!$A$2:$A$189,fp!$B31,Zvf51!$AI$2:$AI$189)</f>
        <v>107050.07</v>
      </c>
      <c r="S31" s="12">
        <f>+SUMIF(Zvf51!$A$2:$A$189,fp!$B31,Zvf51!$P$2:$P$189)</f>
        <v>1679</v>
      </c>
      <c r="T31" s="18">
        <f>+SUMIF(Zvf51!$A$2:$A$189,fp!$B31,Zvf51!$AP$2:$AP$189)</f>
        <v>69477.03</v>
      </c>
      <c r="U31" s="21"/>
      <c r="V31" s="28">
        <f t="shared" si="5"/>
        <v>0</v>
      </c>
      <c r="W31" s="28">
        <f t="shared" si="6"/>
        <v>5.0000000017462298E-2</v>
      </c>
      <c r="X31" s="28">
        <f t="shared" si="7"/>
        <v>0</v>
      </c>
      <c r="Y31" s="28">
        <f t="shared" si="8"/>
        <v>1.0000000009313226E-2</v>
      </c>
      <c r="Z31" s="28">
        <f t="shared" si="9"/>
        <v>0</v>
      </c>
      <c r="AA31" s="28">
        <f t="shared" si="10"/>
        <v>3.9999999993597157E-2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</row>
    <row r="32" spans="1:69" ht="15.75" customHeight="1" x14ac:dyDescent="0.2">
      <c r="A32" s="9">
        <v>28</v>
      </c>
      <c r="B32" s="10" t="s">
        <v>46</v>
      </c>
      <c r="C32" s="10" t="s">
        <v>47</v>
      </c>
      <c r="D32" s="11" t="s">
        <v>43</v>
      </c>
      <c r="E32" s="12">
        <v>230</v>
      </c>
      <c r="F32" s="12">
        <v>10781.37</v>
      </c>
      <c r="G32" s="12">
        <v>6240</v>
      </c>
      <c r="H32" s="12">
        <v>267289.92</v>
      </c>
      <c r="I32" s="12">
        <v>4563</v>
      </c>
      <c r="J32" s="12">
        <v>196111.19</v>
      </c>
      <c r="K32" s="12">
        <v>1907</v>
      </c>
      <c r="L32" s="31">
        <v>81960.100000000006</v>
      </c>
      <c r="M32" s="13"/>
      <c r="O32" s="12">
        <f>+SUMIF(Zvf51!$A$2:$A$189,fp!$B32,Zvf51!$F$2:$F$189)</f>
        <v>6240</v>
      </c>
      <c r="P32" s="18">
        <f>+SUMIF(Zvf51!$A$2:$A$189,fp!$B32,Zvf51!$AF$2:$AF$189)</f>
        <v>267289.96000000002</v>
      </c>
      <c r="Q32" s="12">
        <f>-SUMIF(Zvf51!$A$2:$A$189,fp!$B32,Zvf51!$I$2:$I$189)</f>
        <v>4563</v>
      </c>
      <c r="R32" s="24">
        <f>-SUMIF(Zvf51!$A$2:$A$189,fp!$B32,Zvf51!$AI$2:$AI$189)</f>
        <v>196111.2</v>
      </c>
      <c r="S32" s="12">
        <f>+SUMIF(Zvf51!$A$2:$A$189,fp!$B32,Zvf51!$P$2:$P$189)</f>
        <v>1907</v>
      </c>
      <c r="T32" s="18">
        <f>+SUMIF(Zvf51!$A$2:$A$189,fp!$B32,Zvf51!$AP$2:$AP$189)</f>
        <v>81960.13</v>
      </c>
      <c r="V32" s="12">
        <f t="shared" si="5"/>
        <v>0</v>
      </c>
      <c r="W32" s="12">
        <f t="shared" si="6"/>
        <v>4.0000000037252903E-2</v>
      </c>
      <c r="X32" s="12">
        <f t="shared" si="7"/>
        <v>0</v>
      </c>
      <c r="Y32" s="12">
        <f t="shared" si="8"/>
        <v>1.0000000009313226E-2</v>
      </c>
      <c r="Z32" s="12">
        <f t="shared" si="9"/>
        <v>0</v>
      </c>
      <c r="AA32" s="28">
        <f t="shared" si="10"/>
        <v>2.9999999998835847E-2</v>
      </c>
    </row>
    <row r="33" spans="1:27" ht="15.75" customHeight="1" x14ac:dyDescent="0.2">
      <c r="A33" s="9">
        <v>29</v>
      </c>
      <c r="B33" s="10" t="s">
        <v>48</v>
      </c>
      <c r="C33" s="10" t="s">
        <v>49</v>
      </c>
      <c r="D33" s="11" t="s">
        <v>43</v>
      </c>
      <c r="E33" s="12">
        <v>350</v>
      </c>
      <c r="F33" s="12">
        <v>14239.64</v>
      </c>
      <c r="G33" s="12">
        <v>1810</v>
      </c>
      <c r="H33" s="12">
        <v>73689.490000000005</v>
      </c>
      <c r="I33" s="12">
        <v>1243</v>
      </c>
      <c r="J33" s="12">
        <v>50599.96</v>
      </c>
      <c r="K33" s="12">
        <v>917</v>
      </c>
      <c r="L33" s="31">
        <v>37329.17</v>
      </c>
      <c r="M33" s="13"/>
      <c r="O33" s="12">
        <f>+SUMIF(Zvf51!$A$2:$A$189,fp!$B33,Zvf51!$F$2:$F$189)</f>
        <v>1810</v>
      </c>
      <c r="P33" s="18">
        <f>+SUMIF(Zvf51!$A$2:$A$189,fp!$B33,Zvf51!$AF$2:$AF$189)</f>
        <v>73689.490000000005</v>
      </c>
      <c r="Q33" s="12">
        <f>-SUMIF(Zvf51!$A$2:$A$189,fp!$B33,Zvf51!$I$2:$I$189)</f>
        <v>1243</v>
      </c>
      <c r="R33" s="24">
        <f>-SUMIF(Zvf51!$A$2:$A$189,fp!$B33,Zvf51!$AI$2:$AI$189)</f>
        <v>50599.96</v>
      </c>
      <c r="S33" s="12">
        <f>+SUMIF(Zvf51!$A$2:$A$189,fp!$B33,Zvf51!$P$2:$P$189)</f>
        <v>917</v>
      </c>
      <c r="T33" s="18">
        <f>+SUMIF(Zvf51!$A$2:$A$189,fp!$B33,Zvf51!$AP$2:$AP$189)</f>
        <v>37329.17</v>
      </c>
      <c r="V33" s="12">
        <f t="shared" si="5"/>
        <v>0</v>
      </c>
      <c r="W33" s="12">
        <f t="shared" si="6"/>
        <v>0</v>
      </c>
      <c r="X33" s="12">
        <f t="shared" si="7"/>
        <v>0</v>
      </c>
      <c r="Y33" s="12">
        <f t="shared" si="8"/>
        <v>0</v>
      </c>
      <c r="Z33" s="12">
        <f t="shared" si="9"/>
        <v>0</v>
      </c>
      <c r="AA33" s="12">
        <f t="shared" si="10"/>
        <v>0</v>
      </c>
    </row>
    <row r="34" spans="1:27" ht="25.5" customHeight="1" x14ac:dyDescent="0.2">
      <c r="A34" s="9">
        <v>30</v>
      </c>
      <c r="B34" s="10" t="s">
        <v>50</v>
      </c>
      <c r="C34" s="10" t="s">
        <v>51</v>
      </c>
      <c r="D34" s="11" t="s">
        <v>43</v>
      </c>
      <c r="E34" s="12">
        <v>158</v>
      </c>
      <c r="F34" s="12">
        <v>7361.99</v>
      </c>
      <c r="G34" s="12">
        <v>3179</v>
      </c>
      <c r="H34" s="12">
        <v>144182.62</v>
      </c>
      <c r="I34" s="12">
        <v>2315</v>
      </c>
      <c r="J34" s="12">
        <v>105132.08</v>
      </c>
      <c r="K34" s="12">
        <v>1022</v>
      </c>
      <c r="L34" s="31">
        <v>46412.53</v>
      </c>
      <c r="M34" s="13"/>
      <c r="O34" s="12">
        <f>+SUMIF(Zvf51!$A$2:$A$189,fp!$B34,Zvf51!$F$2:$F$189)</f>
        <v>3179</v>
      </c>
      <c r="P34" s="18">
        <f>+SUMIF(Zvf51!$A$2:$A$189,fp!$B34,Zvf51!$AF$2:$AF$189)</f>
        <v>144182.60999999999</v>
      </c>
      <c r="Q34" s="12">
        <f>-SUMIF(Zvf51!$A$2:$A$189,fp!$B34,Zvf51!$I$2:$I$189)</f>
        <v>2315</v>
      </c>
      <c r="R34" s="24">
        <f>-SUMIF(Zvf51!$A$2:$A$189,fp!$B34,Zvf51!$AI$2:$AI$189)</f>
        <v>105132.08</v>
      </c>
      <c r="S34" s="12">
        <f>+SUMIF(Zvf51!$A$2:$A$189,fp!$B34,Zvf51!$P$2:$P$189)</f>
        <v>1022</v>
      </c>
      <c r="T34" s="18">
        <f>+SUMIF(Zvf51!$A$2:$A$189,fp!$B34,Zvf51!$AP$2:$AP$189)</f>
        <v>46412.52</v>
      </c>
      <c r="V34" s="12">
        <f t="shared" si="5"/>
        <v>0</v>
      </c>
      <c r="W34" s="12">
        <f t="shared" si="6"/>
        <v>-1.0000000009313226E-2</v>
      </c>
      <c r="X34" s="12">
        <f t="shared" si="7"/>
        <v>0</v>
      </c>
      <c r="Y34" s="12">
        <f t="shared" si="8"/>
        <v>0</v>
      </c>
      <c r="Z34" s="12">
        <f t="shared" si="9"/>
        <v>0</v>
      </c>
      <c r="AA34" s="12">
        <f t="shared" si="10"/>
        <v>-1.0000000002037268E-2</v>
      </c>
    </row>
    <row r="35" spans="1:27" ht="15.75" customHeight="1" x14ac:dyDescent="0.2">
      <c r="A35" s="9">
        <v>31</v>
      </c>
      <c r="B35" s="10" t="s">
        <v>52</v>
      </c>
      <c r="C35" s="10" t="s">
        <v>53</v>
      </c>
      <c r="D35" s="11" t="s">
        <v>26</v>
      </c>
      <c r="E35" s="12">
        <v>214</v>
      </c>
      <c r="F35" s="12">
        <v>6467.95</v>
      </c>
      <c r="G35" s="12">
        <v>0</v>
      </c>
      <c r="H35" s="12">
        <v>0</v>
      </c>
      <c r="I35" s="12">
        <v>200</v>
      </c>
      <c r="J35" s="12">
        <v>6044.81</v>
      </c>
      <c r="K35" s="12">
        <v>14</v>
      </c>
      <c r="L35" s="31">
        <v>423.14</v>
      </c>
      <c r="M35" s="13"/>
      <c r="O35" s="12">
        <f>+SUMIF(Zvf51!$A$2:$A$189,fp!$B35,Zvf51!$F$2:$F$189)</f>
        <v>0</v>
      </c>
      <c r="P35" s="18">
        <f>+SUMIF(Zvf51!$A$2:$A$189,fp!$B35,Zvf51!$AF$2:$AF$189)</f>
        <v>0</v>
      </c>
      <c r="Q35" s="12">
        <f>-SUMIF(Zvf51!$A$2:$A$189,fp!$B35,Zvf51!$I$2:$I$189)</f>
        <v>200</v>
      </c>
      <c r="R35" s="24">
        <f>-SUMIF(Zvf51!$A$2:$A$189,fp!$B35,Zvf51!$AI$2:$AI$189)</f>
        <v>6044.81</v>
      </c>
      <c r="S35" s="12">
        <f>+SUMIF(Zvf51!$A$2:$A$189,fp!$B35,Zvf51!$P$2:$P$189)</f>
        <v>14</v>
      </c>
      <c r="T35" s="18">
        <f>+SUMIF(Zvf51!$A$2:$A$189,fp!$B35,Zvf51!$AP$2:$AP$189)</f>
        <v>423.14</v>
      </c>
      <c r="V35" s="12">
        <f t="shared" si="5"/>
        <v>0</v>
      </c>
      <c r="W35" s="12">
        <f t="shared" si="6"/>
        <v>0</v>
      </c>
      <c r="X35" s="12">
        <f t="shared" si="7"/>
        <v>0</v>
      </c>
      <c r="Y35" s="12">
        <f t="shared" si="8"/>
        <v>0</v>
      </c>
      <c r="Z35" s="12">
        <f t="shared" si="9"/>
        <v>0</v>
      </c>
      <c r="AA35" s="12">
        <f t="shared" si="10"/>
        <v>0</v>
      </c>
    </row>
    <row r="36" spans="1:27" ht="15.75" customHeight="1" x14ac:dyDescent="0.2">
      <c r="A36" s="9">
        <v>32</v>
      </c>
      <c r="B36" s="10" t="s">
        <v>54</v>
      </c>
      <c r="C36" s="10" t="s">
        <v>55</v>
      </c>
      <c r="D36" s="11" t="s">
        <v>26</v>
      </c>
      <c r="E36" s="12">
        <v>1526</v>
      </c>
      <c r="F36" s="12">
        <v>66835.649999999994</v>
      </c>
      <c r="G36" s="12">
        <v>2520</v>
      </c>
      <c r="H36" s="12">
        <v>88515.94</v>
      </c>
      <c r="I36" s="12">
        <v>3494</v>
      </c>
      <c r="J36" s="12">
        <v>134156.84</v>
      </c>
      <c r="K36" s="12">
        <v>552</v>
      </c>
      <c r="L36" s="31">
        <v>21194.75</v>
      </c>
      <c r="M36" s="13"/>
      <c r="O36" s="12">
        <f>+SUMIF(Zvf51!$A$2:$A$189,fp!$B36,Zvf51!$F$2:$F$189)</f>
        <v>2520</v>
      </c>
      <c r="P36" s="18">
        <f>+SUMIF(Zvf51!$A$2:$A$189,fp!$B36,Zvf51!$AF$2:$AF$189)</f>
        <v>88515.96</v>
      </c>
      <c r="Q36" s="12">
        <f>-SUMIF(Zvf51!$A$2:$A$189,fp!$B36,Zvf51!$I$2:$I$189)</f>
        <v>3494</v>
      </c>
      <c r="R36" s="24">
        <f>-SUMIF(Zvf51!$A$2:$A$189,fp!$B36,Zvf51!$AI$2:$AI$189)</f>
        <v>134156.82999999999</v>
      </c>
      <c r="S36" s="12">
        <f>+SUMIF(Zvf51!$A$2:$A$189,fp!$B36,Zvf51!$P$2:$P$189)</f>
        <v>552</v>
      </c>
      <c r="T36" s="18">
        <f>+SUMIF(Zvf51!$A$2:$A$189,fp!$B36,Zvf51!$AP$2:$AP$189)</f>
        <v>21194.78</v>
      </c>
      <c r="V36" s="12">
        <f t="shared" si="5"/>
        <v>0</v>
      </c>
      <c r="W36" s="12">
        <f t="shared" si="6"/>
        <v>2.0000000004074536E-2</v>
      </c>
      <c r="X36" s="12">
        <f t="shared" si="7"/>
        <v>0</v>
      </c>
      <c r="Y36" s="12">
        <f t="shared" si="8"/>
        <v>-1.0000000009313226E-2</v>
      </c>
      <c r="Z36" s="12">
        <f t="shared" si="9"/>
        <v>0</v>
      </c>
      <c r="AA36" s="12">
        <f t="shared" si="10"/>
        <v>2.9999999998835847E-2</v>
      </c>
    </row>
    <row r="37" spans="1:27" ht="25.5" customHeight="1" x14ac:dyDescent="0.2">
      <c r="A37" s="9">
        <v>33</v>
      </c>
      <c r="B37" s="10" t="s">
        <v>268</v>
      </c>
      <c r="C37" s="10" t="s">
        <v>400</v>
      </c>
      <c r="D37" s="11" t="s">
        <v>26</v>
      </c>
      <c r="E37" s="12">
        <v>860</v>
      </c>
      <c r="F37" s="12">
        <v>35926.71</v>
      </c>
      <c r="G37" s="12">
        <v>741</v>
      </c>
      <c r="H37" s="12">
        <v>25205.68</v>
      </c>
      <c r="I37" s="12">
        <v>532</v>
      </c>
      <c r="J37" s="12">
        <v>20313.82</v>
      </c>
      <c r="K37" s="12">
        <v>1069</v>
      </c>
      <c r="L37" s="31">
        <v>40818.57</v>
      </c>
      <c r="M37" s="13"/>
      <c r="O37" s="12">
        <f>+SUMIF(Zvf51!$A$2:$A$189,fp!$B37,Zvf51!$F$2:$F$189)</f>
        <v>741</v>
      </c>
      <c r="P37" s="18">
        <f>+SUMIF(Zvf51!$A$2:$A$189,fp!$B37,Zvf51!$AF$2:$AF$189)</f>
        <v>25205.68</v>
      </c>
      <c r="Q37" s="12">
        <f>-SUMIF(Zvf51!$A$2:$A$189,fp!$B37,Zvf51!$I$2:$I$189)</f>
        <v>532</v>
      </c>
      <c r="R37" s="24">
        <f>-SUMIF(Zvf51!$A$2:$A$189,fp!$B37,Zvf51!$AI$2:$AI$189)</f>
        <v>20313.82</v>
      </c>
      <c r="S37" s="12">
        <f>+SUMIF(Zvf51!$A$2:$A$189,fp!$B37,Zvf51!$P$2:$P$189)</f>
        <v>1069</v>
      </c>
      <c r="T37" s="18">
        <f>+SUMIF(Zvf51!$A$2:$A$189,fp!$B37,Zvf51!$AP$2:$AP$189)</f>
        <v>40818.57</v>
      </c>
      <c r="V37" s="12">
        <f t="shared" si="5"/>
        <v>0</v>
      </c>
      <c r="W37" s="12">
        <f t="shared" si="6"/>
        <v>0</v>
      </c>
      <c r="X37" s="12">
        <f t="shared" si="7"/>
        <v>0</v>
      </c>
      <c r="Y37" s="12">
        <f t="shared" si="8"/>
        <v>0</v>
      </c>
      <c r="Z37" s="12">
        <f t="shared" si="9"/>
        <v>0</v>
      </c>
      <c r="AA37" s="12">
        <f t="shared" si="10"/>
        <v>0</v>
      </c>
    </row>
    <row r="38" spans="1:27" ht="25.5" customHeight="1" x14ac:dyDescent="0.2">
      <c r="A38" s="9">
        <v>34</v>
      </c>
      <c r="B38" s="10" t="s">
        <v>583</v>
      </c>
      <c r="C38" s="10" t="s">
        <v>599</v>
      </c>
      <c r="D38" s="11" t="s">
        <v>26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31">
        <v>0</v>
      </c>
      <c r="M38" s="13"/>
      <c r="O38" s="12">
        <f>+SUMIF(Zvf51!$A$2:$A$189,fp!$B38,Zvf51!$F$2:$F$189)</f>
        <v>0</v>
      </c>
      <c r="P38" s="18">
        <f>+SUMIF(Zvf51!$A$2:$A$189,fp!$B38,Zvf51!$AF$2:$AF$189)</f>
        <v>0</v>
      </c>
      <c r="Q38" s="12">
        <f>-SUMIF(Zvf51!$A$2:$A$189,fp!$B38,Zvf51!$I$2:$I$189)</f>
        <v>0</v>
      </c>
      <c r="R38" s="24">
        <f>-SUMIF(Zvf51!$A$2:$A$189,fp!$B38,Zvf51!$AI$2:$AI$189)</f>
        <v>0</v>
      </c>
      <c r="S38" s="12">
        <f>+SUMIF(Zvf51!$A$2:$A$189,fp!$B38,Zvf51!$P$2:$P$189)</f>
        <v>0</v>
      </c>
      <c r="T38" s="18">
        <f>+SUMIF(Zvf51!$A$2:$A$189,fp!$B38,Zvf51!$AP$2:$AP$189)</f>
        <v>0</v>
      </c>
      <c r="V38" s="12">
        <f t="shared" si="5"/>
        <v>0</v>
      </c>
      <c r="W38" s="12">
        <f t="shared" si="6"/>
        <v>0</v>
      </c>
      <c r="X38" s="12">
        <f t="shared" si="7"/>
        <v>0</v>
      </c>
      <c r="Y38" s="12">
        <f t="shared" si="8"/>
        <v>0</v>
      </c>
      <c r="Z38" s="12">
        <f t="shared" si="9"/>
        <v>0</v>
      </c>
      <c r="AA38" s="12">
        <f t="shared" si="10"/>
        <v>0</v>
      </c>
    </row>
    <row r="39" spans="1:27" ht="15.75" customHeight="1" x14ac:dyDescent="0.2">
      <c r="A39" s="9">
        <v>35</v>
      </c>
      <c r="B39" s="10" t="s">
        <v>56</v>
      </c>
      <c r="C39" s="10" t="s">
        <v>57</v>
      </c>
      <c r="D39" s="11" t="s">
        <v>26</v>
      </c>
      <c r="E39" s="12">
        <v>360</v>
      </c>
      <c r="F39" s="12">
        <v>9550.5</v>
      </c>
      <c r="G39" s="12">
        <v>2</v>
      </c>
      <c r="H39" s="12">
        <v>50.73</v>
      </c>
      <c r="I39" s="12">
        <v>0</v>
      </c>
      <c r="J39" s="12">
        <v>0</v>
      </c>
      <c r="K39" s="12">
        <v>362</v>
      </c>
      <c r="L39" s="31">
        <v>9601.23</v>
      </c>
      <c r="M39" s="13"/>
      <c r="O39" s="12">
        <f>+SUMIF(Zvf51!$A$2:$A$189,fp!$B39,Zvf51!$F$2:$F$189)</f>
        <v>2</v>
      </c>
      <c r="P39" s="18">
        <f>+SUMIF(Zvf51!$A$2:$A$189,fp!$B39,Zvf51!$AF$2:$AF$189)</f>
        <v>50.73</v>
      </c>
      <c r="Q39" s="12">
        <f>-SUMIF(Zvf51!$A$2:$A$189,fp!$B39,Zvf51!$I$2:$I$189)</f>
        <v>0</v>
      </c>
      <c r="R39" s="24">
        <f>-SUMIF(Zvf51!$A$2:$A$189,fp!$B39,Zvf51!$AI$2:$AI$189)</f>
        <v>0</v>
      </c>
      <c r="S39" s="12">
        <f>+SUMIF(Zvf51!$A$2:$A$189,fp!$B39,Zvf51!$P$2:$P$189)</f>
        <v>362</v>
      </c>
      <c r="T39" s="18">
        <f>+SUMIF(Zvf51!$A$2:$A$189,fp!$B39,Zvf51!$AP$2:$AP$189)</f>
        <v>9601.23</v>
      </c>
      <c r="V39" s="12">
        <f t="shared" si="5"/>
        <v>0</v>
      </c>
      <c r="W39" s="12">
        <f t="shared" si="6"/>
        <v>0</v>
      </c>
      <c r="X39" s="12">
        <f t="shared" si="7"/>
        <v>0</v>
      </c>
      <c r="Y39" s="12">
        <f t="shared" si="8"/>
        <v>0</v>
      </c>
      <c r="Z39" s="12">
        <f t="shared" si="9"/>
        <v>0</v>
      </c>
      <c r="AA39" s="12">
        <f t="shared" si="10"/>
        <v>0</v>
      </c>
    </row>
    <row r="40" spans="1:27" ht="15.75" customHeight="1" x14ac:dyDescent="0.2">
      <c r="A40" s="9">
        <v>36</v>
      </c>
      <c r="B40" s="10" t="s">
        <v>271</v>
      </c>
      <c r="C40" s="10" t="s">
        <v>399</v>
      </c>
      <c r="D40" s="11" t="s">
        <v>26</v>
      </c>
      <c r="E40" s="12">
        <v>801</v>
      </c>
      <c r="F40" s="12">
        <v>36886.85</v>
      </c>
      <c r="G40" s="12">
        <v>924</v>
      </c>
      <c r="H40" s="12">
        <v>36092.21</v>
      </c>
      <c r="I40" s="12">
        <v>809</v>
      </c>
      <c r="J40" s="12">
        <v>34226.120000000003</v>
      </c>
      <c r="K40" s="12">
        <v>916</v>
      </c>
      <c r="L40" s="31">
        <v>38752.94</v>
      </c>
      <c r="M40" s="13"/>
      <c r="O40" s="12">
        <f>+SUMIF(Zvf51!$A$2:$A$189,fp!$B40,Zvf51!$F$2:$F$189)</f>
        <v>924</v>
      </c>
      <c r="P40" s="18">
        <f>+SUMIF(Zvf51!$A$2:$A$189,fp!$B40,Zvf51!$AF$2:$AF$189)</f>
        <v>36092.22</v>
      </c>
      <c r="Q40" s="12">
        <f>-SUMIF(Zvf51!$A$2:$A$189,fp!$B40,Zvf51!$I$2:$I$189)</f>
        <v>809</v>
      </c>
      <c r="R40" s="24">
        <f>-SUMIF(Zvf51!$A$2:$A$189,fp!$B40,Zvf51!$AI$2:$AI$189)</f>
        <v>34226.120000000003</v>
      </c>
      <c r="S40" s="12">
        <f>+SUMIF(Zvf51!$A$2:$A$189,fp!$B40,Zvf51!$P$2:$P$189)</f>
        <v>916</v>
      </c>
      <c r="T40" s="18">
        <f>+SUMIF(Zvf51!$A$2:$A$189,fp!$B40,Zvf51!$AP$2:$AP$189)</f>
        <v>38752.94</v>
      </c>
      <c r="V40" s="12">
        <f t="shared" si="5"/>
        <v>0</v>
      </c>
      <c r="W40" s="12">
        <f t="shared" si="6"/>
        <v>1.0000000002037268E-2</v>
      </c>
      <c r="X40" s="12">
        <f t="shared" si="7"/>
        <v>0</v>
      </c>
      <c r="Y40" s="12">
        <f t="shared" si="8"/>
        <v>0</v>
      </c>
      <c r="Z40" s="12">
        <f t="shared" si="9"/>
        <v>0</v>
      </c>
      <c r="AA40" s="12">
        <f t="shared" si="10"/>
        <v>0</v>
      </c>
    </row>
    <row r="41" spans="1:27" ht="36.75" customHeight="1" x14ac:dyDescent="0.2">
      <c r="A41" s="9">
        <v>37</v>
      </c>
      <c r="B41" s="10" t="s">
        <v>58</v>
      </c>
      <c r="C41" s="10" t="s">
        <v>59</v>
      </c>
      <c r="D41" s="11" t="s">
        <v>26</v>
      </c>
      <c r="E41" s="12">
        <v>2170</v>
      </c>
      <c r="F41" s="12">
        <v>70569.11</v>
      </c>
      <c r="G41" s="12">
        <v>4848</v>
      </c>
      <c r="H41" s="12">
        <v>128628.02</v>
      </c>
      <c r="I41" s="12">
        <v>5531</v>
      </c>
      <c r="J41" s="12">
        <v>156990.48000000001</v>
      </c>
      <c r="K41" s="12">
        <v>1487</v>
      </c>
      <c r="L41" s="31">
        <v>42206.65</v>
      </c>
      <c r="M41" s="13"/>
      <c r="O41" s="12">
        <f>+SUMIF(Zvf51!$A$2:$A$189,fp!$B41,Zvf51!$F$2:$F$189)</f>
        <v>4848</v>
      </c>
      <c r="P41" s="18">
        <f>+SUMIF(Zvf51!$A$2:$A$189,fp!$B41,Zvf51!$AF$2:$AF$189)</f>
        <v>128627.99</v>
      </c>
      <c r="Q41" s="12">
        <f>-SUMIF(Zvf51!$A$2:$A$189,fp!$B41,Zvf51!$I$2:$I$189)</f>
        <v>5531</v>
      </c>
      <c r="R41" s="24">
        <f>-SUMIF(Zvf51!$A$2:$A$189,fp!$B41,Zvf51!$AI$2:$AI$189)</f>
        <v>156990.48000000001</v>
      </c>
      <c r="S41" s="12">
        <f>+SUMIF(Zvf51!$A$2:$A$189,fp!$B41,Zvf51!$P$2:$P$189)</f>
        <v>1487</v>
      </c>
      <c r="T41" s="18">
        <f>+SUMIF(Zvf51!$A$2:$A$189,fp!$B41,Zvf51!$AP$2:$AP$189)</f>
        <v>42206.62</v>
      </c>
      <c r="V41" s="12">
        <f t="shared" si="5"/>
        <v>0</v>
      </c>
      <c r="W41" s="12">
        <f t="shared" si="6"/>
        <v>-2.9999999998835847E-2</v>
      </c>
      <c r="X41" s="12">
        <f t="shared" si="7"/>
        <v>0</v>
      </c>
      <c r="Y41" s="12">
        <f t="shared" si="8"/>
        <v>0</v>
      </c>
      <c r="Z41" s="12">
        <f t="shared" si="9"/>
        <v>0</v>
      </c>
      <c r="AA41" s="12">
        <f t="shared" si="10"/>
        <v>-2.9999999998835847E-2</v>
      </c>
    </row>
    <row r="42" spans="1:27" ht="25.5" customHeight="1" x14ac:dyDescent="0.2">
      <c r="A42" s="9">
        <v>38</v>
      </c>
      <c r="B42" s="10" t="s">
        <v>60</v>
      </c>
      <c r="C42" s="10" t="s">
        <v>61</v>
      </c>
      <c r="D42" s="11" t="s">
        <v>26</v>
      </c>
      <c r="E42" s="12">
        <v>2120</v>
      </c>
      <c r="F42" s="12">
        <v>104945.35</v>
      </c>
      <c r="G42" s="12">
        <v>1720</v>
      </c>
      <c r="H42" s="12">
        <v>69493.320000000007</v>
      </c>
      <c r="I42" s="12">
        <v>3371</v>
      </c>
      <c r="J42" s="12">
        <v>153133.51</v>
      </c>
      <c r="K42" s="12">
        <v>469</v>
      </c>
      <c r="L42" s="31">
        <v>21305.16</v>
      </c>
      <c r="M42" s="13"/>
      <c r="O42" s="12">
        <f>+SUMIF(Zvf51!$A$2:$A$189,fp!$B42,Zvf51!$F$2:$F$189)</f>
        <v>1720</v>
      </c>
      <c r="P42" s="18">
        <f>+SUMIF(Zvf51!$A$2:$A$189,fp!$B42,Zvf51!$AF$2:$AF$189)</f>
        <v>69493.320000000007</v>
      </c>
      <c r="Q42" s="12">
        <f>-SUMIF(Zvf51!$A$2:$A$189,fp!$B42,Zvf51!$I$2:$I$189)</f>
        <v>3371</v>
      </c>
      <c r="R42" s="24">
        <f>-SUMIF(Zvf51!$A$2:$A$189,fp!$B42,Zvf51!$AI$2:$AI$189)</f>
        <v>153133.53</v>
      </c>
      <c r="S42" s="12">
        <f>+SUMIF(Zvf51!$A$2:$A$189,fp!$B42,Zvf51!$P$2:$P$189)</f>
        <v>469</v>
      </c>
      <c r="T42" s="18">
        <f>+SUMIF(Zvf51!$A$2:$A$189,fp!$B42,Zvf51!$AP$2:$AP$189)</f>
        <v>21305.14</v>
      </c>
      <c r="V42" s="12">
        <f t="shared" si="5"/>
        <v>0</v>
      </c>
      <c r="W42" s="12">
        <f t="shared" si="6"/>
        <v>0</v>
      </c>
      <c r="X42" s="12">
        <f t="shared" si="7"/>
        <v>0</v>
      </c>
      <c r="Y42" s="12">
        <f t="shared" si="8"/>
        <v>1.9999999989522621E-2</v>
      </c>
      <c r="Z42" s="12">
        <f t="shared" si="9"/>
        <v>0</v>
      </c>
      <c r="AA42" s="12">
        <f t="shared" si="10"/>
        <v>-2.0000000000436557E-2</v>
      </c>
    </row>
    <row r="43" spans="1:27" ht="15.75" customHeight="1" x14ac:dyDescent="0.2">
      <c r="A43" s="9">
        <v>39</v>
      </c>
      <c r="B43" s="10" t="s">
        <v>62</v>
      </c>
      <c r="C43" s="10" t="s">
        <v>63</v>
      </c>
      <c r="D43" s="11" t="s">
        <v>26</v>
      </c>
      <c r="E43" s="12">
        <v>63</v>
      </c>
      <c r="F43" s="12">
        <v>2935.99</v>
      </c>
      <c r="G43" s="12">
        <v>0</v>
      </c>
      <c r="H43" s="12">
        <v>0</v>
      </c>
      <c r="I43" s="12">
        <v>0</v>
      </c>
      <c r="J43" s="12">
        <v>0</v>
      </c>
      <c r="K43" s="12">
        <v>63</v>
      </c>
      <c r="L43" s="31">
        <v>2935.99</v>
      </c>
      <c r="M43" s="13"/>
      <c r="O43" s="12">
        <f>+SUMIF(Zvf51!$A$2:$A$189,fp!$B43,Zvf51!$F$2:$F$189)</f>
        <v>0</v>
      </c>
      <c r="P43" s="18">
        <f>+SUMIF(Zvf51!$A$2:$A$189,fp!$B43,Zvf51!$AF$2:$AF$189)</f>
        <v>0</v>
      </c>
      <c r="Q43" s="12">
        <f>-SUMIF(Zvf51!$A$2:$A$189,fp!$B43,Zvf51!$I$2:$I$189)</f>
        <v>0</v>
      </c>
      <c r="R43" s="24">
        <f>-SUMIF(Zvf51!$A$2:$A$189,fp!$B43,Zvf51!$AI$2:$AI$189)</f>
        <v>0</v>
      </c>
      <c r="S43" s="12">
        <f>+SUMIF(Zvf51!$A$2:$A$189,fp!$B43,Zvf51!$P$2:$P$189)</f>
        <v>63</v>
      </c>
      <c r="T43" s="18">
        <f>+SUMIF(Zvf51!$A$2:$A$189,fp!$B43,Zvf51!$AP$2:$AP$189)</f>
        <v>2935.99</v>
      </c>
      <c r="V43" s="12">
        <f t="shared" si="5"/>
        <v>0</v>
      </c>
      <c r="W43" s="12">
        <f t="shared" si="6"/>
        <v>0</v>
      </c>
      <c r="X43" s="12">
        <f t="shared" si="7"/>
        <v>0</v>
      </c>
      <c r="Y43" s="12">
        <f t="shared" si="8"/>
        <v>0</v>
      </c>
      <c r="Z43" s="12">
        <f t="shared" si="9"/>
        <v>0</v>
      </c>
      <c r="AA43" s="12">
        <f t="shared" si="10"/>
        <v>0</v>
      </c>
    </row>
    <row r="44" spans="1:27" ht="25.5" customHeight="1" x14ac:dyDescent="0.2">
      <c r="A44" s="9">
        <v>40</v>
      </c>
      <c r="B44" s="10" t="s">
        <v>64</v>
      </c>
      <c r="C44" s="10" t="s">
        <v>65</v>
      </c>
      <c r="D44" s="11" t="s">
        <v>26</v>
      </c>
      <c r="E44" s="12">
        <v>6564</v>
      </c>
      <c r="F44" s="12">
        <v>218740.61</v>
      </c>
      <c r="G44" s="12">
        <v>16338</v>
      </c>
      <c r="H44" s="12">
        <v>447567.42</v>
      </c>
      <c r="I44" s="12">
        <v>16953</v>
      </c>
      <c r="J44" s="12">
        <v>493228.54</v>
      </c>
      <c r="K44" s="12">
        <v>5949</v>
      </c>
      <c r="L44" s="31">
        <v>173079.49</v>
      </c>
      <c r="M44" s="13"/>
      <c r="O44" s="12">
        <f>+SUMIF(Zvf51!$A$2:$A$189,fp!$B44,Zvf51!$F$2:$F$189)</f>
        <v>16338</v>
      </c>
      <c r="P44" s="18">
        <f>+SUMIF(Zvf51!$A$2:$A$189,fp!$B44,Zvf51!$AF$2:$AF$189)</f>
        <v>447567.42</v>
      </c>
      <c r="Q44" s="12">
        <f>-SUMIF(Zvf51!$A$2:$A$189,fp!$B44,Zvf51!$I$2:$I$189)</f>
        <v>16953</v>
      </c>
      <c r="R44" s="24">
        <f>-SUMIF(Zvf51!$A$2:$A$189,fp!$B44,Zvf51!$AI$2:$AI$189)</f>
        <v>493228.54</v>
      </c>
      <c r="S44" s="12">
        <f>+SUMIF(Zvf51!$A$2:$A$189,fp!$B44,Zvf51!$P$2:$P$189)</f>
        <v>5949</v>
      </c>
      <c r="T44" s="18">
        <f>+SUMIF(Zvf51!$A$2:$A$189,fp!$B44,Zvf51!$AP$2:$AP$189)</f>
        <v>173079.49</v>
      </c>
      <c r="V44" s="12">
        <f t="shared" si="5"/>
        <v>0</v>
      </c>
      <c r="W44" s="12">
        <f t="shared" si="6"/>
        <v>0</v>
      </c>
      <c r="X44" s="12">
        <f t="shared" si="7"/>
        <v>0</v>
      </c>
      <c r="Y44" s="12">
        <f t="shared" si="8"/>
        <v>0</v>
      </c>
      <c r="Z44" s="12">
        <f t="shared" si="9"/>
        <v>0</v>
      </c>
      <c r="AA44" s="12">
        <f t="shared" si="10"/>
        <v>0</v>
      </c>
    </row>
    <row r="45" spans="1:27" ht="15.75" customHeight="1" x14ac:dyDescent="0.2">
      <c r="A45" s="9">
        <v>41</v>
      </c>
      <c r="B45" s="10" t="s">
        <v>277</v>
      </c>
      <c r="C45" s="10" t="s">
        <v>398</v>
      </c>
      <c r="D45" s="11" t="s">
        <v>26</v>
      </c>
      <c r="E45" s="12">
        <v>240</v>
      </c>
      <c r="F45" s="12">
        <v>9754.52</v>
      </c>
      <c r="G45" s="12">
        <v>195</v>
      </c>
      <c r="H45" s="12">
        <v>6363.27</v>
      </c>
      <c r="I45" s="12">
        <v>234</v>
      </c>
      <c r="J45" s="12">
        <v>8670.26</v>
      </c>
      <c r="K45" s="12">
        <v>201</v>
      </c>
      <c r="L45" s="31">
        <v>7447.53</v>
      </c>
      <c r="M45" s="13"/>
      <c r="O45" s="12">
        <f>+SUMIF(Zvf51!$A$2:$A$189,fp!$B45,Zvf51!$F$2:$F$189)</f>
        <v>195</v>
      </c>
      <c r="P45" s="18">
        <f>+SUMIF(Zvf51!$A$2:$A$189,fp!$B45,Zvf51!$AF$2:$AF$189)</f>
        <v>6363.27</v>
      </c>
      <c r="Q45" s="12">
        <f>-SUMIF(Zvf51!$A$2:$A$189,fp!$B45,Zvf51!$I$2:$I$189)</f>
        <v>234</v>
      </c>
      <c r="R45" s="24">
        <f>-SUMIF(Zvf51!$A$2:$A$189,fp!$B45,Zvf51!$AI$2:$AI$189)</f>
        <v>8670.26</v>
      </c>
      <c r="S45" s="12">
        <f>+SUMIF(Zvf51!$A$2:$A$189,fp!$B45,Zvf51!$P$2:$P$189)</f>
        <v>201</v>
      </c>
      <c r="T45" s="18">
        <f>+SUMIF(Zvf51!$A$2:$A$189,fp!$B45,Zvf51!$AP$2:$AP$189)</f>
        <v>7447.53</v>
      </c>
      <c r="V45" s="12">
        <f t="shared" si="5"/>
        <v>0</v>
      </c>
      <c r="W45" s="12">
        <f t="shared" si="6"/>
        <v>0</v>
      </c>
      <c r="X45" s="12">
        <f t="shared" si="7"/>
        <v>0</v>
      </c>
      <c r="Y45" s="12">
        <f t="shared" si="8"/>
        <v>0</v>
      </c>
      <c r="Z45" s="12">
        <f t="shared" si="9"/>
        <v>0</v>
      </c>
      <c r="AA45" s="12">
        <f t="shared" si="10"/>
        <v>0</v>
      </c>
    </row>
    <row r="46" spans="1:27" ht="25.5" customHeight="1" x14ac:dyDescent="0.2">
      <c r="A46" s="9">
        <v>42</v>
      </c>
      <c r="B46" s="10" t="s">
        <v>66</v>
      </c>
      <c r="C46" s="10" t="s">
        <v>67</v>
      </c>
      <c r="D46" s="11" t="s">
        <v>43</v>
      </c>
      <c r="E46" s="12">
        <v>21</v>
      </c>
      <c r="F46" s="12">
        <v>1555.54</v>
      </c>
      <c r="G46" s="12">
        <v>0</v>
      </c>
      <c r="H46" s="12">
        <v>0</v>
      </c>
      <c r="I46" s="12">
        <v>0</v>
      </c>
      <c r="J46" s="12">
        <v>0</v>
      </c>
      <c r="K46" s="12">
        <v>21</v>
      </c>
      <c r="L46" s="31">
        <v>1555.54</v>
      </c>
      <c r="M46" s="13"/>
      <c r="O46" s="12">
        <f>+SUMIF(Zvf51!$A$2:$A$189,fp!$B46,Zvf51!$F$2:$F$189)</f>
        <v>0</v>
      </c>
      <c r="P46" s="18">
        <f>+SUMIF(Zvf51!$A$2:$A$189,fp!$B46,Zvf51!$AF$2:$AF$189)</f>
        <v>0</v>
      </c>
      <c r="Q46" s="12">
        <f>-SUMIF(Zvf51!$A$2:$A$189,fp!$B46,Zvf51!$I$2:$I$189)</f>
        <v>0</v>
      </c>
      <c r="R46" s="24">
        <f>-SUMIF(Zvf51!$A$2:$A$189,fp!$B46,Zvf51!$AI$2:$AI$189)</f>
        <v>0</v>
      </c>
      <c r="S46" s="12">
        <f>+SUMIF(Zvf51!$A$2:$A$189,fp!$B46,Zvf51!$P$2:$P$189)</f>
        <v>21</v>
      </c>
      <c r="T46" s="18">
        <f>+SUMIF(Zvf51!$A$2:$A$189,fp!$B46,Zvf51!$AP$2:$AP$189)</f>
        <v>1555.54</v>
      </c>
      <c r="V46" s="12">
        <f t="shared" si="5"/>
        <v>0</v>
      </c>
      <c r="W46" s="12">
        <f t="shared" si="6"/>
        <v>0</v>
      </c>
      <c r="X46" s="12">
        <f t="shared" si="7"/>
        <v>0</v>
      </c>
      <c r="Y46" s="12">
        <f t="shared" si="8"/>
        <v>0</v>
      </c>
      <c r="Z46" s="12">
        <f t="shared" si="9"/>
        <v>0</v>
      </c>
      <c r="AA46" s="12">
        <f t="shared" si="10"/>
        <v>0</v>
      </c>
    </row>
    <row r="47" spans="1:27" ht="15.75" customHeight="1" x14ac:dyDescent="0.2">
      <c r="A47" s="9">
        <v>43</v>
      </c>
      <c r="B47" s="10" t="s">
        <v>68</v>
      </c>
      <c r="C47" s="10" t="s">
        <v>69</v>
      </c>
      <c r="D47" s="11" t="s">
        <v>26</v>
      </c>
      <c r="E47" s="12">
        <v>2450</v>
      </c>
      <c r="F47" s="12">
        <v>132513.68</v>
      </c>
      <c r="G47" s="12">
        <v>3570</v>
      </c>
      <c r="H47" s="12">
        <v>158470.04</v>
      </c>
      <c r="I47" s="12">
        <v>4275</v>
      </c>
      <c r="J47" s="12">
        <v>206637.09</v>
      </c>
      <c r="K47" s="12">
        <v>1745</v>
      </c>
      <c r="L47" s="31">
        <v>84346.63</v>
      </c>
      <c r="M47" s="13"/>
      <c r="O47" s="12">
        <f>+SUMIF(Zvf51!$A$2:$A$189,fp!$B47,Zvf51!$F$2:$F$189)</f>
        <v>3570</v>
      </c>
      <c r="P47" s="18">
        <f>+SUMIF(Zvf51!$A$2:$A$189,fp!$B47,Zvf51!$AF$2:$AF$189)</f>
        <v>158470.03</v>
      </c>
      <c r="Q47" s="12">
        <f>-SUMIF(Zvf51!$A$2:$A$189,fp!$B47,Zvf51!$I$2:$I$189)</f>
        <v>4275</v>
      </c>
      <c r="R47" s="24">
        <f>-SUMIF(Zvf51!$A$2:$A$189,fp!$B47,Zvf51!$AI$2:$AI$189)</f>
        <v>206637.1</v>
      </c>
      <c r="S47" s="12">
        <f>+SUMIF(Zvf51!$A$2:$A$189,fp!$B47,Zvf51!$P$2:$P$189)</f>
        <v>1745</v>
      </c>
      <c r="T47" s="18">
        <f>+SUMIF(Zvf51!$A$2:$A$189,fp!$B47,Zvf51!$AP$2:$AP$189)</f>
        <v>84346.61</v>
      </c>
      <c r="V47" s="12">
        <f t="shared" si="5"/>
        <v>0</v>
      </c>
      <c r="W47" s="12">
        <f t="shared" si="6"/>
        <v>-1.0000000009313226E-2</v>
      </c>
      <c r="X47" s="12">
        <f t="shared" si="7"/>
        <v>0</v>
      </c>
      <c r="Y47" s="12">
        <f t="shared" si="8"/>
        <v>1.0000000009313226E-2</v>
      </c>
      <c r="Z47" s="12">
        <f t="shared" si="9"/>
        <v>0</v>
      </c>
      <c r="AA47" s="12">
        <f t="shared" si="10"/>
        <v>-2.0000000004074536E-2</v>
      </c>
    </row>
    <row r="48" spans="1:27" ht="15.75" customHeight="1" x14ac:dyDescent="0.2">
      <c r="A48" s="9">
        <v>44</v>
      </c>
      <c r="B48" s="10" t="s">
        <v>281</v>
      </c>
      <c r="C48" s="10" t="s">
        <v>397</v>
      </c>
      <c r="D48" s="11" t="s">
        <v>26</v>
      </c>
      <c r="E48" s="12">
        <v>279</v>
      </c>
      <c r="F48" s="12">
        <v>13604.62</v>
      </c>
      <c r="G48" s="12">
        <v>560</v>
      </c>
      <c r="H48" s="12">
        <v>27007.96</v>
      </c>
      <c r="I48" s="12">
        <v>270</v>
      </c>
      <c r="J48" s="12">
        <v>13069.6</v>
      </c>
      <c r="K48" s="12">
        <v>569</v>
      </c>
      <c r="L48" s="31">
        <v>27542.98</v>
      </c>
      <c r="M48" s="13"/>
      <c r="O48" s="12">
        <f>+SUMIF(Zvf51!$A$2:$A$189,fp!$B48,Zvf51!$F$2:$F$189)</f>
        <v>560</v>
      </c>
      <c r="P48" s="18">
        <f>+SUMIF(Zvf51!$A$2:$A$189,fp!$B48,Zvf51!$AF$2:$AF$189)</f>
        <v>27007.96</v>
      </c>
      <c r="Q48" s="12">
        <f>-SUMIF(Zvf51!$A$2:$A$189,fp!$B48,Zvf51!$I$2:$I$189)</f>
        <v>270</v>
      </c>
      <c r="R48" s="24">
        <f>-SUMIF(Zvf51!$A$2:$A$189,fp!$B48,Zvf51!$AI$2:$AI$189)</f>
        <v>13069.6</v>
      </c>
      <c r="S48" s="12">
        <f>+SUMIF(Zvf51!$A$2:$A$189,fp!$B48,Zvf51!$P$2:$P$189)</f>
        <v>569</v>
      </c>
      <c r="T48" s="18">
        <f>+SUMIF(Zvf51!$A$2:$A$189,fp!$B48,Zvf51!$AP$2:$AP$189)</f>
        <v>27542.98</v>
      </c>
      <c r="V48" s="12">
        <f t="shared" si="5"/>
        <v>0</v>
      </c>
      <c r="W48" s="12">
        <f t="shared" si="6"/>
        <v>0</v>
      </c>
      <c r="X48" s="12">
        <f t="shared" si="7"/>
        <v>0</v>
      </c>
      <c r="Y48" s="12">
        <f t="shared" si="8"/>
        <v>0</v>
      </c>
      <c r="Z48" s="12">
        <f t="shared" si="9"/>
        <v>0</v>
      </c>
      <c r="AA48" s="12">
        <f t="shared" si="10"/>
        <v>0</v>
      </c>
    </row>
    <row r="49" spans="1:27" ht="36.75" customHeight="1" x14ac:dyDescent="0.2">
      <c r="A49" s="9">
        <v>45</v>
      </c>
      <c r="B49" s="10" t="s">
        <v>70</v>
      </c>
      <c r="C49" s="10" t="s">
        <v>71</v>
      </c>
      <c r="D49" s="11" t="s">
        <v>26</v>
      </c>
      <c r="E49" s="12">
        <v>65</v>
      </c>
      <c r="F49" s="12">
        <v>3238.06</v>
      </c>
      <c r="G49" s="12">
        <v>2880</v>
      </c>
      <c r="H49" s="12">
        <v>132601.24</v>
      </c>
      <c r="I49" s="12">
        <v>1302</v>
      </c>
      <c r="J49" s="12">
        <v>60055.25</v>
      </c>
      <c r="K49" s="12">
        <v>1643</v>
      </c>
      <c r="L49" s="31">
        <v>75784.05</v>
      </c>
      <c r="M49" s="13"/>
      <c r="O49" s="12">
        <f>+SUMIF(Zvf51!$A$2:$A$189,fp!$B49,Zvf51!$F$2:$F$189)</f>
        <v>2880</v>
      </c>
      <c r="P49" s="18">
        <f>+SUMIF(Zvf51!$A$2:$A$189,fp!$B49,Zvf51!$AF$2:$AF$189)</f>
        <v>132601.21</v>
      </c>
      <c r="Q49" s="12">
        <f>-SUMIF(Zvf51!$A$2:$A$189,fp!$B49,Zvf51!$I$2:$I$189)</f>
        <v>1302</v>
      </c>
      <c r="R49" s="24">
        <f>-SUMIF(Zvf51!$A$2:$A$189,fp!$B49,Zvf51!$AI$2:$AI$189)</f>
        <v>60055.25</v>
      </c>
      <c r="S49" s="12">
        <f>+SUMIF(Zvf51!$A$2:$A$189,fp!$B49,Zvf51!$P$2:$P$189)</f>
        <v>1643</v>
      </c>
      <c r="T49" s="18">
        <f>+SUMIF(Zvf51!$A$2:$A$189,fp!$B49,Zvf51!$AP$2:$AP$189)</f>
        <v>75784.009999999995</v>
      </c>
      <c r="V49" s="12">
        <f t="shared" si="5"/>
        <v>0</v>
      </c>
      <c r="W49" s="12">
        <f t="shared" si="6"/>
        <v>-2.9999999998835847E-2</v>
      </c>
      <c r="X49" s="12">
        <f t="shared" si="7"/>
        <v>0</v>
      </c>
      <c r="Y49" s="12">
        <f t="shared" si="8"/>
        <v>0</v>
      </c>
      <c r="Z49" s="12">
        <f t="shared" si="9"/>
        <v>0</v>
      </c>
      <c r="AA49" s="12">
        <f t="shared" si="10"/>
        <v>-4.0000000008149073E-2</v>
      </c>
    </row>
    <row r="50" spans="1:27" ht="25.5" customHeight="1" x14ac:dyDescent="0.2">
      <c r="A50" s="9">
        <v>46</v>
      </c>
      <c r="B50" s="10" t="s">
        <v>284</v>
      </c>
      <c r="C50" s="10" t="s">
        <v>396</v>
      </c>
      <c r="D50" s="11" t="s">
        <v>26</v>
      </c>
      <c r="E50" s="12">
        <v>104</v>
      </c>
      <c r="F50" s="12">
        <v>5298.85</v>
      </c>
      <c r="G50" s="12">
        <v>0</v>
      </c>
      <c r="H50" s="12">
        <v>0</v>
      </c>
      <c r="I50" s="12">
        <v>0</v>
      </c>
      <c r="J50" s="12">
        <v>0</v>
      </c>
      <c r="K50" s="12">
        <v>104</v>
      </c>
      <c r="L50" s="31">
        <v>5298.85</v>
      </c>
      <c r="M50" s="13"/>
      <c r="O50" s="12">
        <f>+SUMIF(Zvf51!$A$2:$A$189,fp!$B50,Zvf51!$F$2:$F$189)</f>
        <v>0</v>
      </c>
      <c r="P50" s="18">
        <f>+SUMIF(Zvf51!$A$2:$A$189,fp!$B50,Zvf51!$AF$2:$AF$189)</f>
        <v>0</v>
      </c>
      <c r="Q50" s="12">
        <f>-SUMIF(Zvf51!$A$2:$A$189,fp!$B50,Zvf51!$I$2:$I$189)</f>
        <v>0</v>
      </c>
      <c r="R50" s="24">
        <f>-SUMIF(Zvf51!$A$2:$A$189,fp!$B50,Zvf51!$AI$2:$AI$189)</f>
        <v>0</v>
      </c>
      <c r="S50" s="12">
        <f>+SUMIF(Zvf51!$A$2:$A$189,fp!$B50,Zvf51!$P$2:$P$189)</f>
        <v>104</v>
      </c>
      <c r="T50" s="18">
        <f>+SUMIF(Zvf51!$A$2:$A$189,fp!$B50,Zvf51!$AP$2:$AP$189)</f>
        <v>5298.85</v>
      </c>
      <c r="V50" s="12">
        <f t="shared" si="5"/>
        <v>0</v>
      </c>
      <c r="W50" s="12">
        <f t="shared" si="6"/>
        <v>0</v>
      </c>
      <c r="X50" s="12">
        <f t="shared" si="7"/>
        <v>0</v>
      </c>
      <c r="Y50" s="12">
        <f t="shared" si="8"/>
        <v>0</v>
      </c>
      <c r="Z50" s="12">
        <f t="shared" si="9"/>
        <v>0</v>
      </c>
      <c r="AA50" s="12">
        <f t="shared" si="10"/>
        <v>0</v>
      </c>
    </row>
    <row r="51" spans="1:27" ht="25.5" customHeight="1" x14ac:dyDescent="0.2">
      <c r="A51" s="9">
        <v>47</v>
      </c>
      <c r="B51" s="10" t="s">
        <v>72</v>
      </c>
      <c r="C51" s="10" t="s">
        <v>73</v>
      </c>
      <c r="D51" s="11" t="s">
        <v>43</v>
      </c>
      <c r="E51" s="12">
        <v>253</v>
      </c>
      <c r="F51" s="12">
        <v>7832.01</v>
      </c>
      <c r="G51" s="12">
        <v>0</v>
      </c>
      <c r="H51" s="12">
        <v>0</v>
      </c>
      <c r="I51" s="12">
        <v>0</v>
      </c>
      <c r="J51" s="12">
        <v>0</v>
      </c>
      <c r="K51" s="12">
        <v>253</v>
      </c>
      <c r="L51" s="31">
        <v>7832.01</v>
      </c>
      <c r="M51" s="13"/>
      <c r="O51" s="12">
        <f>+SUMIF(Zvf51!$A$2:$A$189,fp!$B51,Zvf51!$F$2:$F$189)</f>
        <v>0</v>
      </c>
      <c r="P51" s="18">
        <f>+SUMIF(Zvf51!$A$2:$A$189,fp!$B51,Zvf51!$AF$2:$AF$189)</f>
        <v>0</v>
      </c>
      <c r="Q51" s="12">
        <f>-SUMIF(Zvf51!$A$2:$A$189,fp!$B51,Zvf51!$I$2:$I$189)</f>
        <v>0</v>
      </c>
      <c r="R51" s="24">
        <f>-SUMIF(Zvf51!$A$2:$A$189,fp!$B51,Zvf51!$AI$2:$AI$189)</f>
        <v>0</v>
      </c>
      <c r="S51" s="12">
        <f>+SUMIF(Zvf51!$A$2:$A$189,fp!$B51,Zvf51!$P$2:$P$189)</f>
        <v>253</v>
      </c>
      <c r="T51" s="18">
        <f>+SUMIF(Zvf51!$A$2:$A$189,fp!$B51,Zvf51!$AP$2:$AP$189)</f>
        <v>7832.01</v>
      </c>
      <c r="V51" s="12">
        <f t="shared" si="5"/>
        <v>0</v>
      </c>
      <c r="W51" s="12">
        <f t="shared" si="6"/>
        <v>0</v>
      </c>
      <c r="X51" s="12">
        <f t="shared" si="7"/>
        <v>0</v>
      </c>
      <c r="Y51" s="12">
        <f t="shared" si="8"/>
        <v>0</v>
      </c>
      <c r="Z51" s="12">
        <f t="shared" si="9"/>
        <v>0</v>
      </c>
      <c r="AA51" s="12">
        <f t="shared" si="10"/>
        <v>0</v>
      </c>
    </row>
    <row r="52" spans="1:27" ht="25.5" customHeight="1" x14ac:dyDescent="0.2">
      <c r="A52" s="9">
        <v>48</v>
      </c>
      <c r="B52" s="10" t="s">
        <v>287</v>
      </c>
      <c r="C52" s="10" t="s">
        <v>395</v>
      </c>
      <c r="D52" s="11" t="s">
        <v>26</v>
      </c>
      <c r="E52" s="12">
        <v>125</v>
      </c>
      <c r="F52" s="12">
        <v>3935.71</v>
      </c>
      <c r="G52" s="12">
        <v>744</v>
      </c>
      <c r="H52" s="12">
        <v>23363.69</v>
      </c>
      <c r="I52" s="12">
        <v>80</v>
      </c>
      <c r="J52" s="12">
        <v>2513.1799999999998</v>
      </c>
      <c r="K52" s="12">
        <v>789</v>
      </c>
      <c r="L52" s="31">
        <v>24786.22</v>
      </c>
      <c r="M52" s="13"/>
      <c r="O52" s="12">
        <f>+SUMIF(Zvf51!$A$2:$A$189,fp!$B52,Zvf51!$F$2:$F$189)</f>
        <v>744</v>
      </c>
      <c r="P52" s="18">
        <f>+SUMIF(Zvf51!$A$2:$A$189,fp!$B52,Zvf51!$AF$2:$AF$189)</f>
        <v>23363.69</v>
      </c>
      <c r="Q52" s="12">
        <f>-SUMIF(Zvf51!$A$2:$A$189,fp!$B52,Zvf51!$I$2:$I$189)</f>
        <v>80</v>
      </c>
      <c r="R52" s="24">
        <f>-SUMIF(Zvf51!$A$2:$A$189,fp!$B52,Zvf51!$AI$2:$AI$189)</f>
        <v>2513.1799999999998</v>
      </c>
      <c r="S52" s="12">
        <f>+SUMIF(Zvf51!$A$2:$A$189,fp!$B52,Zvf51!$P$2:$P$189)</f>
        <v>789</v>
      </c>
      <c r="T52" s="18">
        <f>+SUMIF(Zvf51!$A$2:$A$189,fp!$B52,Zvf51!$AP$2:$AP$189)</f>
        <v>24786.22</v>
      </c>
      <c r="V52" s="12">
        <f t="shared" si="5"/>
        <v>0</v>
      </c>
      <c r="W52" s="12">
        <f t="shared" si="6"/>
        <v>0</v>
      </c>
      <c r="X52" s="12">
        <f t="shared" si="7"/>
        <v>0</v>
      </c>
      <c r="Y52" s="12">
        <f t="shared" si="8"/>
        <v>0</v>
      </c>
      <c r="Z52" s="12">
        <f t="shared" si="9"/>
        <v>0</v>
      </c>
      <c r="AA52" s="12">
        <f t="shared" si="10"/>
        <v>0</v>
      </c>
    </row>
    <row r="53" spans="1:27" ht="15.75" customHeight="1" x14ac:dyDescent="0.2">
      <c r="A53" s="9">
        <v>49</v>
      </c>
      <c r="B53" s="10" t="s">
        <v>289</v>
      </c>
      <c r="C53" s="10" t="s">
        <v>394</v>
      </c>
      <c r="D53" s="11" t="s">
        <v>26</v>
      </c>
      <c r="E53" s="12">
        <v>97</v>
      </c>
      <c r="F53" s="12">
        <v>4167.7299999999996</v>
      </c>
      <c r="G53" s="12">
        <v>0</v>
      </c>
      <c r="H53" s="12">
        <v>0</v>
      </c>
      <c r="I53" s="12">
        <v>0</v>
      </c>
      <c r="J53" s="12">
        <v>0</v>
      </c>
      <c r="K53" s="12">
        <v>97</v>
      </c>
      <c r="L53" s="31">
        <v>4167.7299999999996</v>
      </c>
      <c r="M53" s="13"/>
      <c r="O53" s="12">
        <f>+SUMIF(Zvf51!$A$2:$A$189,fp!$B53,Zvf51!$F$2:$F$189)</f>
        <v>0</v>
      </c>
      <c r="P53" s="18">
        <f>+SUMIF(Zvf51!$A$2:$A$189,fp!$B53,Zvf51!$AF$2:$AF$189)</f>
        <v>0</v>
      </c>
      <c r="Q53" s="12">
        <f>-SUMIF(Zvf51!$A$2:$A$189,fp!$B53,Zvf51!$I$2:$I$189)</f>
        <v>0</v>
      </c>
      <c r="R53" s="24">
        <f>-SUMIF(Zvf51!$A$2:$A$189,fp!$B53,Zvf51!$AI$2:$AI$189)</f>
        <v>0</v>
      </c>
      <c r="S53" s="12">
        <f>+SUMIF(Zvf51!$A$2:$A$189,fp!$B53,Zvf51!$P$2:$P$189)</f>
        <v>97</v>
      </c>
      <c r="T53" s="18">
        <f>+SUMIF(Zvf51!$A$2:$A$189,fp!$B53,Zvf51!$AP$2:$AP$189)</f>
        <v>4167.7299999999996</v>
      </c>
      <c r="V53" s="12">
        <f t="shared" si="5"/>
        <v>0</v>
      </c>
      <c r="W53" s="12">
        <f t="shared" si="6"/>
        <v>0</v>
      </c>
      <c r="X53" s="12">
        <f t="shared" si="7"/>
        <v>0</v>
      </c>
      <c r="Y53" s="12">
        <f t="shared" si="8"/>
        <v>0</v>
      </c>
      <c r="Z53" s="12">
        <f t="shared" si="9"/>
        <v>0</v>
      </c>
      <c r="AA53" s="12">
        <f t="shared" si="10"/>
        <v>0</v>
      </c>
    </row>
    <row r="54" spans="1:27" ht="36.75" customHeight="1" x14ac:dyDescent="0.2">
      <c r="A54" s="9">
        <v>50</v>
      </c>
      <c r="B54" s="10" t="s">
        <v>291</v>
      </c>
      <c r="C54" s="10" t="s">
        <v>393</v>
      </c>
      <c r="D54" s="11" t="s">
        <v>26</v>
      </c>
      <c r="E54" s="12">
        <v>64</v>
      </c>
      <c r="F54" s="12">
        <v>2864.88</v>
      </c>
      <c r="G54" s="12">
        <v>0</v>
      </c>
      <c r="H54" s="12">
        <v>0</v>
      </c>
      <c r="I54" s="12">
        <v>0</v>
      </c>
      <c r="J54" s="12">
        <v>0</v>
      </c>
      <c r="K54" s="12">
        <v>64</v>
      </c>
      <c r="L54" s="31">
        <v>2864.88</v>
      </c>
      <c r="M54" s="13"/>
      <c r="O54" s="12">
        <f>+SUMIF(Zvf51!$A$2:$A$189,fp!$B54,Zvf51!$F$2:$F$189)</f>
        <v>0</v>
      </c>
      <c r="P54" s="18">
        <f>+SUMIF(Zvf51!$A$2:$A$189,fp!$B54,Zvf51!$AF$2:$AF$189)</f>
        <v>0</v>
      </c>
      <c r="Q54" s="12">
        <f>-SUMIF(Zvf51!$A$2:$A$189,fp!$B54,Zvf51!$I$2:$I$189)</f>
        <v>0</v>
      </c>
      <c r="R54" s="24">
        <f>-SUMIF(Zvf51!$A$2:$A$189,fp!$B54,Zvf51!$AI$2:$AI$189)</f>
        <v>0</v>
      </c>
      <c r="S54" s="12">
        <f>+SUMIF(Zvf51!$A$2:$A$189,fp!$B54,Zvf51!$P$2:$P$189)</f>
        <v>64</v>
      </c>
      <c r="T54" s="18">
        <f>+SUMIF(Zvf51!$A$2:$A$189,fp!$B54,Zvf51!$AP$2:$AP$189)</f>
        <v>2864.88</v>
      </c>
      <c r="V54" s="12">
        <f t="shared" si="5"/>
        <v>0</v>
      </c>
      <c r="W54" s="12">
        <f t="shared" si="6"/>
        <v>0</v>
      </c>
      <c r="X54" s="12">
        <f t="shared" si="7"/>
        <v>0</v>
      </c>
      <c r="Y54" s="12">
        <f t="shared" si="8"/>
        <v>0</v>
      </c>
      <c r="Z54" s="12">
        <f t="shared" si="9"/>
        <v>0</v>
      </c>
      <c r="AA54" s="12">
        <f t="shared" si="10"/>
        <v>0</v>
      </c>
    </row>
    <row r="55" spans="1:27" ht="25.5" customHeight="1" x14ac:dyDescent="0.2">
      <c r="A55" s="9">
        <v>51</v>
      </c>
      <c r="B55" s="10" t="s">
        <v>74</v>
      </c>
      <c r="C55" s="10" t="s">
        <v>75</v>
      </c>
      <c r="D55" s="11" t="s">
        <v>26</v>
      </c>
      <c r="E55" s="12">
        <v>90</v>
      </c>
      <c r="F55" s="12">
        <v>3633.94</v>
      </c>
      <c r="G55" s="12">
        <v>0</v>
      </c>
      <c r="H55" s="12">
        <v>0</v>
      </c>
      <c r="I55" s="12">
        <v>0</v>
      </c>
      <c r="J55" s="12">
        <v>0</v>
      </c>
      <c r="K55" s="12">
        <v>90</v>
      </c>
      <c r="L55" s="31">
        <v>3633.94</v>
      </c>
      <c r="M55" s="13"/>
      <c r="O55" s="12">
        <f>+SUMIF(Zvf51!$A$2:$A$189,fp!$B55,Zvf51!$F$2:$F$189)</f>
        <v>0</v>
      </c>
      <c r="P55" s="18">
        <f>+SUMIF(Zvf51!$A$2:$A$189,fp!$B55,Zvf51!$AF$2:$AF$189)</f>
        <v>0</v>
      </c>
      <c r="Q55" s="12">
        <f>-SUMIF(Zvf51!$A$2:$A$189,fp!$B55,Zvf51!$I$2:$I$189)</f>
        <v>0</v>
      </c>
      <c r="R55" s="24">
        <f>-SUMIF(Zvf51!$A$2:$A$189,fp!$B55,Zvf51!$AI$2:$AI$189)</f>
        <v>0</v>
      </c>
      <c r="S55" s="12">
        <f>+SUMIF(Zvf51!$A$2:$A$189,fp!$B55,Zvf51!$P$2:$P$189)</f>
        <v>90</v>
      </c>
      <c r="T55" s="18">
        <f>+SUMIF(Zvf51!$A$2:$A$189,fp!$B55,Zvf51!$AP$2:$AP$189)</f>
        <v>3633.94</v>
      </c>
      <c r="V55" s="12">
        <f t="shared" si="5"/>
        <v>0</v>
      </c>
      <c r="W55" s="12">
        <f t="shared" si="6"/>
        <v>0</v>
      </c>
      <c r="X55" s="12">
        <f t="shared" si="7"/>
        <v>0</v>
      </c>
      <c r="Y55" s="12">
        <f t="shared" si="8"/>
        <v>0</v>
      </c>
      <c r="Z55" s="12">
        <f t="shared" si="9"/>
        <v>0</v>
      </c>
      <c r="AA55" s="12">
        <f t="shared" si="10"/>
        <v>0</v>
      </c>
    </row>
    <row r="56" spans="1:27" ht="36.75" customHeight="1" x14ac:dyDescent="0.2">
      <c r="A56" s="9">
        <v>52</v>
      </c>
      <c r="B56" s="10" t="s">
        <v>448</v>
      </c>
      <c r="C56" s="10" t="s">
        <v>456</v>
      </c>
      <c r="D56" s="11" t="s">
        <v>26</v>
      </c>
      <c r="E56" s="12">
        <v>58</v>
      </c>
      <c r="F56" s="12">
        <v>1725.92</v>
      </c>
      <c r="G56" s="12">
        <v>0</v>
      </c>
      <c r="H56" s="12">
        <v>0</v>
      </c>
      <c r="I56" s="12">
        <v>0</v>
      </c>
      <c r="J56" s="12">
        <v>0</v>
      </c>
      <c r="K56" s="12">
        <v>58</v>
      </c>
      <c r="L56" s="31">
        <v>1725.92</v>
      </c>
      <c r="M56" s="13"/>
      <c r="O56" s="12">
        <f>+SUMIF(Zvf51!$A$2:$A$189,fp!$B56,Zvf51!$F$2:$F$189)</f>
        <v>0</v>
      </c>
      <c r="P56" s="18">
        <f>+SUMIF(Zvf51!$A$2:$A$189,fp!$B56,Zvf51!$AF$2:$AF$189)</f>
        <v>0</v>
      </c>
      <c r="Q56" s="12">
        <f>-SUMIF(Zvf51!$A$2:$A$189,fp!$B56,Zvf51!$I$2:$I$189)</f>
        <v>0</v>
      </c>
      <c r="R56" s="24">
        <f>-SUMIF(Zvf51!$A$2:$A$189,fp!$B56,Zvf51!$AI$2:$AI$189)</f>
        <v>0</v>
      </c>
      <c r="S56" s="12">
        <f>+SUMIF(Zvf51!$A$2:$A$189,fp!$B56,Zvf51!$P$2:$P$189)</f>
        <v>58</v>
      </c>
      <c r="T56" s="18">
        <f>+SUMIF(Zvf51!$A$2:$A$189,fp!$B56,Zvf51!$AP$2:$AP$189)</f>
        <v>1725.92</v>
      </c>
      <c r="V56" s="12">
        <f t="shared" si="5"/>
        <v>0</v>
      </c>
      <c r="W56" s="12">
        <f t="shared" si="6"/>
        <v>0</v>
      </c>
      <c r="X56" s="12">
        <f t="shared" si="7"/>
        <v>0</v>
      </c>
      <c r="Y56" s="12">
        <f t="shared" si="8"/>
        <v>0</v>
      </c>
      <c r="Z56" s="12">
        <f t="shared" si="9"/>
        <v>0</v>
      </c>
      <c r="AA56" s="12">
        <f t="shared" si="10"/>
        <v>0</v>
      </c>
    </row>
    <row r="57" spans="1:27" ht="25.5" customHeight="1" x14ac:dyDescent="0.2">
      <c r="A57" s="9">
        <v>53</v>
      </c>
      <c r="B57" s="10" t="s">
        <v>413</v>
      </c>
      <c r="C57" s="10" t="s">
        <v>435</v>
      </c>
      <c r="D57" s="11" t="s">
        <v>26</v>
      </c>
      <c r="E57" s="12">
        <v>73</v>
      </c>
      <c r="F57" s="12">
        <v>2648.15</v>
      </c>
      <c r="G57" s="12">
        <v>0</v>
      </c>
      <c r="H57" s="12">
        <v>0</v>
      </c>
      <c r="I57" s="12">
        <v>0</v>
      </c>
      <c r="J57" s="12">
        <v>0</v>
      </c>
      <c r="K57" s="12">
        <v>73</v>
      </c>
      <c r="L57" s="31">
        <v>2648.15</v>
      </c>
      <c r="M57" s="13"/>
      <c r="O57" s="12">
        <f>+SUMIF(Zvf51!$A$2:$A$189,fp!$B57,Zvf51!$F$2:$F$189)</f>
        <v>0</v>
      </c>
      <c r="P57" s="18">
        <f>+SUMIF(Zvf51!$A$2:$A$189,fp!$B57,Zvf51!$AF$2:$AF$189)</f>
        <v>0</v>
      </c>
      <c r="Q57" s="12">
        <f>-SUMIF(Zvf51!$A$2:$A$189,fp!$B57,Zvf51!$I$2:$I$189)</f>
        <v>0</v>
      </c>
      <c r="R57" s="24">
        <f>-SUMIF(Zvf51!$A$2:$A$189,fp!$B57,Zvf51!$AI$2:$AI$189)</f>
        <v>0</v>
      </c>
      <c r="S57" s="12">
        <f>+SUMIF(Zvf51!$A$2:$A$189,fp!$B57,Zvf51!$P$2:$P$189)</f>
        <v>73</v>
      </c>
      <c r="T57" s="18">
        <f>+SUMIF(Zvf51!$A$2:$A$189,fp!$B57,Zvf51!$AP$2:$AP$189)</f>
        <v>2648.15</v>
      </c>
      <c r="V57" s="12">
        <f t="shared" si="5"/>
        <v>0</v>
      </c>
      <c r="W57" s="12">
        <f t="shared" si="6"/>
        <v>0</v>
      </c>
      <c r="X57" s="12">
        <f t="shared" si="7"/>
        <v>0</v>
      </c>
      <c r="Y57" s="12">
        <f t="shared" si="8"/>
        <v>0</v>
      </c>
      <c r="Z57" s="12">
        <f t="shared" si="9"/>
        <v>0</v>
      </c>
      <c r="AA57" s="12">
        <f t="shared" si="10"/>
        <v>0</v>
      </c>
    </row>
    <row r="58" spans="1:27" ht="36.75" customHeight="1" x14ac:dyDescent="0.2">
      <c r="A58" s="9">
        <v>54</v>
      </c>
      <c r="B58" s="10" t="s">
        <v>415</v>
      </c>
      <c r="C58" s="10" t="s">
        <v>436</v>
      </c>
      <c r="D58" s="11" t="s">
        <v>26</v>
      </c>
      <c r="E58" s="12">
        <v>75</v>
      </c>
      <c r="F58" s="12">
        <v>2835.83</v>
      </c>
      <c r="G58" s="12">
        <v>0</v>
      </c>
      <c r="H58" s="12">
        <v>0</v>
      </c>
      <c r="I58" s="12">
        <v>0</v>
      </c>
      <c r="J58" s="12">
        <v>0</v>
      </c>
      <c r="K58" s="12">
        <v>75</v>
      </c>
      <c r="L58" s="31">
        <v>2835.83</v>
      </c>
      <c r="M58" s="13"/>
      <c r="O58" s="12">
        <f>+SUMIF(Zvf51!$A$2:$A$189,fp!$B58,Zvf51!$F$2:$F$189)</f>
        <v>0</v>
      </c>
      <c r="P58" s="18">
        <f>+SUMIF(Zvf51!$A$2:$A$189,fp!$B58,Zvf51!$AF$2:$AF$189)</f>
        <v>0</v>
      </c>
      <c r="Q58" s="12">
        <f>-SUMIF(Zvf51!$A$2:$A$189,fp!$B58,Zvf51!$I$2:$I$189)</f>
        <v>0</v>
      </c>
      <c r="R58" s="24">
        <f>-SUMIF(Zvf51!$A$2:$A$189,fp!$B58,Zvf51!$AI$2:$AI$189)</f>
        <v>0</v>
      </c>
      <c r="S58" s="12">
        <f>+SUMIF(Zvf51!$A$2:$A$189,fp!$B58,Zvf51!$P$2:$P$189)</f>
        <v>75</v>
      </c>
      <c r="T58" s="18">
        <f>+SUMIF(Zvf51!$A$2:$A$189,fp!$B58,Zvf51!$AP$2:$AP$189)</f>
        <v>2835.83</v>
      </c>
      <c r="V58" s="12">
        <f t="shared" si="5"/>
        <v>0</v>
      </c>
      <c r="W58" s="12">
        <f t="shared" si="6"/>
        <v>0</v>
      </c>
      <c r="X58" s="12">
        <f t="shared" si="7"/>
        <v>0</v>
      </c>
      <c r="Y58" s="12">
        <f t="shared" si="8"/>
        <v>0</v>
      </c>
      <c r="Z58" s="12">
        <f t="shared" si="9"/>
        <v>0</v>
      </c>
      <c r="AA58" s="12">
        <f t="shared" si="10"/>
        <v>0</v>
      </c>
    </row>
    <row r="59" spans="1:27" ht="36.75" customHeight="1" x14ac:dyDescent="0.2">
      <c r="A59" s="9">
        <v>55</v>
      </c>
      <c r="B59" s="10" t="s">
        <v>298</v>
      </c>
      <c r="C59" s="10" t="s">
        <v>392</v>
      </c>
      <c r="D59" s="11" t="s">
        <v>26</v>
      </c>
      <c r="E59" s="12">
        <v>55</v>
      </c>
      <c r="F59" s="12">
        <v>2083.13</v>
      </c>
      <c r="G59" s="12">
        <v>2</v>
      </c>
      <c r="H59" s="12">
        <v>70.23</v>
      </c>
      <c r="I59" s="12">
        <v>0</v>
      </c>
      <c r="J59" s="12">
        <v>0</v>
      </c>
      <c r="K59" s="12">
        <v>57</v>
      </c>
      <c r="L59" s="31">
        <v>2153.36</v>
      </c>
      <c r="M59" s="13"/>
      <c r="O59" s="12">
        <f>+SUMIF(Zvf51!$A$2:$A$189,fp!$B59,Zvf51!$F$2:$F$189)</f>
        <v>2</v>
      </c>
      <c r="P59" s="18">
        <f>+SUMIF(Zvf51!$A$2:$A$189,fp!$B59,Zvf51!$AF$2:$AF$189)</f>
        <v>70.23</v>
      </c>
      <c r="Q59" s="12">
        <f>-SUMIF(Zvf51!$A$2:$A$189,fp!$B59,Zvf51!$I$2:$I$189)</f>
        <v>0</v>
      </c>
      <c r="R59" s="24">
        <f>-SUMIF(Zvf51!$A$2:$A$189,fp!$B59,Zvf51!$AI$2:$AI$189)</f>
        <v>0</v>
      </c>
      <c r="S59" s="12">
        <f>+SUMIF(Zvf51!$A$2:$A$189,fp!$B59,Zvf51!$P$2:$P$189)</f>
        <v>57</v>
      </c>
      <c r="T59" s="18">
        <f>+SUMIF(Zvf51!$A$2:$A$189,fp!$B59,Zvf51!$AP$2:$AP$189)</f>
        <v>2153.36</v>
      </c>
      <c r="V59" s="12">
        <f t="shared" si="5"/>
        <v>0</v>
      </c>
      <c r="W59" s="12">
        <f t="shared" si="6"/>
        <v>0</v>
      </c>
      <c r="X59" s="12">
        <f t="shared" si="7"/>
        <v>0</v>
      </c>
      <c r="Y59" s="12">
        <f t="shared" si="8"/>
        <v>0</v>
      </c>
      <c r="Z59" s="12">
        <f t="shared" si="9"/>
        <v>0</v>
      </c>
      <c r="AA59" s="12">
        <f t="shared" si="10"/>
        <v>0</v>
      </c>
    </row>
    <row r="60" spans="1:27" ht="36.75" customHeight="1" x14ac:dyDescent="0.2">
      <c r="A60" s="9">
        <v>56</v>
      </c>
      <c r="B60" s="10" t="s">
        <v>76</v>
      </c>
      <c r="C60" s="10" t="s">
        <v>77</v>
      </c>
      <c r="D60" s="11" t="s">
        <v>26</v>
      </c>
      <c r="E60" s="12">
        <v>1838</v>
      </c>
      <c r="F60" s="12">
        <v>61942.92</v>
      </c>
      <c r="G60" s="12">
        <v>6452</v>
      </c>
      <c r="H60" s="12">
        <v>179395.83</v>
      </c>
      <c r="I60" s="12">
        <v>6200</v>
      </c>
      <c r="J60" s="12">
        <v>180494.52</v>
      </c>
      <c r="K60" s="12">
        <v>2090</v>
      </c>
      <c r="L60" s="31">
        <v>60844.23</v>
      </c>
      <c r="M60" s="13"/>
      <c r="O60" s="12">
        <f>+SUMIF(Zvf51!$A$2:$A$189,fp!$B60,Zvf51!$F$2:$F$189)</f>
        <v>6452</v>
      </c>
      <c r="P60" s="18">
        <f>+SUMIF(Zvf51!$A$2:$A$189,fp!$B60,Zvf51!$AF$2:$AF$189)</f>
        <v>179395.72</v>
      </c>
      <c r="Q60" s="12">
        <f>-SUMIF(Zvf51!$A$2:$A$189,fp!$B60,Zvf51!$I$2:$I$189)</f>
        <v>6200</v>
      </c>
      <c r="R60" s="24">
        <f>-SUMIF(Zvf51!$A$2:$A$189,fp!$B60,Zvf51!$AI$2:$AI$189)</f>
        <v>180494.52</v>
      </c>
      <c r="S60" s="12">
        <f>+SUMIF(Zvf51!$A$2:$A$189,fp!$B60,Zvf51!$P$2:$P$189)</f>
        <v>2090</v>
      </c>
      <c r="T60" s="18">
        <f>+SUMIF(Zvf51!$A$2:$A$189,fp!$B60,Zvf51!$AP$2:$AP$189)</f>
        <v>60844.12</v>
      </c>
      <c r="V60" s="12">
        <f t="shared" si="5"/>
        <v>0</v>
      </c>
      <c r="W60" s="12">
        <f t="shared" si="6"/>
        <v>-0.10999999998603016</v>
      </c>
      <c r="X60" s="12">
        <f t="shared" si="7"/>
        <v>0</v>
      </c>
      <c r="Y60" s="12">
        <f t="shared" si="8"/>
        <v>0</v>
      </c>
      <c r="Z60" s="12">
        <f t="shared" si="9"/>
        <v>0</v>
      </c>
      <c r="AA60" s="12">
        <f t="shared" si="10"/>
        <v>-0.11000000000058208</v>
      </c>
    </row>
    <row r="61" spans="1:27" ht="36.75" customHeight="1" x14ac:dyDescent="0.2">
      <c r="A61" s="9">
        <v>57</v>
      </c>
      <c r="B61" s="10" t="s">
        <v>303</v>
      </c>
      <c r="C61" s="10" t="s">
        <v>391</v>
      </c>
      <c r="D61" s="11" t="s">
        <v>26</v>
      </c>
      <c r="E61" s="12">
        <v>38</v>
      </c>
      <c r="F61" s="12">
        <v>1299.47</v>
      </c>
      <c r="G61" s="12">
        <v>648</v>
      </c>
      <c r="H61" s="12">
        <v>22151.3</v>
      </c>
      <c r="I61" s="12">
        <v>30</v>
      </c>
      <c r="J61" s="12">
        <v>1025.54</v>
      </c>
      <c r="K61" s="12">
        <v>656</v>
      </c>
      <c r="L61" s="31">
        <v>22425.23</v>
      </c>
      <c r="M61" s="13"/>
      <c r="O61" s="12">
        <f>+SUMIF(Zvf51!$A$2:$A$189,fp!$B61,Zvf51!$F$2:$F$189)</f>
        <v>648</v>
      </c>
      <c r="P61" s="18">
        <f>+SUMIF(Zvf51!$A$2:$A$189,fp!$B61,Zvf51!$AF$2:$AF$189)</f>
        <v>22151.3</v>
      </c>
      <c r="Q61" s="12">
        <f>-SUMIF(Zvf51!$A$2:$A$189,fp!$B61,Zvf51!$I$2:$I$189)</f>
        <v>30</v>
      </c>
      <c r="R61" s="24">
        <f>-SUMIF(Zvf51!$A$2:$A$189,fp!$B61,Zvf51!$AI$2:$AI$189)</f>
        <v>1025.54</v>
      </c>
      <c r="S61" s="12">
        <f>+SUMIF(Zvf51!$A$2:$A$189,fp!$B61,Zvf51!$P$2:$P$189)</f>
        <v>656</v>
      </c>
      <c r="T61" s="18">
        <f>+SUMIF(Zvf51!$A$2:$A$189,fp!$B61,Zvf51!$AP$2:$AP$189)</f>
        <v>22425.22</v>
      </c>
      <c r="U61" s="16"/>
      <c r="V61" s="12">
        <f t="shared" si="5"/>
        <v>0</v>
      </c>
      <c r="W61" s="12">
        <f t="shared" si="6"/>
        <v>0</v>
      </c>
      <c r="X61" s="12">
        <f t="shared" si="7"/>
        <v>0</v>
      </c>
      <c r="Y61" s="12">
        <f t="shared" si="8"/>
        <v>0</v>
      </c>
      <c r="Z61" s="12">
        <f t="shared" si="9"/>
        <v>0</v>
      </c>
      <c r="AA61" s="12">
        <f t="shared" si="10"/>
        <v>-9.9999999983992893E-3</v>
      </c>
    </row>
    <row r="62" spans="1:27" ht="15.75" customHeight="1" x14ac:dyDescent="0.2">
      <c r="A62" s="9">
        <v>58</v>
      </c>
      <c r="B62" s="10" t="s">
        <v>305</v>
      </c>
      <c r="C62" s="10" t="s">
        <v>390</v>
      </c>
      <c r="D62" s="11" t="s">
        <v>26</v>
      </c>
      <c r="E62" s="12">
        <v>203</v>
      </c>
      <c r="F62" s="12">
        <v>7345.98</v>
      </c>
      <c r="G62" s="12">
        <v>0</v>
      </c>
      <c r="H62" s="12">
        <v>0</v>
      </c>
      <c r="I62" s="12">
        <v>0</v>
      </c>
      <c r="J62" s="12">
        <v>0</v>
      </c>
      <c r="K62" s="12">
        <v>203</v>
      </c>
      <c r="L62" s="31">
        <v>7345.98</v>
      </c>
      <c r="M62" s="13"/>
      <c r="O62" s="12">
        <f>+SUMIF(Zvf51!$A$2:$A$189,fp!$B62,Zvf51!$F$2:$F$189)</f>
        <v>0</v>
      </c>
      <c r="P62" s="18">
        <f>+SUMIF(Zvf51!$A$2:$A$189,fp!$B62,Zvf51!$AF$2:$AF$189)</f>
        <v>0</v>
      </c>
      <c r="Q62" s="12">
        <f>-SUMIF(Zvf51!$A$2:$A$189,fp!$B62,Zvf51!$I$2:$I$189)</f>
        <v>0</v>
      </c>
      <c r="R62" s="24">
        <f>-SUMIF(Zvf51!$A$2:$A$189,fp!$B62,Zvf51!$AI$2:$AI$189)</f>
        <v>0</v>
      </c>
      <c r="S62" s="12">
        <f>+SUMIF(Zvf51!$A$2:$A$189,fp!$B62,Zvf51!$P$2:$P$189)</f>
        <v>203</v>
      </c>
      <c r="T62" s="18">
        <f>+SUMIF(Zvf51!$A$2:$A$189,fp!$B62,Zvf51!$AP$2:$AP$189)</f>
        <v>7345.98</v>
      </c>
      <c r="U62" s="16"/>
      <c r="V62" s="12">
        <f t="shared" si="5"/>
        <v>0</v>
      </c>
      <c r="W62" s="12">
        <f t="shared" si="6"/>
        <v>0</v>
      </c>
      <c r="X62" s="12">
        <f t="shared" si="7"/>
        <v>0</v>
      </c>
      <c r="Y62" s="12">
        <f t="shared" si="8"/>
        <v>0</v>
      </c>
      <c r="Z62" s="12">
        <f t="shared" si="9"/>
        <v>0</v>
      </c>
      <c r="AA62" s="12">
        <f t="shared" si="10"/>
        <v>0</v>
      </c>
    </row>
    <row r="63" spans="1:27" ht="36.75" customHeight="1" x14ac:dyDescent="0.2">
      <c r="A63" s="9">
        <v>59</v>
      </c>
      <c r="B63" s="10" t="s">
        <v>307</v>
      </c>
      <c r="C63" s="10" t="s">
        <v>389</v>
      </c>
      <c r="D63" s="11" t="s">
        <v>26</v>
      </c>
      <c r="E63" s="12">
        <v>2014</v>
      </c>
      <c r="F63" s="12">
        <v>66657.56</v>
      </c>
      <c r="G63" s="12">
        <v>0</v>
      </c>
      <c r="H63" s="12">
        <v>0</v>
      </c>
      <c r="I63" s="12">
        <v>0</v>
      </c>
      <c r="J63" s="12">
        <v>0</v>
      </c>
      <c r="K63" s="12">
        <v>2014</v>
      </c>
      <c r="L63" s="31">
        <v>66657.56</v>
      </c>
      <c r="M63" s="13"/>
      <c r="O63" s="12">
        <f>+SUMIF(Zvf51!$A$2:$A$189,fp!$B63,Zvf51!$F$2:$F$189)</f>
        <v>0</v>
      </c>
      <c r="P63" s="18">
        <f>+SUMIF(Zvf51!$A$2:$A$189,fp!$B63,Zvf51!$AF$2:$AF$189)</f>
        <v>0</v>
      </c>
      <c r="Q63" s="12">
        <f>-SUMIF(Zvf51!$A$2:$A$189,fp!$B63,Zvf51!$I$2:$I$189)</f>
        <v>0</v>
      </c>
      <c r="R63" s="24">
        <f>-SUMIF(Zvf51!$A$2:$A$189,fp!$B63,Zvf51!$AI$2:$AI$189)</f>
        <v>0</v>
      </c>
      <c r="S63" s="12">
        <f>+SUMIF(Zvf51!$A$2:$A$189,fp!$B63,Zvf51!$P$2:$P$189)</f>
        <v>2014</v>
      </c>
      <c r="T63" s="18">
        <f>+SUMIF(Zvf51!$A$2:$A$189,fp!$B63,Zvf51!$AP$2:$AP$189)</f>
        <v>66657.56</v>
      </c>
      <c r="V63" s="12">
        <f t="shared" si="5"/>
        <v>0</v>
      </c>
      <c r="W63" s="12">
        <f t="shared" si="6"/>
        <v>0</v>
      </c>
      <c r="X63" s="12">
        <f t="shared" si="7"/>
        <v>0</v>
      </c>
      <c r="Y63" s="12">
        <f t="shared" si="8"/>
        <v>0</v>
      </c>
      <c r="Z63" s="12">
        <f t="shared" si="9"/>
        <v>0</v>
      </c>
      <c r="AA63" s="12">
        <f t="shared" si="10"/>
        <v>0</v>
      </c>
    </row>
    <row r="64" spans="1:27" ht="36.75" customHeight="1" x14ac:dyDescent="0.2">
      <c r="A64" s="9">
        <v>60</v>
      </c>
      <c r="B64" s="10" t="s">
        <v>309</v>
      </c>
      <c r="C64" s="10" t="s">
        <v>388</v>
      </c>
      <c r="D64" s="11" t="s">
        <v>26</v>
      </c>
      <c r="E64" s="12">
        <v>575</v>
      </c>
      <c r="F64" s="12">
        <v>23032.43</v>
      </c>
      <c r="G64" s="12">
        <v>0</v>
      </c>
      <c r="H64" s="12">
        <v>0</v>
      </c>
      <c r="I64" s="12">
        <v>0</v>
      </c>
      <c r="J64" s="12">
        <v>0</v>
      </c>
      <c r="K64" s="12">
        <v>575</v>
      </c>
      <c r="L64" s="31">
        <v>23032.43</v>
      </c>
      <c r="M64" s="13"/>
      <c r="O64" s="12">
        <f>+SUMIF(Zvf51!$A$2:$A$189,fp!$B64,Zvf51!$F$2:$F$189)</f>
        <v>0</v>
      </c>
      <c r="P64" s="18">
        <f>+SUMIF(Zvf51!$A$2:$A$189,fp!$B64,Zvf51!$AF$2:$AF$189)</f>
        <v>0</v>
      </c>
      <c r="Q64" s="12">
        <f>-SUMIF(Zvf51!$A$2:$A$189,fp!$B64,Zvf51!$I$2:$I$189)</f>
        <v>0</v>
      </c>
      <c r="R64" s="24">
        <f>-SUMIF(Zvf51!$A$2:$A$189,fp!$B64,Zvf51!$AI$2:$AI$189)</f>
        <v>0</v>
      </c>
      <c r="S64" s="12">
        <f>+SUMIF(Zvf51!$A$2:$A$189,fp!$B64,Zvf51!$P$2:$P$189)</f>
        <v>575</v>
      </c>
      <c r="T64" s="18">
        <f>+SUMIF(Zvf51!$A$2:$A$189,fp!$B64,Zvf51!$AP$2:$AP$189)</f>
        <v>23032.43</v>
      </c>
      <c r="V64" s="12">
        <f t="shared" si="5"/>
        <v>0</v>
      </c>
      <c r="W64" s="12">
        <f t="shared" si="6"/>
        <v>0</v>
      </c>
      <c r="X64" s="12">
        <f t="shared" si="7"/>
        <v>0</v>
      </c>
      <c r="Y64" s="12">
        <f t="shared" si="8"/>
        <v>0</v>
      </c>
      <c r="Z64" s="12">
        <f t="shared" si="9"/>
        <v>0</v>
      </c>
      <c r="AA64" s="12">
        <f t="shared" si="10"/>
        <v>0</v>
      </c>
    </row>
    <row r="65" spans="1:27" ht="25.5" customHeight="1" x14ac:dyDescent="0.2">
      <c r="A65" s="9">
        <v>61</v>
      </c>
      <c r="B65" s="10" t="s">
        <v>311</v>
      </c>
      <c r="C65" s="10" t="s">
        <v>387</v>
      </c>
      <c r="D65" s="11" t="s">
        <v>26</v>
      </c>
      <c r="E65" s="12">
        <v>666</v>
      </c>
      <c r="F65" s="12">
        <v>20905.54</v>
      </c>
      <c r="G65" s="12">
        <v>0</v>
      </c>
      <c r="H65" s="12">
        <v>0</v>
      </c>
      <c r="I65" s="12">
        <v>0</v>
      </c>
      <c r="J65" s="12">
        <v>0</v>
      </c>
      <c r="K65" s="12">
        <v>666</v>
      </c>
      <c r="L65" s="31">
        <v>20905.54</v>
      </c>
      <c r="M65" s="13"/>
      <c r="O65" s="12">
        <f>+SUMIF(Zvf51!$A$2:$A$189,fp!$B65,Zvf51!$F$2:$F$189)</f>
        <v>0</v>
      </c>
      <c r="P65" s="18">
        <f>+SUMIF(Zvf51!$A$2:$A$189,fp!$B65,Zvf51!$AF$2:$AF$189)</f>
        <v>0</v>
      </c>
      <c r="Q65" s="12">
        <f>-SUMIF(Zvf51!$A$2:$A$189,fp!$B65,Zvf51!$I$2:$I$189)</f>
        <v>0</v>
      </c>
      <c r="R65" s="24">
        <f>-SUMIF(Zvf51!$A$2:$A$189,fp!$B65,Zvf51!$AI$2:$AI$189)</f>
        <v>0</v>
      </c>
      <c r="S65" s="12">
        <f>+SUMIF(Zvf51!$A$2:$A$189,fp!$B65,Zvf51!$P$2:$P$189)</f>
        <v>666</v>
      </c>
      <c r="T65" s="18">
        <f>+SUMIF(Zvf51!$A$2:$A$189,fp!$B65,Zvf51!$AP$2:$AP$189)</f>
        <v>20905.54</v>
      </c>
      <c r="V65" s="12">
        <f t="shared" si="5"/>
        <v>0</v>
      </c>
      <c r="W65" s="12">
        <f t="shared" si="6"/>
        <v>0</v>
      </c>
      <c r="X65" s="12">
        <f t="shared" si="7"/>
        <v>0</v>
      </c>
      <c r="Y65" s="12">
        <f t="shared" si="8"/>
        <v>0</v>
      </c>
      <c r="Z65" s="12">
        <f t="shared" si="9"/>
        <v>0</v>
      </c>
      <c r="AA65" s="12">
        <f t="shared" si="10"/>
        <v>0</v>
      </c>
    </row>
    <row r="66" spans="1:27" ht="36.75" customHeight="1" x14ac:dyDescent="0.2">
      <c r="A66" s="9">
        <v>62</v>
      </c>
      <c r="B66" s="10" t="s">
        <v>313</v>
      </c>
      <c r="C66" s="10" t="s">
        <v>386</v>
      </c>
      <c r="D66" s="11" t="s">
        <v>43</v>
      </c>
      <c r="E66" s="12">
        <v>149</v>
      </c>
      <c r="F66" s="12">
        <v>4760.43</v>
      </c>
      <c r="G66" s="12">
        <v>0</v>
      </c>
      <c r="H66" s="12">
        <v>0</v>
      </c>
      <c r="I66" s="12">
        <v>0</v>
      </c>
      <c r="J66" s="12">
        <v>0</v>
      </c>
      <c r="K66" s="12">
        <v>149</v>
      </c>
      <c r="L66" s="31">
        <v>4760.43</v>
      </c>
      <c r="M66" s="13"/>
      <c r="O66" s="12">
        <f>+SUMIF(Zvf51!$A$2:$A$189,fp!$B66,Zvf51!$F$2:$F$189)</f>
        <v>0</v>
      </c>
      <c r="P66" s="18">
        <f>+SUMIF(Zvf51!$A$2:$A$189,fp!$B66,Zvf51!$AF$2:$AF$189)</f>
        <v>0</v>
      </c>
      <c r="Q66" s="12">
        <f>-SUMIF(Zvf51!$A$2:$A$189,fp!$B66,Zvf51!$I$2:$I$189)</f>
        <v>0</v>
      </c>
      <c r="R66" s="24">
        <f>-SUMIF(Zvf51!$A$2:$A$189,fp!$B66,Zvf51!$AI$2:$AI$189)</f>
        <v>0</v>
      </c>
      <c r="S66" s="12">
        <f>+SUMIF(Zvf51!$A$2:$A$189,fp!$B66,Zvf51!$P$2:$P$189)</f>
        <v>149</v>
      </c>
      <c r="T66" s="18">
        <f>+SUMIF(Zvf51!$A$2:$A$189,fp!$B66,Zvf51!$AP$2:$AP$189)</f>
        <v>4760.43</v>
      </c>
      <c r="V66" s="12">
        <f t="shared" si="5"/>
        <v>0</v>
      </c>
      <c r="W66" s="12">
        <f t="shared" si="6"/>
        <v>0</v>
      </c>
      <c r="X66" s="12">
        <f t="shared" si="7"/>
        <v>0</v>
      </c>
      <c r="Y66" s="12">
        <f t="shared" si="8"/>
        <v>0</v>
      </c>
      <c r="Z66" s="12">
        <f t="shared" si="9"/>
        <v>0</v>
      </c>
      <c r="AA66" s="12">
        <f t="shared" si="10"/>
        <v>0</v>
      </c>
    </row>
    <row r="67" spans="1:27" ht="25.5" customHeight="1" x14ac:dyDescent="0.2">
      <c r="A67" s="9">
        <v>63</v>
      </c>
      <c r="B67" s="10" t="s">
        <v>460</v>
      </c>
      <c r="C67" s="10" t="s">
        <v>472</v>
      </c>
      <c r="D67" s="11" t="s">
        <v>26</v>
      </c>
      <c r="E67" s="12">
        <v>95</v>
      </c>
      <c r="F67" s="12">
        <v>3498.64</v>
      </c>
      <c r="G67" s="12">
        <v>8</v>
      </c>
      <c r="H67" s="12">
        <v>286.33999999999997</v>
      </c>
      <c r="I67" s="12">
        <v>0</v>
      </c>
      <c r="J67" s="12">
        <v>0</v>
      </c>
      <c r="K67" s="12">
        <v>103</v>
      </c>
      <c r="L67" s="31">
        <v>3784.98</v>
      </c>
      <c r="M67" s="13"/>
      <c r="O67" s="12">
        <f>+SUMIF(Zvf51!$A$2:$A$189,fp!$B67,Zvf51!$F$2:$F$189)</f>
        <v>8</v>
      </c>
      <c r="P67" s="18">
        <f>+SUMIF(Zvf51!$A$2:$A$189,fp!$B67,Zvf51!$AF$2:$AF$189)</f>
        <v>286.33999999999997</v>
      </c>
      <c r="Q67" s="12">
        <f>-SUMIF(Zvf51!$A$2:$A$189,fp!$B67,Zvf51!$I$2:$I$189)</f>
        <v>0</v>
      </c>
      <c r="R67" s="24">
        <f>-SUMIF(Zvf51!$A$2:$A$189,fp!$B67,Zvf51!$AI$2:$AI$189)</f>
        <v>0</v>
      </c>
      <c r="S67" s="12">
        <f>+SUMIF(Zvf51!$A$2:$A$189,fp!$B67,Zvf51!$P$2:$P$189)</f>
        <v>103</v>
      </c>
      <c r="T67" s="18">
        <f>+SUMIF(Zvf51!$A$2:$A$189,fp!$B67,Zvf51!$AP$2:$AP$189)</f>
        <v>3784.98</v>
      </c>
      <c r="V67" s="12">
        <f t="shared" si="5"/>
        <v>0</v>
      </c>
      <c r="W67" s="12">
        <f t="shared" si="6"/>
        <v>0</v>
      </c>
      <c r="X67" s="12">
        <f t="shared" si="7"/>
        <v>0</v>
      </c>
      <c r="Y67" s="12">
        <f t="shared" si="8"/>
        <v>0</v>
      </c>
      <c r="Z67" s="12">
        <f t="shared" si="9"/>
        <v>0</v>
      </c>
      <c r="AA67" s="12">
        <f t="shared" si="10"/>
        <v>0</v>
      </c>
    </row>
    <row r="68" spans="1:27" ht="25.5" customHeight="1" x14ac:dyDescent="0.2">
      <c r="A68" s="9">
        <v>64</v>
      </c>
      <c r="B68" s="10" t="s">
        <v>517</v>
      </c>
      <c r="C68" s="10" t="s">
        <v>545</v>
      </c>
      <c r="D68" s="11" t="s">
        <v>26</v>
      </c>
      <c r="E68" s="12">
        <v>660</v>
      </c>
      <c r="F68" s="12">
        <v>35273.22</v>
      </c>
      <c r="G68" s="12">
        <v>642</v>
      </c>
      <c r="H68" s="12">
        <v>28051.48</v>
      </c>
      <c r="I68" s="12">
        <v>656</v>
      </c>
      <c r="J68" s="12">
        <v>31905.55</v>
      </c>
      <c r="K68" s="12">
        <v>646</v>
      </c>
      <c r="L68" s="31">
        <v>31419.15</v>
      </c>
      <c r="M68" s="13"/>
      <c r="O68" s="12">
        <f>+SUMIF(Zvf51!$A$2:$A$189,fp!$B68,Zvf51!$F$2:$F$189)</f>
        <v>642</v>
      </c>
      <c r="P68" s="18">
        <f>+SUMIF(Zvf51!$A$2:$A$189,fp!$B68,Zvf51!$AF$2:$AF$189)</f>
        <v>28051.49</v>
      </c>
      <c r="Q68" s="12">
        <f>-SUMIF(Zvf51!$A$2:$A$189,fp!$B68,Zvf51!$I$2:$I$189)</f>
        <v>656</v>
      </c>
      <c r="R68" s="24">
        <f>-SUMIF(Zvf51!$A$2:$A$189,fp!$B68,Zvf51!$AI$2:$AI$189)</f>
        <v>31905.54</v>
      </c>
      <c r="S68" s="12">
        <f>+SUMIF(Zvf51!$A$2:$A$189,fp!$B68,Zvf51!$P$2:$P$189)</f>
        <v>646</v>
      </c>
      <c r="T68" s="18">
        <f>+SUMIF(Zvf51!$A$2:$A$189,fp!$B68,Zvf51!$AP$2:$AP$189)</f>
        <v>31419.17</v>
      </c>
      <c r="V68" s="12">
        <f t="shared" si="5"/>
        <v>0</v>
      </c>
      <c r="W68" s="12">
        <f t="shared" si="6"/>
        <v>1.0000000002037268E-2</v>
      </c>
      <c r="X68" s="12">
        <f t="shared" si="7"/>
        <v>0</v>
      </c>
      <c r="Y68" s="12">
        <f t="shared" si="8"/>
        <v>-9.9999999983992893E-3</v>
      </c>
      <c r="Z68" s="12">
        <f t="shared" si="9"/>
        <v>0</v>
      </c>
      <c r="AA68" s="12">
        <f t="shared" si="10"/>
        <v>1.9999999996798579E-2</v>
      </c>
    </row>
    <row r="69" spans="1:27" ht="25.5" customHeight="1" x14ac:dyDescent="0.2">
      <c r="A69" s="9">
        <v>65</v>
      </c>
      <c r="B69" s="10" t="s">
        <v>78</v>
      </c>
      <c r="C69" s="10" t="s">
        <v>79</v>
      </c>
      <c r="D69" s="11" t="s">
        <v>26</v>
      </c>
      <c r="E69" s="12">
        <v>638</v>
      </c>
      <c r="F69" s="12">
        <v>17766.04</v>
      </c>
      <c r="G69" s="12">
        <v>0</v>
      </c>
      <c r="H69" s="12">
        <v>0</v>
      </c>
      <c r="I69" s="12">
        <v>0</v>
      </c>
      <c r="J69" s="12">
        <v>0</v>
      </c>
      <c r="K69" s="12">
        <v>638</v>
      </c>
      <c r="L69" s="31">
        <v>17766.04</v>
      </c>
      <c r="M69" s="13"/>
      <c r="O69" s="12">
        <f>+SUMIF(Zvf51!$A$2:$A$189,fp!$B69,Zvf51!$F$2:$F$189)</f>
        <v>0</v>
      </c>
      <c r="P69" s="18">
        <f>+SUMIF(Zvf51!$A$2:$A$189,fp!$B69,Zvf51!$AF$2:$AF$189)</f>
        <v>0</v>
      </c>
      <c r="Q69" s="12">
        <f>-SUMIF(Zvf51!$A$2:$A$189,fp!$B69,Zvf51!$I$2:$I$189)</f>
        <v>0</v>
      </c>
      <c r="R69" s="24">
        <f>-SUMIF(Zvf51!$A$2:$A$189,fp!$B69,Zvf51!$AI$2:$AI$189)</f>
        <v>0</v>
      </c>
      <c r="S69" s="12">
        <f>+SUMIF(Zvf51!$A$2:$A$189,fp!$B69,Zvf51!$P$2:$P$189)</f>
        <v>638</v>
      </c>
      <c r="T69" s="18">
        <f>+SUMIF(Zvf51!$A$2:$A$189,fp!$B69,Zvf51!$AP$2:$AP$189)</f>
        <v>17766.04</v>
      </c>
      <c r="V69" s="12">
        <f t="shared" si="5"/>
        <v>0</v>
      </c>
      <c r="W69" s="12">
        <f t="shared" si="6"/>
        <v>0</v>
      </c>
      <c r="X69" s="12">
        <f t="shared" si="7"/>
        <v>0</v>
      </c>
      <c r="Y69" s="12">
        <f t="shared" si="8"/>
        <v>0</v>
      </c>
      <c r="Z69" s="12">
        <f t="shared" si="9"/>
        <v>0</v>
      </c>
      <c r="AA69" s="12">
        <f t="shared" si="10"/>
        <v>0</v>
      </c>
    </row>
    <row r="70" spans="1:27" ht="25.5" customHeight="1" x14ac:dyDescent="0.2">
      <c r="A70" s="9">
        <v>66</v>
      </c>
      <c r="B70" s="10" t="s">
        <v>80</v>
      </c>
      <c r="C70" s="10" t="s">
        <v>81</v>
      </c>
      <c r="D70" s="11" t="s">
        <v>26</v>
      </c>
      <c r="E70" s="12">
        <v>222</v>
      </c>
      <c r="F70" s="12">
        <v>7785.58</v>
      </c>
      <c r="G70" s="12">
        <v>798</v>
      </c>
      <c r="H70" s="12">
        <v>26483.95</v>
      </c>
      <c r="I70" s="12">
        <v>235</v>
      </c>
      <c r="J70" s="12">
        <v>7895.43</v>
      </c>
      <c r="K70" s="12">
        <v>785</v>
      </c>
      <c r="L70" s="31">
        <v>26374.1</v>
      </c>
      <c r="M70" s="13"/>
      <c r="O70" s="12">
        <f>+SUMIF(Zvf51!$A$2:$A$189,fp!$B70,Zvf51!$F$2:$F$189)</f>
        <v>798</v>
      </c>
      <c r="P70" s="18">
        <f>+SUMIF(Zvf51!$A$2:$A$189,fp!$B70,Zvf51!$AF$2:$AF$189)</f>
        <v>26483.95</v>
      </c>
      <c r="Q70" s="12">
        <f>-SUMIF(Zvf51!$A$2:$A$189,fp!$B70,Zvf51!$I$2:$I$189)</f>
        <v>235</v>
      </c>
      <c r="R70" s="24">
        <f>-SUMIF(Zvf51!$A$2:$A$189,fp!$B70,Zvf51!$AI$2:$AI$189)</f>
        <v>7895.43</v>
      </c>
      <c r="S70" s="12">
        <f>+SUMIF(Zvf51!$A$2:$A$189,fp!$B70,Zvf51!$P$2:$P$189)</f>
        <v>785</v>
      </c>
      <c r="T70" s="18">
        <f>+SUMIF(Zvf51!$A$2:$A$189,fp!$B70,Zvf51!$AP$2:$AP$189)</f>
        <v>26374.1</v>
      </c>
      <c r="V70" s="12">
        <f t="shared" ref="V70:V118" si="11">+O70-G70</f>
        <v>0</v>
      </c>
      <c r="W70" s="12">
        <f t="shared" ref="W70:W118" si="12">+P70-H70</f>
        <v>0</v>
      </c>
      <c r="X70" s="12">
        <f t="shared" ref="X70:X118" si="13">+Q70-I70</f>
        <v>0</v>
      </c>
      <c r="Y70" s="12">
        <f t="shared" ref="Y70:Y118" si="14">+R70-J70</f>
        <v>0</v>
      </c>
      <c r="Z70" s="12">
        <f t="shared" ref="Z70:Z118" si="15">+S70-K70</f>
        <v>0</v>
      </c>
      <c r="AA70" s="12">
        <f t="shared" ref="AA70:AA118" si="16">+T70-L70</f>
        <v>0</v>
      </c>
    </row>
    <row r="71" spans="1:27" ht="25.5" customHeight="1" x14ac:dyDescent="0.2">
      <c r="A71" s="9">
        <v>67</v>
      </c>
      <c r="B71" s="10" t="s">
        <v>419</v>
      </c>
      <c r="C71" s="10" t="s">
        <v>437</v>
      </c>
      <c r="D71" s="11" t="s">
        <v>26</v>
      </c>
      <c r="E71" s="12">
        <v>49</v>
      </c>
      <c r="F71" s="12">
        <v>1839.64</v>
      </c>
      <c r="G71" s="12">
        <v>0</v>
      </c>
      <c r="H71" s="12">
        <v>0</v>
      </c>
      <c r="I71" s="12">
        <v>0</v>
      </c>
      <c r="J71" s="12">
        <v>0</v>
      </c>
      <c r="K71" s="12">
        <v>49</v>
      </c>
      <c r="L71" s="31">
        <v>1839.64</v>
      </c>
      <c r="M71" s="13"/>
      <c r="O71" s="12">
        <f>+SUMIF(Zvf51!$A$2:$A$189,fp!$B71,Zvf51!$F$2:$F$189)</f>
        <v>0</v>
      </c>
      <c r="P71" s="18">
        <f>+SUMIF(Zvf51!$A$2:$A$189,fp!$B71,Zvf51!$AF$2:$AF$189)</f>
        <v>0</v>
      </c>
      <c r="Q71" s="12">
        <f>-SUMIF(Zvf51!$A$2:$A$189,fp!$B71,Zvf51!$I$2:$I$189)</f>
        <v>0</v>
      </c>
      <c r="R71" s="24">
        <f>-SUMIF(Zvf51!$A$2:$A$189,fp!$B71,Zvf51!$AI$2:$AI$189)</f>
        <v>0</v>
      </c>
      <c r="S71" s="12">
        <f>+SUMIF(Zvf51!$A$2:$A$189,fp!$B71,Zvf51!$P$2:$P$189)</f>
        <v>49</v>
      </c>
      <c r="T71" s="18">
        <f>+SUMIF(Zvf51!$A$2:$A$189,fp!$B71,Zvf51!$AP$2:$AP$189)</f>
        <v>1839.64</v>
      </c>
      <c r="V71" s="12">
        <f t="shared" si="11"/>
        <v>0</v>
      </c>
      <c r="W71" s="12">
        <f t="shared" si="12"/>
        <v>0</v>
      </c>
      <c r="X71" s="12">
        <f t="shared" si="13"/>
        <v>0</v>
      </c>
      <c r="Y71" s="12">
        <f t="shared" si="14"/>
        <v>0</v>
      </c>
      <c r="Z71" s="12">
        <f t="shared" si="15"/>
        <v>0</v>
      </c>
      <c r="AA71" s="12">
        <f t="shared" si="16"/>
        <v>0</v>
      </c>
    </row>
    <row r="72" spans="1:27" ht="25.5" customHeight="1" x14ac:dyDescent="0.2">
      <c r="A72" s="9">
        <v>68</v>
      </c>
      <c r="B72" s="10" t="s">
        <v>421</v>
      </c>
      <c r="C72" s="10" t="s">
        <v>438</v>
      </c>
      <c r="D72" s="11" t="s">
        <v>26</v>
      </c>
      <c r="E72" s="12">
        <v>22</v>
      </c>
      <c r="F72" s="12">
        <v>813.33</v>
      </c>
      <c r="G72" s="12">
        <v>4</v>
      </c>
      <c r="H72" s="12">
        <v>143.41999999999999</v>
      </c>
      <c r="I72" s="12">
        <v>0</v>
      </c>
      <c r="J72" s="12">
        <v>0</v>
      </c>
      <c r="K72" s="12">
        <v>26</v>
      </c>
      <c r="L72" s="31">
        <v>956.75</v>
      </c>
      <c r="M72" s="13"/>
      <c r="O72" s="12">
        <f>+SUMIF(Zvf51!$A$2:$A$189,fp!$B72,Zvf51!$F$2:$F$189)</f>
        <v>4</v>
      </c>
      <c r="P72" s="18">
        <f>+SUMIF(Zvf51!$A$2:$A$189,fp!$B72,Zvf51!$AF$2:$AF$189)</f>
        <v>143.41999999999999</v>
      </c>
      <c r="Q72" s="12">
        <f>-SUMIF(Zvf51!$A$2:$A$189,fp!$B72,Zvf51!$I$2:$I$189)</f>
        <v>0</v>
      </c>
      <c r="R72" s="24">
        <f>-SUMIF(Zvf51!$A$2:$A$189,fp!$B72,Zvf51!$AI$2:$AI$189)</f>
        <v>0</v>
      </c>
      <c r="S72" s="12">
        <f>+SUMIF(Zvf51!$A$2:$A$189,fp!$B72,Zvf51!$P$2:$P$189)</f>
        <v>26</v>
      </c>
      <c r="T72" s="18">
        <f>+SUMIF(Zvf51!$A$2:$A$189,fp!$B72,Zvf51!$AP$2:$AP$189)</f>
        <v>956.75</v>
      </c>
      <c r="V72" s="12">
        <f t="shared" si="11"/>
        <v>0</v>
      </c>
      <c r="W72" s="12">
        <f t="shared" si="12"/>
        <v>0</v>
      </c>
      <c r="X72" s="12">
        <f t="shared" si="13"/>
        <v>0</v>
      </c>
      <c r="Y72" s="12">
        <f t="shared" si="14"/>
        <v>0</v>
      </c>
      <c r="Z72" s="12">
        <f t="shared" si="15"/>
        <v>0</v>
      </c>
      <c r="AA72" s="12">
        <f t="shared" si="16"/>
        <v>0</v>
      </c>
    </row>
    <row r="73" spans="1:27" ht="15.75" customHeight="1" x14ac:dyDescent="0.2">
      <c r="A73" s="9">
        <v>69</v>
      </c>
      <c r="B73" s="10" t="s">
        <v>450</v>
      </c>
      <c r="C73" s="10" t="s">
        <v>457</v>
      </c>
      <c r="D73" s="11" t="s">
        <v>26</v>
      </c>
      <c r="E73" s="12">
        <v>104</v>
      </c>
      <c r="F73" s="12">
        <v>4753.53</v>
      </c>
      <c r="G73" s="12">
        <v>0</v>
      </c>
      <c r="H73" s="12">
        <v>0</v>
      </c>
      <c r="I73" s="12">
        <v>0</v>
      </c>
      <c r="J73" s="12">
        <v>0</v>
      </c>
      <c r="K73" s="12">
        <v>104</v>
      </c>
      <c r="L73" s="31">
        <v>4753.53</v>
      </c>
      <c r="M73" s="13"/>
      <c r="O73" s="12">
        <f>+SUMIF(Zvf51!$A$2:$A$189,fp!$B73,Zvf51!$F$2:$F$189)</f>
        <v>0</v>
      </c>
      <c r="P73" s="18">
        <f>+SUMIF(Zvf51!$A$2:$A$189,fp!$B73,Zvf51!$AF$2:$AF$189)</f>
        <v>0</v>
      </c>
      <c r="Q73" s="12">
        <f>-SUMIF(Zvf51!$A$2:$A$189,fp!$B73,Zvf51!$I$2:$I$189)</f>
        <v>0</v>
      </c>
      <c r="R73" s="24">
        <f>-SUMIF(Zvf51!$A$2:$A$189,fp!$B73,Zvf51!$AI$2:$AI$189)</f>
        <v>0</v>
      </c>
      <c r="S73" s="12">
        <f>+SUMIF(Zvf51!$A$2:$A$189,fp!$B73,Zvf51!$P$2:$P$189)</f>
        <v>104</v>
      </c>
      <c r="T73" s="18">
        <f>+SUMIF(Zvf51!$A$2:$A$189,fp!$B73,Zvf51!$AP$2:$AP$189)</f>
        <v>4753.53</v>
      </c>
      <c r="V73" s="12">
        <f t="shared" si="11"/>
        <v>0</v>
      </c>
      <c r="W73" s="12">
        <f t="shared" si="12"/>
        <v>0</v>
      </c>
      <c r="X73" s="12">
        <f t="shared" si="13"/>
        <v>0</v>
      </c>
      <c r="Y73" s="12">
        <f t="shared" si="14"/>
        <v>0</v>
      </c>
      <c r="Z73" s="12">
        <f t="shared" si="15"/>
        <v>0</v>
      </c>
      <c r="AA73" s="12">
        <f t="shared" si="16"/>
        <v>0</v>
      </c>
    </row>
    <row r="74" spans="1:27" s="21" customFormat="1" ht="21.75" customHeight="1" x14ac:dyDescent="0.2">
      <c r="A74" s="9">
        <v>70</v>
      </c>
      <c r="B74" s="10" t="s">
        <v>445</v>
      </c>
      <c r="C74" s="10" t="s">
        <v>447</v>
      </c>
      <c r="D74" s="11" t="s">
        <v>26</v>
      </c>
      <c r="E74" s="12">
        <v>35</v>
      </c>
      <c r="F74" s="12">
        <v>1496.2</v>
      </c>
      <c r="G74" s="12">
        <v>168</v>
      </c>
      <c r="H74" s="12">
        <v>6779.44</v>
      </c>
      <c r="I74" s="12">
        <v>0</v>
      </c>
      <c r="J74" s="12">
        <v>0</v>
      </c>
      <c r="K74" s="12">
        <v>203</v>
      </c>
      <c r="L74" s="31">
        <v>8275.64</v>
      </c>
      <c r="M74" s="13"/>
      <c r="O74" s="12">
        <f>+SUMIF(Zvf51!$A$2:$A$189,fp!$B74,Zvf51!$F$2:$F$189)</f>
        <v>168</v>
      </c>
      <c r="P74" s="18">
        <f>+SUMIF(Zvf51!$A$2:$A$189,fp!$B74,Zvf51!$AF$2:$AF$189)</f>
        <v>6779.44</v>
      </c>
      <c r="Q74" s="12">
        <f>-SUMIF(Zvf51!$A$2:$A$189,fp!$B74,Zvf51!$I$2:$I$189)</f>
        <v>0</v>
      </c>
      <c r="R74" s="24">
        <f>-SUMIF(Zvf51!$A$2:$A$189,fp!$B74,Zvf51!$AI$2:$AI$189)</f>
        <v>0</v>
      </c>
      <c r="S74" s="12">
        <f>+SUMIF(Zvf51!$A$2:$A$189,fp!$B74,Zvf51!$P$2:$P$189)</f>
        <v>203</v>
      </c>
      <c r="T74" s="18">
        <f>+SUMIF(Zvf51!$A$2:$A$189,fp!$B74,Zvf51!$AP$2:$AP$189)</f>
        <v>8275.64</v>
      </c>
      <c r="V74" s="12">
        <f t="shared" si="11"/>
        <v>0</v>
      </c>
      <c r="W74" s="12">
        <f t="shared" si="12"/>
        <v>0</v>
      </c>
      <c r="X74" s="12">
        <f t="shared" si="13"/>
        <v>0</v>
      </c>
      <c r="Y74" s="12">
        <f t="shared" si="14"/>
        <v>0</v>
      </c>
      <c r="Z74" s="12">
        <f t="shared" si="15"/>
        <v>0</v>
      </c>
      <c r="AA74" s="12">
        <f t="shared" si="16"/>
        <v>0</v>
      </c>
    </row>
    <row r="75" spans="1:27" ht="25.5" customHeight="1" x14ac:dyDescent="0.2">
      <c r="A75" s="9">
        <v>71</v>
      </c>
      <c r="B75" s="10" t="s">
        <v>423</v>
      </c>
      <c r="C75" s="10" t="s">
        <v>439</v>
      </c>
      <c r="D75" s="11" t="s">
        <v>26</v>
      </c>
      <c r="E75" s="12">
        <v>6889</v>
      </c>
      <c r="F75" s="12">
        <v>294083.61</v>
      </c>
      <c r="G75" s="12">
        <v>10180</v>
      </c>
      <c r="H75" s="12">
        <v>389567.51</v>
      </c>
      <c r="I75" s="12">
        <v>8270</v>
      </c>
      <c r="J75" s="12">
        <v>331231.76</v>
      </c>
      <c r="K75" s="12">
        <v>8799</v>
      </c>
      <c r="L75" s="31">
        <v>352419.36</v>
      </c>
      <c r="M75" s="13"/>
      <c r="O75" s="12">
        <f>+SUMIF(Zvf51!$A$2:$A$189,fp!$B75,Zvf51!$F$2:$F$189)</f>
        <v>10180</v>
      </c>
      <c r="P75" s="18">
        <f>+SUMIF(Zvf51!$A$2:$A$189,fp!$B75,Zvf51!$AF$2:$AF$189)</f>
        <v>389567.53</v>
      </c>
      <c r="Q75" s="12">
        <f>-SUMIF(Zvf51!$A$2:$A$189,fp!$B75,Zvf51!$I$2:$I$189)</f>
        <v>8270</v>
      </c>
      <c r="R75" s="24">
        <f>-SUMIF(Zvf51!$A$2:$A$189,fp!$B75,Zvf51!$AI$2:$AI$189)</f>
        <v>331231.76</v>
      </c>
      <c r="S75" s="12">
        <f>+SUMIF(Zvf51!$A$2:$A$189,fp!$B75,Zvf51!$P$2:$P$189)</f>
        <v>8799</v>
      </c>
      <c r="T75" s="18">
        <f>+SUMIF(Zvf51!$A$2:$A$189,fp!$B75,Zvf51!$AP$2:$AP$189)</f>
        <v>352419.38</v>
      </c>
      <c r="V75" s="12">
        <f t="shared" si="11"/>
        <v>0</v>
      </c>
      <c r="W75" s="12">
        <f t="shared" si="12"/>
        <v>2.0000000018626451E-2</v>
      </c>
      <c r="X75" s="12">
        <f t="shared" si="13"/>
        <v>0</v>
      </c>
      <c r="Y75" s="28">
        <f t="shared" si="14"/>
        <v>0</v>
      </c>
      <c r="Z75" s="12">
        <f t="shared" si="15"/>
        <v>0</v>
      </c>
      <c r="AA75" s="12">
        <f t="shared" si="16"/>
        <v>2.0000000018626451E-2</v>
      </c>
    </row>
    <row r="76" spans="1:27" ht="36.75" customHeight="1" x14ac:dyDescent="0.2">
      <c r="A76" s="9">
        <v>72</v>
      </c>
      <c r="B76" s="10" t="s">
        <v>477</v>
      </c>
      <c r="C76" s="10" t="s">
        <v>478</v>
      </c>
      <c r="D76" s="11" t="s">
        <v>26</v>
      </c>
      <c r="E76" s="12">
        <v>81</v>
      </c>
      <c r="F76" s="12">
        <v>3789.66</v>
      </c>
      <c r="G76" s="12">
        <v>491</v>
      </c>
      <c r="H76" s="12">
        <v>19610.419999999998</v>
      </c>
      <c r="I76" s="12">
        <v>530</v>
      </c>
      <c r="J76" s="12">
        <v>21681.89</v>
      </c>
      <c r="K76" s="12">
        <v>42</v>
      </c>
      <c r="L76" s="31">
        <v>1718.19</v>
      </c>
      <c r="M76" s="13"/>
      <c r="O76" s="12">
        <f>+SUMIF(Zvf51!$A$2:$A$189,fp!$B76,Zvf51!$F$2:$F$189)</f>
        <v>491</v>
      </c>
      <c r="P76" s="18">
        <f>+SUMIF(Zvf51!$A$2:$A$189,fp!$B76,Zvf51!$AF$2:$AF$189)</f>
        <v>19610.43</v>
      </c>
      <c r="Q76" s="12">
        <f>-SUMIF(Zvf51!$A$2:$A$189,fp!$B76,Zvf51!$I$2:$I$189)</f>
        <v>530</v>
      </c>
      <c r="R76" s="24">
        <f>-SUMIF(Zvf51!$A$2:$A$189,fp!$B76,Zvf51!$AI$2:$AI$189)</f>
        <v>21681.9</v>
      </c>
      <c r="S76" s="12">
        <f>+SUMIF(Zvf51!$A$2:$A$189,fp!$B76,Zvf51!$P$2:$P$189)</f>
        <v>42</v>
      </c>
      <c r="T76" s="18">
        <f>+SUMIF(Zvf51!$A$2:$A$189,fp!$B76,Zvf51!$AP$2:$AP$189)</f>
        <v>1718.19</v>
      </c>
      <c r="V76" s="12">
        <f t="shared" si="11"/>
        <v>0</v>
      </c>
      <c r="W76" s="12">
        <f t="shared" si="12"/>
        <v>1.0000000002037268E-2</v>
      </c>
      <c r="X76" s="12">
        <f t="shared" si="13"/>
        <v>0</v>
      </c>
      <c r="Y76" s="12">
        <f t="shared" si="14"/>
        <v>1.0000000002037268E-2</v>
      </c>
      <c r="Z76" s="12">
        <f t="shared" si="15"/>
        <v>0</v>
      </c>
      <c r="AA76" s="12">
        <f t="shared" si="16"/>
        <v>0</v>
      </c>
    </row>
    <row r="77" spans="1:27" ht="36.75" customHeight="1" x14ac:dyDescent="0.2">
      <c r="A77" s="9">
        <v>73</v>
      </c>
      <c r="B77" s="10" t="s">
        <v>82</v>
      </c>
      <c r="C77" s="10" t="s">
        <v>83</v>
      </c>
      <c r="D77" s="11" t="s">
        <v>26</v>
      </c>
      <c r="E77" s="12">
        <v>2157</v>
      </c>
      <c r="F77" s="12">
        <v>65088.18</v>
      </c>
      <c r="G77" s="12">
        <v>42</v>
      </c>
      <c r="H77" s="12">
        <v>1151.78</v>
      </c>
      <c r="I77" s="12">
        <v>0</v>
      </c>
      <c r="J77" s="12">
        <v>0</v>
      </c>
      <c r="K77" s="12">
        <v>2199</v>
      </c>
      <c r="L77" s="31">
        <v>66239.960000000006</v>
      </c>
      <c r="M77" s="13"/>
      <c r="O77" s="12">
        <f>+SUMIF(Zvf51!$A$2:$A$189,fp!$B77,Zvf51!$F$2:$F$189)</f>
        <v>42</v>
      </c>
      <c r="P77" s="18">
        <f>+SUMIF(Zvf51!$A$2:$A$189,fp!$B77,Zvf51!$AF$2:$AF$189)</f>
        <v>1151.78</v>
      </c>
      <c r="Q77" s="12">
        <f>-SUMIF(Zvf51!$A$2:$A$189,fp!$B77,Zvf51!$I$2:$I$189)</f>
        <v>0</v>
      </c>
      <c r="R77" s="24">
        <f>-SUMIF(Zvf51!$A$2:$A$189,fp!$B77,Zvf51!$AI$2:$AI$189)</f>
        <v>0</v>
      </c>
      <c r="S77" s="12">
        <f>+SUMIF(Zvf51!$A$2:$A$189,fp!$B77,Zvf51!$P$2:$P$189)</f>
        <v>2199</v>
      </c>
      <c r="T77" s="18">
        <f>+SUMIF(Zvf51!$A$2:$A$189,fp!$B77,Zvf51!$AP$2:$AP$189)</f>
        <v>66239.960000000006</v>
      </c>
      <c r="V77" s="12">
        <f t="shared" si="11"/>
        <v>0</v>
      </c>
      <c r="W77" s="12">
        <f t="shared" si="12"/>
        <v>0</v>
      </c>
      <c r="X77" s="12">
        <f t="shared" si="13"/>
        <v>0</v>
      </c>
      <c r="Y77" s="12">
        <f t="shared" si="14"/>
        <v>0</v>
      </c>
      <c r="Z77" s="12">
        <f t="shared" si="15"/>
        <v>0</v>
      </c>
      <c r="AA77" s="12">
        <f t="shared" si="16"/>
        <v>0</v>
      </c>
    </row>
    <row r="78" spans="1:27" ht="15.75" customHeight="1" x14ac:dyDescent="0.2">
      <c r="A78" s="9">
        <v>74</v>
      </c>
      <c r="B78" s="10" t="s">
        <v>462</v>
      </c>
      <c r="C78" s="10" t="s">
        <v>473</v>
      </c>
      <c r="D78" s="11" t="s">
        <v>26</v>
      </c>
      <c r="E78" s="12">
        <v>386</v>
      </c>
      <c r="F78" s="12">
        <v>20657.71</v>
      </c>
      <c r="G78" s="12">
        <v>590</v>
      </c>
      <c r="H78" s="12">
        <v>26305.57</v>
      </c>
      <c r="I78" s="12">
        <v>264</v>
      </c>
      <c r="J78" s="12">
        <v>12703.16</v>
      </c>
      <c r="K78" s="12">
        <v>712</v>
      </c>
      <c r="L78" s="31">
        <v>34260.120000000003</v>
      </c>
      <c r="M78" s="13"/>
      <c r="O78" s="12">
        <f>+SUMIF(Zvf51!$A$2:$A$189,fp!$B78,Zvf51!$F$2:$F$189)</f>
        <v>590</v>
      </c>
      <c r="P78" s="18">
        <f>+SUMIF(Zvf51!$A$2:$A$189,fp!$B78,Zvf51!$AF$2:$AF$189)</f>
        <v>26305.57</v>
      </c>
      <c r="Q78" s="12">
        <f>-SUMIF(Zvf51!$A$2:$A$189,fp!$B78,Zvf51!$I$2:$I$189)</f>
        <v>264</v>
      </c>
      <c r="R78" s="24">
        <f>-SUMIF(Zvf51!$A$2:$A$189,fp!$B78,Zvf51!$AI$2:$AI$189)</f>
        <v>12703.18</v>
      </c>
      <c r="S78" s="12">
        <f>+SUMIF(Zvf51!$A$2:$A$189,fp!$B78,Zvf51!$P$2:$P$189)</f>
        <v>712</v>
      </c>
      <c r="T78" s="18">
        <f>+SUMIF(Zvf51!$A$2:$A$189,fp!$B78,Zvf51!$AP$2:$AP$189)</f>
        <v>34260.1</v>
      </c>
      <c r="V78" s="12">
        <f t="shared" si="11"/>
        <v>0</v>
      </c>
      <c r="W78" s="12">
        <f t="shared" si="12"/>
        <v>0</v>
      </c>
      <c r="X78" s="12">
        <f t="shared" si="13"/>
        <v>0</v>
      </c>
      <c r="Y78" s="12">
        <f t="shared" si="14"/>
        <v>2.0000000000436557E-2</v>
      </c>
      <c r="Z78" s="12">
        <f t="shared" si="15"/>
        <v>0</v>
      </c>
      <c r="AA78" s="12">
        <f t="shared" si="16"/>
        <v>-2.0000000004074536E-2</v>
      </c>
    </row>
    <row r="79" spans="1:27" ht="36.75" customHeight="1" x14ac:dyDescent="0.2">
      <c r="A79" s="9">
        <v>75</v>
      </c>
      <c r="B79" s="10" t="s">
        <v>84</v>
      </c>
      <c r="C79" s="10" t="s">
        <v>85</v>
      </c>
      <c r="D79" s="11" t="s">
        <v>26</v>
      </c>
      <c r="E79" s="12">
        <v>145</v>
      </c>
      <c r="F79" s="12">
        <v>4464.22</v>
      </c>
      <c r="G79" s="12">
        <v>0</v>
      </c>
      <c r="H79" s="12">
        <v>0</v>
      </c>
      <c r="I79" s="12">
        <v>0</v>
      </c>
      <c r="J79" s="12">
        <v>0</v>
      </c>
      <c r="K79" s="12">
        <v>145</v>
      </c>
      <c r="L79" s="31">
        <v>4464.22</v>
      </c>
      <c r="M79" s="13"/>
      <c r="O79" s="12">
        <f>+SUMIF(Zvf51!$A$2:$A$189,fp!$B79,Zvf51!$F$2:$F$189)</f>
        <v>0</v>
      </c>
      <c r="P79" s="18">
        <f>+SUMIF(Zvf51!$A$2:$A$189,fp!$B79,Zvf51!$AF$2:$AF$189)</f>
        <v>0</v>
      </c>
      <c r="Q79" s="12">
        <f>-SUMIF(Zvf51!$A$2:$A$189,fp!$B79,Zvf51!$I$2:$I$189)</f>
        <v>0</v>
      </c>
      <c r="R79" s="24">
        <f>-SUMIF(Zvf51!$A$2:$A$189,fp!$B79,Zvf51!$AI$2:$AI$189)</f>
        <v>0</v>
      </c>
      <c r="S79" s="12">
        <f>+SUMIF(Zvf51!$A$2:$A$189,fp!$B79,Zvf51!$P$2:$P$189)</f>
        <v>145</v>
      </c>
      <c r="T79" s="18">
        <f>+SUMIF(Zvf51!$A$2:$A$189,fp!$B79,Zvf51!$AP$2:$AP$189)</f>
        <v>4464.22</v>
      </c>
      <c r="V79" s="12">
        <f t="shared" si="11"/>
        <v>0</v>
      </c>
      <c r="W79" s="12">
        <f t="shared" si="12"/>
        <v>0</v>
      </c>
      <c r="X79" s="12">
        <f t="shared" si="13"/>
        <v>0</v>
      </c>
      <c r="Y79" s="12">
        <f t="shared" si="14"/>
        <v>0</v>
      </c>
      <c r="Z79" s="12">
        <f t="shared" si="15"/>
        <v>0</v>
      </c>
      <c r="AA79" s="12">
        <f t="shared" si="16"/>
        <v>0</v>
      </c>
    </row>
    <row r="80" spans="1:27" s="21" customFormat="1" ht="15.75" customHeight="1" x14ac:dyDescent="0.2">
      <c r="A80" s="9">
        <v>76</v>
      </c>
      <c r="B80" s="10" t="s">
        <v>479</v>
      </c>
      <c r="C80" s="10" t="s">
        <v>480</v>
      </c>
      <c r="D80" s="11" t="s">
        <v>26</v>
      </c>
      <c r="E80" s="12">
        <v>79</v>
      </c>
      <c r="F80" s="12">
        <v>3790.94</v>
      </c>
      <c r="G80" s="12">
        <v>0</v>
      </c>
      <c r="H80" s="12">
        <v>0</v>
      </c>
      <c r="I80" s="12">
        <v>70</v>
      </c>
      <c r="J80" s="12">
        <v>3359.06</v>
      </c>
      <c r="K80" s="12">
        <v>9</v>
      </c>
      <c r="L80" s="31">
        <v>431.88</v>
      </c>
      <c r="M80" s="13"/>
      <c r="O80" s="12">
        <f>+SUMIF(Zvf51!$A$2:$A$189,fp!$B80,Zvf51!$F$2:$F$189)</f>
        <v>0</v>
      </c>
      <c r="P80" s="18">
        <f>+SUMIF(Zvf51!$A$2:$A$189,fp!$B80,Zvf51!$AF$2:$AF$189)</f>
        <v>0</v>
      </c>
      <c r="Q80" s="12">
        <f>-SUMIF(Zvf51!$A$2:$A$189,fp!$B80,Zvf51!$I$2:$I$189)</f>
        <v>70</v>
      </c>
      <c r="R80" s="24">
        <f>-SUMIF(Zvf51!$A$2:$A$189,fp!$B80,Zvf51!$AI$2:$AI$189)</f>
        <v>3359.06</v>
      </c>
      <c r="S80" s="12">
        <f>+SUMIF(Zvf51!$A$2:$A$189,fp!$B80,Zvf51!$P$2:$P$189)</f>
        <v>9</v>
      </c>
      <c r="T80" s="18">
        <f>+SUMIF(Zvf51!$A$2:$A$189,fp!$B80,Zvf51!$AP$2:$AP$189)</f>
        <v>431.88</v>
      </c>
      <c r="V80" s="12">
        <f t="shared" si="11"/>
        <v>0</v>
      </c>
      <c r="W80" s="12">
        <f t="shared" si="12"/>
        <v>0</v>
      </c>
      <c r="X80" s="12">
        <f t="shared" si="13"/>
        <v>0</v>
      </c>
      <c r="Y80" s="12">
        <f t="shared" si="14"/>
        <v>0</v>
      </c>
      <c r="Z80" s="12">
        <f t="shared" si="15"/>
        <v>0</v>
      </c>
      <c r="AA80" s="12">
        <f t="shared" si="16"/>
        <v>0</v>
      </c>
    </row>
    <row r="81" spans="1:27" ht="25.5" customHeight="1" x14ac:dyDescent="0.2">
      <c r="A81" s="9">
        <v>77</v>
      </c>
      <c r="B81" s="10" t="s">
        <v>86</v>
      </c>
      <c r="C81" s="10" t="s">
        <v>87</v>
      </c>
      <c r="D81" s="11" t="s">
        <v>26</v>
      </c>
      <c r="E81" s="12">
        <v>431</v>
      </c>
      <c r="F81" s="12">
        <v>13951.6</v>
      </c>
      <c r="G81" s="12">
        <v>0</v>
      </c>
      <c r="H81" s="12">
        <v>0</v>
      </c>
      <c r="I81" s="12">
        <v>0</v>
      </c>
      <c r="J81" s="12">
        <v>0</v>
      </c>
      <c r="K81" s="12">
        <v>431</v>
      </c>
      <c r="L81" s="31">
        <v>13951.6</v>
      </c>
      <c r="M81" s="13"/>
      <c r="O81" s="12">
        <f>+SUMIF(Zvf51!$A$2:$A$189,fp!$B81,Zvf51!$F$2:$F$189)</f>
        <v>0</v>
      </c>
      <c r="P81" s="18">
        <f>+SUMIF(Zvf51!$A$2:$A$189,fp!$B81,Zvf51!$AF$2:$AF$189)</f>
        <v>0</v>
      </c>
      <c r="Q81" s="12">
        <f>-SUMIF(Zvf51!$A$2:$A$189,fp!$B81,Zvf51!$I$2:$I$189)</f>
        <v>0</v>
      </c>
      <c r="R81" s="24">
        <f>-SUMIF(Zvf51!$A$2:$A$189,fp!$B81,Zvf51!$AI$2:$AI$189)</f>
        <v>0</v>
      </c>
      <c r="S81" s="12">
        <f>+SUMIF(Zvf51!$A$2:$A$189,fp!$B81,Zvf51!$P$2:$P$189)</f>
        <v>431</v>
      </c>
      <c r="T81" s="18">
        <f>+SUMIF(Zvf51!$A$2:$A$189,fp!$B81,Zvf51!$AP$2:$AP$189)</f>
        <v>13951.6</v>
      </c>
      <c r="V81" s="12">
        <f t="shared" si="11"/>
        <v>0</v>
      </c>
      <c r="W81" s="12">
        <f t="shared" si="12"/>
        <v>0</v>
      </c>
      <c r="X81" s="12">
        <f t="shared" si="13"/>
        <v>0</v>
      </c>
      <c r="Y81" s="12">
        <f t="shared" si="14"/>
        <v>0</v>
      </c>
      <c r="Z81" s="12">
        <f t="shared" si="15"/>
        <v>0</v>
      </c>
      <c r="AA81" s="12">
        <f t="shared" si="16"/>
        <v>0</v>
      </c>
    </row>
    <row r="82" spans="1:27" ht="15.75" customHeight="1" x14ac:dyDescent="0.2">
      <c r="A82" s="9">
        <v>78</v>
      </c>
      <c r="B82" s="10" t="s">
        <v>481</v>
      </c>
      <c r="C82" s="10" t="s">
        <v>482</v>
      </c>
      <c r="D82" s="11" t="s">
        <v>26</v>
      </c>
      <c r="E82" s="12">
        <v>54</v>
      </c>
      <c r="F82" s="12">
        <v>2267.17</v>
      </c>
      <c r="G82" s="12">
        <v>306</v>
      </c>
      <c r="H82" s="12">
        <v>12481.49</v>
      </c>
      <c r="I82" s="12">
        <v>82</v>
      </c>
      <c r="J82" s="12">
        <v>3359.42</v>
      </c>
      <c r="K82" s="12">
        <v>278</v>
      </c>
      <c r="L82" s="31">
        <v>11389.24</v>
      </c>
      <c r="M82" s="13"/>
      <c r="O82" s="12">
        <f>+SUMIF(Zvf51!$A$2:$A$189,fp!$B82,Zvf51!$F$2:$F$189)</f>
        <v>306</v>
      </c>
      <c r="P82" s="18">
        <f>+SUMIF(Zvf51!$A$2:$A$189,fp!$B82,Zvf51!$AF$2:$AF$189)</f>
        <v>12481.5</v>
      </c>
      <c r="Q82" s="12">
        <f>-SUMIF(Zvf51!$A$2:$A$189,fp!$B82,Zvf51!$I$2:$I$189)</f>
        <v>82</v>
      </c>
      <c r="R82" s="24">
        <f>-SUMIF(Zvf51!$A$2:$A$189,fp!$B82,Zvf51!$AI$2:$AI$189)</f>
        <v>3359.42</v>
      </c>
      <c r="S82" s="12">
        <f>+SUMIF(Zvf51!$A$2:$A$189,fp!$B82,Zvf51!$P$2:$P$189)</f>
        <v>278</v>
      </c>
      <c r="T82" s="18">
        <f>+SUMIF(Zvf51!$A$2:$A$189,fp!$B82,Zvf51!$AP$2:$AP$189)</f>
        <v>11389.25</v>
      </c>
      <c r="V82" s="12">
        <f t="shared" si="11"/>
        <v>0</v>
      </c>
      <c r="W82" s="12">
        <f t="shared" si="12"/>
        <v>1.0000000000218279E-2</v>
      </c>
      <c r="X82" s="12">
        <f t="shared" si="13"/>
        <v>0</v>
      </c>
      <c r="Y82" s="12">
        <f t="shared" si="14"/>
        <v>0</v>
      </c>
      <c r="Z82" s="12">
        <f t="shared" si="15"/>
        <v>0</v>
      </c>
      <c r="AA82" s="12">
        <f t="shared" si="16"/>
        <v>1.0000000000218279E-2</v>
      </c>
    </row>
    <row r="83" spans="1:27" ht="15" customHeight="1" x14ac:dyDescent="0.2">
      <c r="A83" s="9">
        <v>79</v>
      </c>
      <c r="B83" s="10" t="s">
        <v>88</v>
      </c>
      <c r="C83" s="10" t="s">
        <v>89</v>
      </c>
      <c r="D83" s="11" t="s">
        <v>26</v>
      </c>
      <c r="E83" s="12">
        <v>82</v>
      </c>
      <c r="F83" s="12">
        <v>2608.85</v>
      </c>
      <c r="G83" s="12">
        <v>5314</v>
      </c>
      <c r="H83" s="12">
        <v>156259.87</v>
      </c>
      <c r="I83" s="12">
        <v>3359</v>
      </c>
      <c r="J83" s="12">
        <v>98895.53</v>
      </c>
      <c r="K83" s="12">
        <v>2037</v>
      </c>
      <c r="L83" s="31">
        <v>59973.19</v>
      </c>
      <c r="M83" s="13"/>
      <c r="O83" s="12">
        <f>+SUMIF(Zvf51!$A$2:$A$189,fp!$B83,Zvf51!$F$2:$F$189)</f>
        <v>5314</v>
      </c>
      <c r="P83" s="18">
        <f>+SUMIF(Zvf51!$A$2:$A$189,fp!$B83,Zvf51!$AF$2:$AF$189)</f>
        <v>156259.94</v>
      </c>
      <c r="Q83" s="12">
        <f>-SUMIF(Zvf51!$A$2:$A$189,fp!$B83,Zvf51!$I$2:$I$189)</f>
        <v>3359</v>
      </c>
      <c r="R83" s="24">
        <f>-SUMIF(Zvf51!$A$2:$A$189,fp!$B83,Zvf51!$AI$2:$AI$189)</f>
        <v>98895.53</v>
      </c>
      <c r="S83" s="12">
        <f>+SUMIF(Zvf51!$A$2:$A$189,fp!$B83,Zvf51!$P$2:$P$189)</f>
        <v>2037</v>
      </c>
      <c r="T83" s="18">
        <f>+SUMIF(Zvf51!$A$2:$A$189,fp!$B83,Zvf51!$AP$2:$AP$189)</f>
        <v>59973.26</v>
      </c>
      <c r="V83" s="12">
        <f t="shared" si="11"/>
        <v>0</v>
      </c>
      <c r="W83" s="12">
        <f t="shared" si="12"/>
        <v>7.0000000006984919E-2</v>
      </c>
      <c r="X83" s="12">
        <f t="shared" si="13"/>
        <v>0</v>
      </c>
      <c r="Y83" s="12">
        <f t="shared" si="14"/>
        <v>0</v>
      </c>
      <c r="Z83" s="12">
        <f t="shared" si="15"/>
        <v>0</v>
      </c>
      <c r="AA83" s="12">
        <f t="shared" si="16"/>
        <v>6.9999999999708962E-2</v>
      </c>
    </row>
    <row r="84" spans="1:27" ht="25.5" customHeight="1" x14ac:dyDescent="0.2">
      <c r="A84" s="9">
        <v>80</v>
      </c>
      <c r="B84" s="10" t="s">
        <v>483</v>
      </c>
      <c r="C84" s="10" t="s">
        <v>484</v>
      </c>
      <c r="D84" s="11" t="s">
        <v>26</v>
      </c>
      <c r="E84" s="12">
        <v>93</v>
      </c>
      <c r="F84" s="12">
        <v>4266.38</v>
      </c>
      <c r="G84" s="12">
        <v>229</v>
      </c>
      <c r="H84" s="12">
        <v>10003.18</v>
      </c>
      <c r="I84" s="12">
        <v>214</v>
      </c>
      <c r="J84" s="12">
        <v>9483.49</v>
      </c>
      <c r="K84" s="12">
        <v>108</v>
      </c>
      <c r="L84" s="31">
        <v>4786.07</v>
      </c>
      <c r="M84" s="13"/>
      <c r="O84" s="12">
        <f>+SUMIF(Zvf51!$A$2:$A$189,fp!$B84,Zvf51!$F$2:$F$189)</f>
        <v>229</v>
      </c>
      <c r="P84" s="18">
        <f>+SUMIF(Zvf51!$A$2:$A$189,fp!$B84,Zvf51!$AF$2:$AF$189)</f>
        <v>10003.18</v>
      </c>
      <c r="Q84" s="12">
        <f>-SUMIF(Zvf51!$A$2:$A$189,fp!$B84,Zvf51!$I$2:$I$189)</f>
        <v>214</v>
      </c>
      <c r="R84" s="24">
        <f>-SUMIF(Zvf51!$A$2:$A$189,fp!$B84,Zvf51!$AI$2:$AI$189)</f>
        <v>9483.5</v>
      </c>
      <c r="S84" s="12">
        <f>+SUMIF(Zvf51!$A$2:$A$189,fp!$B84,Zvf51!$P$2:$P$189)</f>
        <v>108</v>
      </c>
      <c r="T84" s="18">
        <f>+SUMIF(Zvf51!$A$2:$A$189,fp!$B84,Zvf51!$AP$2:$AP$189)</f>
        <v>4786.07</v>
      </c>
      <c r="V84" s="12">
        <f t="shared" si="11"/>
        <v>0</v>
      </c>
      <c r="W84" s="12">
        <f t="shared" si="12"/>
        <v>0</v>
      </c>
      <c r="X84" s="12">
        <f t="shared" si="13"/>
        <v>0</v>
      </c>
      <c r="Y84" s="12">
        <f t="shared" si="14"/>
        <v>1.0000000000218279E-2</v>
      </c>
      <c r="Z84" s="12">
        <f t="shared" si="15"/>
        <v>0</v>
      </c>
      <c r="AA84" s="12">
        <f t="shared" si="16"/>
        <v>0</v>
      </c>
    </row>
    <row r="85" spans="1:27" ht="25.5" customHeight="1" x14ac:dyDescent="0.2">
      <c r="A85" s="9">
        <v>81</v>
      </c>
      <c r="B85" s="10" t="s">
        <v>90</v>
      </c>
      <c r="C85" s="10" t="s">
        <v>91</v>
      </c>
      <c r="D85" s="11" t="s">
        <v>26</v>
      </c>
      <c r="E85" s="12">
        <v>237</v>
      </c>
      <c r="F85" s="12">
        <v>6937.27</v>
      </c>
      <c r="G85" s="12">
        <v>26</v>
      </c>
      <c r="H85" s="12">
        <v>706.02</v>
      </c>
      <c r="I85" s="12">
        <v>0</v>
      </c>
      <c r="J85" s="12">
        <v>0</v>
      </c>
      <c r="K85" s="12">
        <v>263</v>
      </c>
      <c r="L85" s="31">
        <v>7643.29</v>
      </c>
      <c r="M85" s="13"/>
      <c r="O85" s="12">
        <f>+SUMIF(Zvf51!$A$2:$A$189,fp!$B85,Zvf51!$F$2:$F$189)</f>
        <v>26</v>
      </c>
      <c r="P85" s="18">
        <f>+SUMIF(Zvf51!$A$2:$A$189,fp!$B85,Zvf51!$AF$2:$AF$189)</f>
        <v>706.02</v>
      </c>
      <c r="Q85" s="12">
        <f>-SUMIF(Zvf51!$A$2:$A$189,fp!$B85,Zvf51!$I$2:$I$189)</f>
        <v>0</v>
      </c>
      <c r="R85" s="24">
        <f>-SUMIF(Zvf51!$A$2:$A$189,fp!$B85,Zvf51!$AI$2:$AI$189)</f>
        <v>0</v>
      </c>
      <c r="S85" s="12">
        <f>+SUMIF(Zvf51!$A$2:$A$189,fp!$B85,Zvf51!$P$2:$P$189)</f>
        <v>263</v>
      </c>
      <c r="T85" s="18">
        <f>+SUMIF(Zvf51!$A$2:$A$189,fp!$B85,Zvf51!$AP$2:$AP$189)</f>
        <v>7643.29</v>
      </c>
      <c r="V85" s="12">
        <f t="shared" si="11"/>
        <v>0</v>
      </c>
      <c r="W85" s="12">
        <f t="shared" si="12"/>
        <v>0</v>
      </c>
      <c r="X85" s="12">
        <f t="shared" si="13"/>
        <v>0</v>
      </c>
      <c r="Y85" s="12">
        <f t="shared" si="14"/>
        <v>0</v>
      </c>
      <c r="Z85" s="12">
        <f t="shared" si="15"/>
        <v>0</v>
      </c>
      <c r="AA85" s="28">
        <f t="shared" si="16"/>
        <v>0</v>
      </c>
    </row>
    <row r="86" spans="1:27" ht="15.75" customHeight="1" x14ac:dyDescent="0.2">
      <c r="A86" s="9">
        <v>82</v>
      </c>
      <c r="B86" s="10" t="s">
        <v>519</v>
      </c>
      <c r="C86" s="10" t="s">
        <v>546</v>
      </c>
      <c r="D86" s="11" t="s">
        <v>26</v>
      </c>
      <c r="E86" s="12">
        <v>10</v>
      </c>
      <c r="F86" s="12">
        <v>466.51</v>
      </c>
      <c r="G86" s="12">
        <v>330</v>
      </c>
      <c r="H86" s="12">
        <v>15071.28</v>
      </c>
      <c r="I86" s="12">
        <v>132</v>
      </c>
      <c r="J86" s="12">
        <v>6032.32</v>
      </c>
      <c r="K86" s="12">
        <v>208</v>
      </c>
      <c r="L86" s="31">
        <v>9505.4699999999993</v>
      </c>
      <c r="M86" s="13"/>
      <c r="O86" s="12">
        <f>+SUMIF(Zvf51!$A$2:$A$189,fp!$B86,Zvf51!$F$2:$F$189)</f>
        <v>330</v>
      </c>
      <c r="P86" s="18">
        <f>+SUMIF(Zvf51!$A$2:$A$189,fp!$B86,Zvf51!$AF$2:$AF$189)</f>
        <v>15071.28</v>
      </c>
      <c r="Q86" s="12">
        <f>-SUMIF(Zvf51!$A$2:$A$189,fp!$B86,Zvf51!$I$2:$I$189)</f>
        <v>132</v>
      </c>
      <c r="R86" s="24">
        <f>-SUMIF(Zvf51!$A$2:$A$189,fp!$B86,Zvf51!$AI$2:$AI$189)</f>
        <v>6032.32</v>
      </c>
      <c r="S86" s="12">
        <f>+SUMIF(Zvf51!$A$2:$A$189,fp!$B86,Zvf51!$P$2:$P$189)</f>
        <v>208</v>
      </c>
      <c r="T86" s="18">
        <f>+SUMIF(Zvf51!$A$2:$A$189,fp!$B86,Zvf51!$AP$2:$AP$189)</f>
        <v>9505.4699999999993</v>
      </c>
      <c r="V86" s="12">
        <f t="shared" si="11"/>
        <v>0</v>
      </c>
      <c r="W86" s="12">
        <f t="shared" si="12"/>
        <v>0</v>
      </c>
      <c r="X86" s="12">
        <f t="shared" si="13"/>
        <v>0</v>
      </c>
      <c r="Y86" s="12">
        <f t="shared" si="14"/>
        <v>0</v>
      </c>
      <c r="Z86" s="12">
        <f t="shared" si="15"/>
        <v>0</v>
      </c>
      <c r="AA86" s="12">
        <f t="shared" si="16"/>
        <v>0</v>
      </c>
    </row>
    <row r="87" spans="1:27" ht="15.75" customHeight="1" x14ac:dyDescent="0.2">
      <c r="A87" s="9">
        <v>83</v>
      </c>
      <c r="B87" s="10" t="s">
        <v>92</v>
      </c>
      <c r="C87" s="10" t="s">
        <v>93</v>
      </c>
      <c r="D87" s="11" t="s">
        <v>26</v>
      </c>
      <c r="E87" s="12">
        <v>568</v>
      </c>
      <c r="F87" s="12">
        <v>18073.32</v>
      </c>
      <c r="G87" s="12">
        <v>0</v>
      </c>
      <c r="H87" s="12">
        <v>0</v>
      </c>
      <c r="I87" s="12">
        <v>0</v>
      </c>
      <c r="J87" s="12">
        <v>0</v>
      </c>
      <c r="K87" s="12">
        <v>568</v>
      </c>
      <c r="L87" s="31">
        <v>18073.32</v>
      </c>
      <c r="M87" s="13"/>
      <c r="O87" s="12">
        <f>+SUMIF(Zvf51!$A$2:$A$189,fp!$B87,Zvf51!$F$2:$F$189)</f>
        <v>0</v>
      </c>
      <c r="P87" s="18">
        <f>+SUMIF(Zvf51!$A$2:$A$189,fp!$B87,Zvf51!$AF$2:$AF$189)</f>
        <v>0</v>
      </c>
      <c r="Q87" s="12">
        <f>-SUMIF(Zvf51!$A$2:$A$189,fp!$B87,Zvf51!$I$2:$I$189)</f>
        <v>0</v>
      </c>
      <c r="R87" s="24">
        <f>-SUMIF(Zvf51!$A$2:$A$189,fp!$B87,Zvf51!$AI$2:$AI$189)</f>
        <v>0</v>
      </c>
      <c r="S87" s="12">
        <f>+SUMIF(Zvf51!$A$2:$A$189,fp!$B87,Zvf51!$P$2:$P$189)</f>
        <v>568</v>
      </c>
      <c r="T87" s="18">
        <f>+SUMIF(Zvf51!$A$2:$A$189,fp!$B87,Zvf51!$AP$2:$AP$189)</f>
        <v>18073.32</v>
      </c>
      <c r="V87" s="12">
        <f t="shared" si="11"/>
        <v>0</v>
      </c>
      <c r="W87" s="12">
        <f t="shared" si="12"/>
        <v>0</v>
      </c>
      <c r="X87" s="12">
        <f t="shared" si="13"/>
        <v>0</v>
      </c>
      <c r="Y87" s="12">
        <f t="shared" si="14"/>
        <v>0</v>
      </c>
      <c r="Z87" s="12">
        <f t="shared" si="15"/>
        <v>0</v>
      </c>
      <c r="AA87" s="12">
        <f t="shared" si="16"/>
        <v>0</v>
      </c>
    </row>
    <row r="88" spans="1:27" ht="36.75" customHeight="1" x14ac:dyDescent="0.2">
      <c r="A88" s="9">
        <v>84</v>
      </c>
      <c r="B88" s="10" t="s">
        <v>521</v>
      </c>
      <c r="C88" s="10" t="s">
        <v>547</v>
      </c>
      <c r="D88" s="11" t="s">
        <v>26</v>
      </c>
      <c r="E88" s="12">
        <v>25</v>
      </c>
      <c r="F88" s="12">
        <v>1218.03</v>
      </c>
      <c r="G88" s="12">
        <v>143</v>
      </c>
      <c r="H88" s="12">
        <v>6920.53</v>
      </c>
      <c r="I88" s="12">
        <v>105</v>
      </c>
      <c r="J88" s="12">
        <v>5086.6099999999997</v>
      </c>
      <c r="K88" s="12">
        <v>63</v>
      </c>
      <c r="L88" s="31">
        <v>3051.95</v>
      </c>
      <c r="M88" s="13"/>
      <c r="O88" s="12">
        <f>+SUMIF(Zvf51!$A$2:$A$189,fp!$B88,Zvf51!$F$2:$F$189)</f>
        <v>143</v>
      </c>
      <c r="P88" s="18">
        <f>+SUMIF(Zvf51!$A$2:$A$189,fp!$B88,Zvf51!$AF$2:$AF$189)</f>
        <v>6920.53</v>
      </c>
      <c r="Q88" s="12">
        <f>-SUMIF(Zvf51!$A$2:$A$189,fp!$B88,Zvf51!$I$2:$I$189)</f>
        <v>105</v>
      </c>
      <c r="R88" s="24">
        <f>-SUMIF(Zvf51!$A$2:$A$189,fp!$B88,Zvf51!$AI$2:$AI$189)</f>
        <v>5086.6000000000004</v>
      </c>
      <c r="S88" s="12">
        <f>+SUMIF(Zvf51!$A$2:$A$189,fp!$B88,Zvf51!$P$2:$P$189)</f>
        <v>63</v>
      </c>
      <c r="T88" s="18">
        <f>+SUMIF(Zvf51!$A$2:$A$189,fp!$B88,Zvf51!$AP$2:$AP$189)</f>
        <v>3051.96</v>
      </c>
      <c r="V88" s="12">
        <f t="shared" si="11"/>
        <v>0</v>
      </c>
      <c r="W88" s="12">
        <f t="shared" si="12"/>
        <v>0</v>
      </c>
      <c r="X88" s="12">
        <f t="shared" si="13"/>
        <v>0</v>
      </c>
      <c r="Y88" s="12">
        <f t="shared" si="14"/>
        <v>-9.999999999308784E-3</v>
      </c>
      <c r="Z88" s="12">
        <f t="shared" si="15"/>
        <v>0</v>
      </c>
      <c r="AA88" s="12">
        <f t="shared" si="16"/>
        <v>1.0000000000218279E-2</v>
      </c>
    </row>
    <row r="89" spans="1:27" ht="25.5" customHeight="1" x14ac:dyDescent="0.2">
      <c r="A89" s="9">
        <v>85</v>
      </c>
      <c r="B89" s="10" t="s">
        <v>94</v>
      </c>
      <c r="C89" s="10" t="s">
        <v>95</v>
      </c>
      <c r="D89" s="11" t="s">
        <v>26</v>
      </c>
      <c r="E89" s="12">
        <v>61</v>
      </c>
      <c r="F89" s="12">
        <v>2185.11</v>
      </c>
      <c r="G89" s="12">
        <v>135</v>
      </c>
      <c r="H89" s="12">
        <v>4353.2</v>
      </c>
      <c r="I89" s="12">
        <v>60</v>
      </c>
      <c r="J89" s="12">
        <v>2001.52</v>
      </c>
      <c r="K89" s="12">
        <v>136</v>
      </c>
      <c r="L89" s="31">
        <v>4536.79</v>
      </c>
      <c r="M89" s="13"/>
      <c r="O89" s="12">
        <f>+SUMIF(Zvf51!$A$2:$A$189,fp!$B89,Zvf51!$F$2:$F$189)</f>
        <v>135</v>
      </c>
      <c r="P89" s="18">
        <f>+SUMIF(Zvf51!$A$2:$A$189,fp!$B89,Zvf51!$AF$2:$AF$189)</f>
        <v>4353.2</v>
      </c>
      <c r="Q89" s="12">
        <f>-SUMIF(Zvf51!$A$2:$A$189,fp!$B89,Zvf51!$I$2:$I$189)</f>
        <v>60</v>
      </c>
      <c r="R89" s="24">
        <f>-SUMIF(Zvf51!$A$2:$A$189,fp!$B89,Zvf51!$AI$2:$AI$189)</f>
        <v>2001.52</v>
      </c>
      <c r="S89" s="12">
        <f>+SUMIF(Zvf51!$A$2:$A$189,fp!$B89,Zvf51!$P$2:$P$189)</f>
        <v>136</v>
      </c>
      <c r="T89" s="18">
        <f>+SUMIF(Zvf51!$A$2:$A$189,fp!$B89,Zvf51!$AP$2:$AP$189)</f>
        <v>4536.79</v>
      </c>
      <c r="V89" s="12">
        <f t="shared" si="11"/>
        <v>0</v>
      </c>
      <c r="W89" s="12">
        <f t="shared" si="12"/>
        <v>0</v>
      </c>
      <c r="X89" s="12">
        <f t="shared" si="13"/>
        <v>0</v>
      </c>
      <c r="Y89" s="12">
        <f t="shared" si="14"/>
        <v>0</v>
      </c>
      <c r="Z89" s="12">
        <f t="shared" si="15"/>
        <v>0</v>
      </c>
      <c r="AA89" s="12">
        <f t="shared" si="16"/>
        <v>0</v>
      </c>
    </row>
    <row r="90" spans="1:27" ht="15.75" customHeight="1" x14ac:dyDescent="0.2">
      <c r="A90" s="9">
        <v>86</v>
      </c>
      <c r="B90" s="10" t="s">
        <v>556</v>
      </c>
      <c r="C90" s="10" t="s">
        <v>570</v>
      </c>
      <c r="D90" s="11" t="s">
        <v>26</v>
      </c>
      <c r="E90" s="12">
        <v>30</v>
      </c>
      <c r="F90" s="12">
        <v>1414.15</v>
      </c>
      <c r="G90" s="12">
        <v>306</v>
      </c>
      <c r="H90" s="12">
        <v>14039.85</v>
      </c>
      <c r="I90" s="12">
        <v>87</v>
      </c>
      <c r="J90" s="12">
        <v>4001.49</v>
      </c>
      <c r="K90" s="12">
        <v>249</v>
      </c>
      <c r="L90" s="31">
        <v>11452.51</v>
      </c>
      <c r="M90" s="13"/>
      <c r="O90" s="12">
        <f>+SUMIF(Zvf51!$A$2:$A$189,fp!$B90,Zvf51!$F$2:$F$189)</f>
        <v>306</v>
      </c>
      <c r="P90" s="18">
        <f>+SUMIF(Zvf51!$A$2:$A$189,fp!$B90,Zvf51!$AF$2:$AF$189)</f>
        <v>14039.85</v>
      </c>
      <c r="Q90" s="12">
        <f>-SUMIF(Zvf51!$A$2:$A$189,fp!$B90,Zvf51!$I$2:$I$189)</f>
        <v>87</v>
      </c>
      <c r="R90" s="24">
        <f>-SUMIF(Zvf51!$A$2:$A$189,fp!$B90,Zvf51!$AI$2:$AI$189)</f>
        <v>4001.48</v>
      </c>
      <c r="S90" s="12">
        <f>+SUMIF(Zvf51!$A$2:$A$189,fp!$B90,Zvf51!$P$2:$P$189)</f>
        <v>249</v>
      </c>
      <c r="T90" s="18">
        <f>+SUMIF(Zvf51!$A$2:$A$189,fp!$B90,Zvf51!$AP$2:$AP$189)</f>
        <v>11452.52</v>
      </c>
      <c r="V90" s="12">
        <f t="shared" si="11"/>
        <v>0</v>
      </c>
      <c r="W90" s="12">
        <f t="shared" si="12"/>
        <v>0</v>
      </c>
      <c r="X90" s="12">
        <f t="shared" si="13"/>
        <v>0</v>
      </c>
      <c r="Y90" s="12">
        <f t="shared" si="14"/>
        <v>-9.9999999997635314E-3</v>
      </c>
      <c r="Z90" s="12">
        <f t="shared" si="15"/>
        <v>0</v>
      </c>
      <c r="AA90" s="12">
        <f t="shared" si="16"/>
        <v>1.0000000000218279E-2</v>
      </c>
    </row>
    <row r="91" spans="1:27" ht="25.5" customHeight="1" x14ac:dyDescent="0.2">
      <c r="A91" s="9">
        <v>87</v>
      </c>
      <c r="B91" s="10" t="s">
        <v>324</v>
      </c>
      <c r="C91" s="10" t="s">
        <v>385</v>
      </c>
      <c r="D91" s="11" t="s">
        <v>26</v>
      </c>
      <c r="E91" s="12">
        <v>28</v>
      </c>
      <c r="F91" s="12">
        <v>923.31</v>
      </c>
      <c r="G91" s="12">
        <v>0</v>
      </c>
      <c r="H91" s="12">
        <v>0</v>
      </c>
      <c r="I91" s="12">
        <v>0</v>
      </c>
      <c r="J91" s="12">
        <v>0</v>
      </c>
      <c r="K91" s="12">
        <v>28</v>
      </c>
      <c r="L91" s="31">
        <v>923.31</v>
      </c>
      <c r="M91" s="13"/>
      <c r="O91" s="12">
        <f>+SUMIF(Zvf51!$A$2:$A$189,fp!$B91,Zvf51!$F$2:$F$189)</f>
        <v>0</v>
      </c>
      <c r="P91" s="18">
        <f>+SUMIF(Zvf51!$A$2:$A$189,fp!$B91,Zvf51!$AF$2:$AF$189)</f>
        <v>0</v>
      </c>
      <c r="Q91" s="12">
        <f>-SUMIF(Zvf51!$A$2:$A$189,fp!$B91,Zvf51!$I$2:$I$189)</f>
        <v>0</v>
      </c>
      <c r="R91" s="24">
        <f>-SUMIF(Zvf51!$A$2:$A$189,fp!$B91,Zvf51!$AI$2:$AI$189)</f>
        <v>0</v>
      </c>
      <c r="S91" s="12">
        <f>+SUMIF(Zvf51!$A$2:$A$189,fp!$B91,Zvf51!$P$2:$P$189)</f>
        <v>28</v>
      </c>
      <c r="T91" s="18">
        <f>+SUMIF(Zvf51!$A$2:$A$189,fp!$B91,Zvf51!$AP$2:$AP$189)</f>
        <v>923.31</v>
      </c>
      <c r="V91" s="12">
        <f t="shared" si="11"/>
        <v>0</v>
      </c>
      <c r="W91" s="12">
        <f t="shared" si="12"/>
        <v>0</v>
      </c>
      <c r="X91" s="12">
        <f t="shared" si="13"/>
        <v>0</v>
      </c>
      <c r="Y91" s="12">
        <f t="shared" si="14"/>
        <v>0</v>
      </c>
      <c r="Z91" s="12">
        <f t="shared" si="15"/>
        <v>0</v>
      </c>
      <c r="AA91" s="12">
        <f t="shared" si="16"/>
        <v>0</v>
      </c>
    </row>
    <row r="92" spans="1:27" ht="14.25" customHeight="1" x14ac:dyDescent="0.2">
      <c r="A92" s="9">
        <v>88</v>
      </c>
      <c r="B92" s="10" t="s">
        <v>523</v>
      </c>
      <c r="C92" s="10" t="s">
        <v>548</v>
      </c>
      <c r="D92" s="11" t="s">
        <v>26</v>
      </c>
      <c r="E92" s="12">
        <v>89</v>
      </c>
      <c r="F92" s="12">
        <v>4635.6499999999996</v>
      </c>
      <c r="G92" s="12">
        <v>105</v>
      </c>
      <c r="H92" s="12">
        <v>5360.88</v>
      </c>
      <c r="I92" s="12">
        <v>90</v>
      </c>
      <c r="J92" s="12">
        <v>4637.57</v>
      </c>
      <c r="K92" s="12">
        <v>104</v>
      </c>
      <c r="L92" s="31">
        <v>5358.96</v>
      </c>
      <c r="M92" s="13"/>
      <c r="O92" s="12">
        <f>+SUMIF(Zvf51!$A$2:$A$189,fp!$B92,Zvf51!$F$2:$F$189)</f>
        <v>105</v>
      </c>
      <c r="P92" s="18">
        <f>+SUMIF(Zvf51!$A$2:$A$189,fp!$B92,Zvf51!$AF$2:$AF$189)</f>
        <v>5360.87</v>
      </c>
      <c r="Q92" s="12">
        <f>-SUMIF(Zvf51!$A$2:$A$189,fp!$B92,Zvf51!$I$2:$I$189)</f>
        <v>90</v>
      </c>
      <c r="R92" s="24">
        <f>-SUMIF(Zvf51!$A$2:$A$189,fp!$B92,Zvf51!$AI$2:$AI$189)</f>
        <v>4637.5600000000004</v>
      </c>
      <c r="S92" s="12">
        <f>+SUMIF(Zvf51!$A$2:$A$189,fp!$B92,Zvf51!$P$2:$P$189)</f>
        <v>104</v>
      </c>
      <c r="T92" s="18">
        <f>+SUMIF(Zvf51!$A$2:$A$189,fp!$B92,Zvf51!$AP$2:$AP$189)</f>
        <v>5358.96</v>
      </c>
      <c r="V92" s="12">
        <f t="shared" si="11"/>
        <v>0</v>
      </c>
      <c r="W92" s="12">
        <f t="shared" si="12"/>
        <v>-1.0000000000218279E-2</v>
      </c>
      <c r="X92" s="12">
        <f t="shared" si="13"/>
        <v>0</v>
      </c>
      <c r="Y92" s="12">
        <f t="shared" si="14"/>
        <v>-9.999999999308784E-3</v>
      </c>
      <c r="Z92" s="12">
        <f t="shared" si="15"/>
        <v>0</v>
      </c>
      <c r="AA92" s="12">
        <f t="shared" si="16"/>
        <v>0</v>
      </c>
    </row>
    <row r="93" spans="1:27" ht="15.75" customHeight="1" x14ac:dyDescent="0.2">
      <c r="A93" s="9">
        <v>89</v>
      </c>
      <c r="B93" s="10" t="s">
        <v>326</v>
      </c>
      <c r="C93" s="10" t="s">
        <v>384</v>
      </c>
      <c r="D93" s="11" t="s">
        <v>26</v>
      </c>
      <c r="E93" s="12">
        <v>145</v>
      </c>
      <c r="F93" s="12">
        <v>4139.0200000000004</v>
      </c>
      <c r="G93" s="12">
        <v>0</v>
      </c>
      <c r="H93" s="12">
        <v>0</v>
      </c>
      <c r="I93" s="12">
        <v>0</v>
      </c>
      <c r="J93" s="12">
        <v>0</v>
      </c>
      <c r="K93" s="12">
        <v>145</v>
      </c>
      <c r="L93" s="31">
        <v>4139.0200000000004</v>
      </c>
      <c r="M93" s="13"/>
      <c r="O93" s="12">
        <f>+SUMIF(Zvf51!$A$2:$A$189,fp!$B93,Zvf51!$F$2:$F$189)</f>
        <v>0</v>
      </c>
      <c r="P93" s="18">
        <f>+SUMIF(Zvf51!$A$2:$A$189,fp!$B93,Zvf51!$AF$2:$AF$189)</f>
        <v>0</v>
      </c>
      <c r="Q93" s="12">
        <f>-SUMIF(Zvf51!$A$2:$A$189,fp!$B93,Zvf51!$I$2:$I$189)</f>
        <v>0</v>
      </c>
      <c r="R93" s="24">
        <f>-SUMIF(Zvf51!$A$2:$A$189,fp!$B93,Zvf51!$AI$2:$AI$189)</f>
        <v>0</v>
      </c>
      <c r="S93" s="12">
        <f>+SUMIF(Zvf51!$A$2:$A$189,fp!$B93,Zvf51!$P$2:$P$189)</f>
        <v>145</v>
      </c>
      <c r="T93" s="18">
        <f>+SUMIF(Zvf51!$A$2:$A$189,fp!$B93,Zvf51!$AP$2:$AP$189)</f>
        <v>4139.0200000000004</v>
      </c>
      <c r="V93" s="12">
        <f t="shared" si="11"/>
        <v>0</v>
      </c>
      <c r="W93" s="12">
        <f t="shared" si="12"/>
        <v>0</v>
      </c>
      <c r="X93" s="12">
        <f t="shared" si="13"/>
        <v>0</v>
      </c>
      <c r="Y93" s="12">
        <f t="shared" si="14"/>
        <v>0</v>
      </c>
      <c r="Z93" s="12">
        <f t="shared" si="15"/>
        <v>0</v>
      </c>
      <c r="AA93" s="12">
        <f t="shared" si="16"/>
        <v>0</v>
      </c>
    </row>
    <row r="94" spans="1:27" s="21" customFormat="1" ht="25.5" customHeight="1" x14ac:dyDescent="0.2">
      <c r="A94" s="9">
        <v>90</v>
      </c>
      <c r="B94" s="10" t="s">
        <v>96</v>
      </c>
      <c r="C94" s="10" t="s">
        <v>97</v>
      </c>
      <c r="D94" s="11" t="s">
        <v>43</v>
      </c>
      <c r="E94" s="12">
        <v>96</v>
      </c>
      <c r="F94" s="12">
        <v>3074.45</v>
      </c>
      <c r="G94" s="12">
        <v>0</v>
      </c>
      <c r="H94" s="12">
        <v>0</v>
      </c>
      <c r="I94" s="12">
        <v>0</v>
      </c>
      <c r="J94" s="12">
        <v>0</v>
      </c>
      <c r="K94" s="12">
        <v>96</v>
      </c>
      <c r="L94" s="31">
        <v>3074.45</v>
      </c>
      <c r="M94" s="34"/>
      <c r="O94" s="12">
        <f>+SUMIF(Zvf51!$A$2:$A$189,fp!$B94,Zvf51!$F$2:$F$189)</f>
        <v>0</v>
      </c>
      <c r="P94" s="18">
        <f>+SUMIF(Zvf51!$A$2:$A$189,fp!$B94,Zvf51!$AF$2:$AF$189)</f>
        <v>0</v>
      </c>
      <c r="Q94" s="12">
        <f>-SUMIF(Zvf51!$A$2:$A$189,fp!$B94,Zvf51!$I$2:$I$189)</f>
        <v>0</v>
      </c>
      <c r="R94" s="24">
        <f>-SUMIF(Zvf51!$A$2:$A$189,fp!$B94,Zvf51!$AI$2:$AI$189)</f>
        <v>0</v>
      </c>
      <c r="S94" s="12">
        <f>+SUMIF(Zvf51!$A$2:$A$189,fp!$B94,Zvf51!$P$2:$P$189)</f>
        <v>96</v>
      </c>
      <c r="T94" s="18">
        <f>+SUMIF(Zvf51!$A$2:$A$189,fp!$B94,Zvf51!$AP$2:$AP$189)</f>
        <v>3074.45</v>
      </c>
      <c r="V94" s="28">
        <f t="shared" si="11"/>
        <v>0</v>
      </c>
      <c r="W94" s="28">
        <f t="shared" si="12"/>
        <v>0</v>
      </c>
      <c r="X94" s="28">
        <f t="shared" si="13"/>
        <v>0</v>
      </c>
      <c r="Y94" s="28">
        <f t="shared" si="14"/>
        <v>0</v>
      </c>
      <c r="Z94" s="28">
        <f t="shared" si="15"/>
        <v>0</v>
      </c>
      <c r="AA94" s="28">
        <f t="shared" si="16"/>
        <v>0</v>
      </c>
    </row>
    <row r="95" spans="1:27" ht="25.5" customHeight="1" x14ac:dyDescent="0.2">
      <c r="A95" s="9">
        <v>91</v>
      </c>
      <c r="B95" s="10" t="s">
        <v>525</v>
      </c>
      <c r="C95" s="10" t="s">
        <v>549</v>
      </c>
      <c r="D95" s="11" t="s">
        <v>26</v>
      </c>
      <c r="E95" s="12">
        <v>270</v>
      </c>
      <c r="F95" s="12">
        <v>14275.83</v>
      </c>
      <c r="G95" s="12">
        <v>5</v>
      </c>
      <c r="H95" s="12">
        <v>228.03</v>
      </c>
      <c r="I95" s="12">
        <v>46</v>
      </c>
      <c r="J95" s="12">
        <v>2426.1</v>
      </c>
      <c r="K95" s="12">
        <v>229</v>
      </c>
      <c r="L95" s="31">
        <v>12077.76</v>
      </c>
      <c r="M95" s="13"/>
      <c r="O95" s="12">
        <f>+SUMIF(Zvf51!$A$2:$A$189,fp!$B95,Zvf51!$F$2:$F$189)</f>
        <v>5</v>
      </c>
      <c r="P95" s="18">
        <f>+SUMIF(Zvf51!$A$2:$A$189,fp!$B95,Zvf51!$AF$2:$AF$189)</f>
        <v>228.03</v>
      </c>
      <c r="Q95" s="12">
        <f>-SUMIF(Zvf51!$A$2:$A$189,fp!$B95,Zvf51!$I$2:$I$189)</f>
        <v>46</v>
      </c>
      <c r="R95" s="24">
        <f>-SUMIF(Zvf51!$A$2:$A$189,fp!$B95,Zvf51!$AI$2:$AI$189)</f>
        <v>2426.1</v>
      </c>
      <c r="S95" s="12">
        <f>+SUMIF(Zvf51!$A$2:$A$189,fp!$B95,Zvf51!$P$2:$P$189)</f>
        <v>229</v>
      </c>
      <c r="T95" s="18">
        <f>+SUMIF(Zvf51!$A$2:$A$189,fp!$B95,Zvf51!$AP$2:$AP$189)</f>
        <v>12077.76</v>
      </c>
      <c r="V95" s="12">
        <f t="shared" si="11"/>
        <v>0</v>
      </c>
      <c r="W95" s="12">
        <f t="shared" si="12"/>
        <v>0</v>
      </c>
      <c r="X95" s="12">
        <f t="shared" si="13"/>
        <v>0</v>
      </c>
      <c r="Y95" s="12">
        <f t="shared" si="14"/>
        <v>0</v>
      </c>
      <c r="Z95" s="12">
        <f t="shared" si="15"/>
        <v>0</v>
      </c>
      <c r="AA95" s="28">
        <f t="shared" si="16"/>
        <v>0</v>
      </c>
    </row>
    <row r="96" spans="1:27" ht="25.5" customHeight="1" x14ac:dyDescent="0.2">
      <c r="A96" s="9">
        <v>92</v>
      </c>
      <c r="B96" s="10" t="s">
        <v>98</v>
      </c>
      <c r="C96" s="10" t="s">
        <v>99</v>
      </c>
      <c r="D96" s="11" t="s">
        <v>26</v>
      </c>
      <c r="E96" s="12">
        <v>787</v>
      </c>
      <c r="F96" s="12">
        <v>25040.639999999999</v>
      </c>
      <c r="G96" s="12">
        <v>0</v>
      </c>
      <c r="H96" s="12">
        <v>0</v>
      </c>
      <c r="I96" s="12">
        <v>0</v>
      </c>
      <c r="J96" s="12">
        <v>0</v>
      </c>
      <c r="K96" s="12">
        <v>787</v>
      </c>
      <c r="L96" s="31">
        <v>25040.639999999999</v>
      </c>
      <c r="M96" s="13"/>
      <c r="O96" s="12">
        <f>+SUMIF(Zvf51!$A$2:$A$189,fp!$B96,Zvf51!$F$2:$F$189)</f>
        <v>0</v>
      </c>
      <c r="P96" s="18">
        <f>+SUMIF(Zvf51!$A$2:$A$189,fp!$B96,Zvf51!$AF$2:$AF$189)</f>
        <v>0</v>
      </c>
      <c r="Q96" s="12">
        <f>-SUMIF(Zvf51!$A$2:$A$189,fp!$B96,Zvf51!$I$2:$I$189)</f>
        <v>0</v>
      </c>
      <c r="R96" s="24">
        <f>-SUMIF(Zvf51!$A$2:$A$189,fp!$B96,Zvf51!$AI$2:$AI$189)</f>
        <v>0</v>
      </c>
      <c r="S96" s="12">
        <f>+SUMIF(Zvf51!$A$2:$A$189,fp!$B96,Zvf51!$P$2:$P$189)</f>
        <v>787</v>
      </c>
      <c r="T96" s="18">
        <f>+SUMIF(Zvf51!$A$2:$A$189,fp!$B96,Zvf51!$AP$2:$AP$189)</f>
        <v>25040.639999999999</v>
      </c>
      <c r="V96" s="12">
        <f t="shared" si="11"/>
        <v>0</v>
      </c>
      <c r="W96" s="12">
        <f t="shared" si="12"/>
        <v>0</v>
      </c>
      <c r="X96" s="12">
        <f t="shared" si="13"/>
        <v>0</v>
      </c>
      <c r="Y96" s="12">
        <f t="shared" si="14"/>
        <v>0</v>
      </c>
      <c r="Z96" s="12">
        <f t="shared" si="15"/>
        <v>0</v>
      </c>
      <c r="AA96" s="12">
        <f t="shared" si="16"/>
        <v>0</v>
      </c>
    </row>
    <row r="97" spans="1:27" ht="25.5" customHeight="1" x14ac:dyDescent="0.2">
      <c r="A97" s="9">
        <v>93</v>
      </c>
      <c r="B97" s="10" t="s">
        <v>558</v>
      </c>
      <c r="C97" s="10" t="s">
        <v>571</v>
      </c>
      <c r="D97" s="11" t="s">
        <v>26</v>
      </c>
      <c r="E97" s="12">
        <v>13</v>
      </c>
      <c r="F97" s="12">
        <v>662.21</v>
      </c>
      <c r="G97" s="12">
        <v>4</v>
      </c>
      <c r="H97" s="12">
        <v>198.53</v>
      </c>
      <c r="I97" s="12">
        <v>10</v>
      </c>
      <c r="J97" s="12">
        <v>506.33</v>
      </c>
      <c r="K97" s="12">
        <v>7</v>
      </c>
      <c r="L97" s="31">
        <v>354.41</v>
      </c>
      <c r="M97" s="13"/>
      <c r="O97" s="12">
        <f>+SUMIF(Zvf51!$A$2:$A$189,fp!$B97,Zvf51!$F$2:$F$189)</f>
        <v>4</v>
      </c>
      <c r="P97" s="18">
        <f>+SUMIF(Zvf51!$A$2:$A$189,fp!$B97,Zvf51!$AF$2:$AF$189)</f>
        <v>198.53</v>
      </c>
      <c r="Q97" s="12">
        <f>-SUMIF(Zvf51!$A$2:$A$189,fp!$B97,Zvf51!$I$2:$I$189)</f>
        <v>10</v>
      </c>
      <c r="R97" s="24">
        <f>-SUMIF(Zvf51!$A$2:$A$189,fp!$B97,Zvf51!$AI$2:$AI$189)</f>
        <v>506.32</v>
      </c>
      <c r="S97" s="12">
        <f>+SUMIF(Zvf51!$A$2:$A$189,fp!$B97,Zvf51!$P$2:$P$189)</f>
        <v>7</v>
      </c>
      <c r="T97" s="18">
        <f>+SUMIF(Zvf51!$A$2:$A$189,fp!$B97,Zvf51!$AP$2:$AP$189)</f>
        <v>354.42</v>
      </c>
      <c r="V97" s="12">
        <f t="shared" si="11"/>
        <v>0</v>
      </c>
      <c r="W97" s="12">
        <f t="shared" si="12"/>
        <v>0</v>
      </c>
      <c r="X97" s="12">
        <f t="shared" si="13"/>
        <v>0</v>
      </c>
      <c r="Y97" s="12">
        <f t="shared" si="14"/>
        <v>-9.9999999999909051E-3</v>
      </c>
      <c r="Z97" s="12">
        <f t="shared" si="15"/>
        <v>0</v>
      </c>
      <c r="AA97" s="12">
        <f t="shared" si="16"/>
        <v>9.9999999999909051E-3</v>
      </c>
    </row>
    <row r="98" spans="1:27" ht="25.5" customHeight="1" x14ac:dyDescent="0.2">
      <c r="A98" s="9">
        <v>94</v>
      </c>
      <c r="B98" s="10" t="s">
        <v>100</v>
      </c>
      <c r="C98" s="10" t="s">
        <v>101</v>
      </c>
      <c r="D98" s="11" t="s">
        <v>26</v>
      </c>
      <c r="E98" s="12">
        <v>6384</v>
      </c>
      <c r="F98" s="12">
        <v>211898.44</v>
      </c>
      <c r="G98" s="12">
        <v>0</v>
      </c>
      <c r="H98" s="12">
        <v>0</v>
      </c>
      <c r="I98" s="12">
        <v>0</v>
      </c>
      <c r="J98" s="12">
        <v>0</v>
      </c>
      <c r="K98" s="12">
        <v>6384</v>
      </c>
      <c r="L98" s="31">
        <v>211898.44</v>
      </c>
      <c r="M98" s="13"/>
      <c r="O98" s="12">
        <f>+SUMIF(Zvf51!$A$2:$A$189,fp!$B98,Zvf51!$F$2:$F$189)</f>
        <v>0</v>
      </c>
      <c r="P98" s="18">
        <f>+SUMIF(Zvf51!$A$2:$A$189,fp!$B98,Zvf51!$AF$2:$AF$189)</f>
        <v>0</v>
      </c>
      <c r="Q98" s="12">
        <f>-SUMIF(Zvf51!$A$2:$A$189,fp!$B98,Zvf51!$I$2:$I$189)</f>
        <v>0</v>
      </c>
      <c r="R98" s="24">
        <f>-SUMIF(Zvf51!$A$2:$A$189,fp!$B98,Zvf51!$AI$2:$AI$189)</f>
        <v>0</v>
      </c>
      <c r="S98" s="12">
        <f>+SUMIF(Zvf51!$A$2:$A$189,fp!$B98,Zvf51!$P$2:$P$189)</f>
        <v>6384</v>
      </c>
      <c r="T98" s="18">
        <f>+SUMIF(Zvf51!$A$2:$A$189,fp!$B98,Zvf51!$AP$2:$AP$189)</f>
        <v>211898.44</v>
      </c>
      <c r="V98" s="12">
        <f t="shared" si="11"/>
        <v>0</v>
      </c>
      <c r="W98" s="12">
        <f t="shared" si="12"/>
        <v>0</v>
      </c>
      <c r="X98" s="12">
        <f t="shared" si="13"/>
        <v>0</v>
      </c>
      <c r="Y98" s="12">
        <f t="shared" si="14"/>
        <v>0</v>
      </c>
      <c r="Z98" s="12">
        <f t="shared" si="15"/>
        <v>0</v>
      </c>
      <c r="AA98" s="12">
        <f t="shared" si="16"/>
        <v>0</v>
      </c>
    </row>
    <row r="99" spans="1:27" ht="25.5" customHeight="1" x14ac:dyDescent="0.2">
      <c r="A99" s="9">
        <v>95</v>
      </c>
      <c r="B99" s="10" t="s">
        <v>102</v>
      </c>
      <c r="C99" s="10" t="s">
        <v>103</v>
      </c>
      <c r="D99" s="11" t="s">
        <v>43</v>
      </c>
      <c r="E99" s="12">
        <v>262</v>
      </c>
      <c r="F99" s="12">
        <v>7997.84</v>
      </c>
      <c r="G99" s="12">
        <v>0</v>
      </c>
      <c r="H99" s="12">
        <v>0</v>
      </c>
      <c r="I99" s="12">
        <v>0</v>
      </c>
      <c r="J99" s="12">
        <v>0</v>
      </c>
      <c r="K99" s="12">
        <v>262</v>
      </c>
      <c r="L99" s="31">
        <v>7997.84</v>
      </c>
      <c r="M99" s="13"/>
      <c r="O99" s="12">
        <f>+SUMIF(Zvf51!$A$2:$A$189,fp!$B99,Zvf51!$F$2:$F$189)</f>
        <v>0</v>
      </c>
      <c r="P99" s="18">
        <f>+SUMIF(Zvf51!$A$2:$A$189,fp!$B99,Zvf51!$AF$2:$AF$189)</f>
        <v>0</v>
      </c>
      <c r="Q99" s="12">
        <f>-SUMIF(Zvf51!$A$2:$A$189,fp!$B99,Zvf51!$I$2:$I$189)</f>
        <v>0</v>
      </c>
      <c r="R99" s="24">
        <f>-SUMIF(Zvf51!$A$2:$A$189,fp!$B99,Zvf51!$AI$2:$AI$189)</f>
        <v>0</v>
      </c>
      <c r="S99" s="12">
        <f>+SUMIF(Zvf51!$A$2:$A$189,fp!$B99,Zvf51!$P$2:$P$189)</f>
        <v>262</v>
      </c>
      <c r="T99" s="18">
        <f>+SUMIF(Zvf51!$A$2:$A$189,fp!$B99,Zvf51!$AP$2:$AP$189)</f>
        <v>7997.84</v>
      </c>
      <c r="V99" s="12">
        <f t="shared" si="11"/>
        <v>0</v>
      </c>
      <c r="W99" s="12">
        <f t="shared" si="12"/>
        <v>0</v>
      </c>
      <c r="X99" s="12">
        <f t="shared" si="13"/>
        <v>0</v>
      </c>
      <c r="Y99" s="12">
        <f t="shared" si="14"/>
        <v>0</v>
      </c>
      <c r="Z99" s="12">
        <f t="shared" si="15"/>
        <v>0</v>
      </c>
      <c r="AA99" s="12">
        <f t="shared" si="16"/>
        <v>0</v>
      </c>
    </row>
    <row r="100" spans="1:27" ht="25.5" customHeight="1" x14ac:dyDescent="0.2">
      <c r="A100" s="9">
        <v>96</v>
      </c>
      <c r="B100" s="10" t="s">
        <v>464</v>
      </c>
      <c r="C100" s="10" t="s">
        <v>474</v>
      </c>
      <c r="D100" s="11" t="s">
        <v>26</v>
      </c>
      <c r="E100" s="12">
        <v>56</v>
      </c>
      <c r="F100" s="12">
        <v>2028.04</v>
      </c>
      <c r="G100" s="12">
        <v>0</v>
      </c>
      <c r="H100" s="12">
        <v>0</v>
      </c>
      <c r="I100" s="12">
        <v>0</v>
      </c>
      <c r="J100" s="12">
        <v>0</v>
      </c>
      <c r="K100" s="12">
        <v>56</v>
      </c>
      <c r="L100" s="31">
        <v>2028.04</v>
      </c>
      <c r="M100" s="13"/>
      <c r="O100" s="12">
        <f>+SUMIF(Zvf51!$A$2:$A$189,fp!$B100,Zvf51!$F$2:$F$189)</f>
        <v>0</v>
      </c>
      <c r="P100" s="18">
        <f>+SUMIF(Zvf51!$A$2:$A$189,fp!$B100,Zvf51!$AF$2:$AF$189)</f>
        <v>0</v>
      </c>
      <c r="Q100" s="12">
        <f>-SUMIF(Zvf51!$A$2:$A$189,fp!$B100,Zvf51!$I$2:$I$189)</f>
        <v>0</v>
      </c>
      <c r="R100" s="24">
        <f>-SUMIF(Zvf51!$A$2:$A$189,fp!$B100,Zvf51!$AI$2:$AI$189)</f>
        <v>0</v>
      </c>
      <c r="S100" s="12">
        <f>+SUMIF(Zvf51!$A$2:$A$189,fp!$B100,Zvf51!$P$2:$P$189)</f>
        <v>56</v>
      </c>
      <c r="T100" s="18">
        <f>+SUMIF(Zvf51!$A$2:$A$189,fp!$B100,Zvf51!$AP$2:$AP$189)</f>
        <v>2028.04</v>
      </c>
      <c r="V100" s="12">
        <f t="shared" si="11"/>
        <v>0</v>
      </c>
      <c r="W100" s="12">
        <f t="shared" si="12"/>
        <v>0</v>
      </c>
      <c r="X100" s="12">
        <f t="shared" si="13"/>
        <v>0</v>
      </c>
      <c r="Y100" s="12">
        <f t="shared" si="14"/>
        <v>0</v>
      </c>
      <c r="Z100" s="12">
        <f t="shared" si="15"/>
        <v>0</v>
      </c>
      <c r="AA100" s="35">
        <f t="shared" si="16"/>
        <v>0</v>
      </c>
    </row>
    <row r="101" spans="1:27" ht="25.5" customHeight="1" x14ac:dyDescent="0.2">
      <c r="A101" s="9">
        <v>97</v>
      </c>
      <c r="B101" s="10" t="s">
        <v>336</v>
      </c>
      <c r="C101" s="10" t="s">
        <v>383</v>
      </c>
      <c r="D101" s="11" t="s">
        <v>26</v>
      </c>
      <c r="E101" s="12">
        <v>2798</v>
      </c>
      <c r="F101" s="12">
        <v>88010.62</v>
      </c>
      <c r="G101" s="12">
        <v>0</v>
      </c>
      <c r="H101" s="12">
        <v>0</v>
      </c>
      <c r="I101" s="12">
        <v>0</v>
      </c>
      <c r="J101" s="12">
        <v>0</v>
      </c>
      <c r="K101" s="12">
        <v>2798</v>
      </c>
      <c r="L101" s="31">
        <v>88010.62</v>
      </c>
      <c r="M101" s="13"/>
      <c r="O101" s="12">
        <f>+SUMIF(Zvf51!$A$2:$A$189,fp!$B101,Zvf51!$F$2:$F$189)</f>
        <v>0</v>
      </c>
      <c r="P101" s="18">
        <f>+SUMIF(Zvf51!$A$2:$A$189,fp!$B101,Zvf51!$AF$2:$AF$189)</f>
        <v>0</v>
      </c>
      <c r="Q101" s="12">
        <f>-SUMIF(Zvf51!$A$2:$A$189,fp!$B101,Zvf51!$I$2:$I$189)</f>
        <v>0</v>
      </c>
      <c r="R101" s="24">
        <f>-SUMIF(Zvf51!$A$2:$A$189,fp!$B101,Zvf51!$AI$2:$AI$189)</f>
        <v>0</v>
      </c>
      <c r="S101" s="12">
        <f>+SUMIF(Zvf51!$A$2:$A$189,fp!$B101,Zvf51!$P$2:$P$189)</f>
        <v>2798</v>
      </c>
      <c r="T101" s="18">
        <f>+SUMIF(Zvf51!$A$2:$A$189,fp!$B101,Zvf51!$AP$2:$AP$189)</f>
        <v>88010.62</v>
      </c>
      <c r="V101" s="12">
        <f t="shared" si="11"/>
        <v>0</v>
      </c>
      <c r="W101" s="12">
        <f t="shared" si="12"/>
        <v>0</v>
      </c>
      <c r="X101" s="12">
        <f t="shared" si="13"/>
        <v>0</v>
      </c>
      <c r="Y101" s="12">
        <f t="shared" si="14"/>
        <v>0</v>
      </c>
      <c r="Z101" s="12">
        <f t="shared" si="15"/>
        <v>0</v>
      </c>
      <c r="AA101" s="12">
        <f t="shared" si="16"/>
        <v>0</v>
      </c>
    </row>
    <row r="102" spans="1:27" ht="25.5" customHeight="1" x14ac:dyDescent="0.2">
      <c r="A102" s="9">
        <v>98</v>
      </c>
      <c r="B102" s="10" t="s">
        <v>466</v>
      </c>
      <c r="C102" s="10" t="s">
        <v>475</v>
      </c>
      <c r="D102" s="11" t="s">
        <v>26</v>
      </c>
      <c r="E102" s="12">
        <v>53</v>
      </c>
      <c r="F102" s="12">
        <v>1645.41</v>
      </c>
      <c r="G102" s="12">
        <v>0</v>
      </c>
      <c r="H102" s="12">
        <v>0</v>
      </c>
      <c r="I102" s="12">
        <v>0</v>
      </c>
      <c r="J102" s="12">
        <v>0</v>
      </c>
      <c r="K102" s="12">
        <v>53</v>
      </c>
      <c r="L102" s="31">
        <v>1645.41</v>
      </c>
      <c r="M102" s="13"/>
      <c r="O102" s="12">
        <f>+SUMIF(Zvf51!$A$2:$A$189,fp!$B102,Zvf51!$F$2:$F$189)</f>
        <v>0</v>
      </c>
      <c r="P102" s="18">
        <f>+SUMIF(Zvf51!$A$2:$A$189,fp!$B102,Zvf51!$AF$2:$AF$189)</f>
        <v>0</v>
      </c>
      <c r="Q102" s="12">
        <f>-SUMIF(Zvf51!$A$2:$A$189,fp!$B102,Zvf51!$I$2:$I$189)</f>
        <v>0</v>
      </c>
      <c r="R102" s="24">
        <f>-SUMIF(Zvf51!$A$2:$A$189,fp!$B102,Zvf51!$AI$2:$AI$189)</f>
        <v>0</v>
      </c>
      <c r="S102" s="12">
        <f>+SUMIF(Zvf51!$A$2:$A$189,fp!$B102,Zvf51!$P$2:$P$189)</f>
        <v>53</v>
      </c>
      <c r="T102" s="18">
        <f>+SUMIF(Zvf51!$A$2:$A$189,fp!$B102,Zvf51!$AP$2:$AP$189)</f>
        <v>1645.41</v>
      </c>
      <c r="V102" s="12">
        <f t="shared" si="11"/>
        <v>0</v>
      </c>
      <c r="W102" s="12">
        <f t="shared" si="12"/>
        <v>0</v>
      </c>
      <c r="X102" s="12">
        <f t="shared" si="13"/>
        <v>0</v>
      </c>
      <c r="Y102" s="12">
        <f t="shared" si="14"/>
        <v>0</v>
      </c>
      <c r="Z102" s="12">
        <f t="shared" si="15"/>
        <v>0</v>
      </c>
      <c r="AA102" s="28">
        <f t="shared" si="16"/>
        <v>0</v>
      </c>
    </row>
    <row r="103" spans="1:27" ht="26.25" customHeight="1" x14ac:dyDescent="0.2">
      <c r="A103" s="9">
        <v>99</v>
      </c>
      <c r="B103" s="10" t="s">
        <v>104</v>
      </c>
      <c r="C103" s="10" t="s">
        <v>105</v>
      </c>
      <c r="D103" s="11" t="s">
        <v>26</v>
      </c>
      <c r="E103" s="12">
        <v>4213</v>
      </c>
      <c r="F103" s="12">
        <v>136628.72</v>
      </c>
      <c r="G103" s="12">
        <v>0</v>
      </c>
      <c r="H103" s="12">
        <v>0</v>
      </c>
      <c r="I103" s="12">
        <v>0</v>
      </c>
      <c r="J103" s="12">
        <v>0</v>
      </c>
      <c r="K103" s="12">
        <v>4213</v>
      </c>
      <c r="L103" s="31">
        <v>136628.72</v>
      </c>
      <c r="M103" s="13"/>
      <c r="O103" s="12">
        <f>+SUMIF(Zvf51!$A$2:$A$189,fp!$B103,Zvf51!$F$2:$F$189)</f>
        <v>0</v>
      </c>
      <c r="P103" s="18">
        <f>+SUMIF(Zvf51!$A$2:$A$189,fp!$B103,Zvf51!$AF$2:$AF$189)</f>
        <v>0</v>
      </c>
      <c r="Q103" s="12">
        <f>-SUMIF(Zvf51!$A$2:$A$189,fp!$B103,Zvf51!$I$2:$I$189)</f>
        <v>0</v>
      </c>
      <c r="R103" s="24">
        <f>-SUMIF(Zvf51!$A$2:$A$189,fp!$B103,Zvf51!$AI$2:$AI$189)</f>
        <v>0</v>
      </c>
      <c r="S103" s="12">
        <f>+SUMIF(Zvf51!$A$2:$A$189,fp!$B103,Zvf51!$P$2:$P$189)</f>
        <v>4213</v>
      </c>
      <c r="T103" s="18">
        <f>+SUMIF(Zvf51!$A$2:$A$189,fp!$B103,Zvf51!$AP$2:$AP$189)</f>
        <v>136628.71</v>
      </c>
      <c r="V103" s="12">
        <f t="shared" si="11"/>
        <v>0</v>
      </c>
      <c r="W103" s="12">
        <f t="shared" si="12"/>
        <v>0</v>
      </c>
      <c r="X103" s="12">
        <f t="shared" si="13"/>
        <v>0</v>
      </c>
      <c r="Y103" s="12">
        <f t="shared" si="14"/>
        <v>0</v>
      </c>
      <c r="Z103" s="12">
        <f t="shared" si="15"/>
        <v>0</v>
      </c>
      <c r="AA103" s="12">
        <f t="shared" si="16"/>
        <v>-1.0000000009313226E-2</v>
      </c>
    </row>
    <row r="104" spans="1:27" ht="25.5" customHeight="1" x14ac:dyDescent="0.2">
      <c r="A104" s="9">
        <v>100</v>
      </c>
      <c r="B104" s="10" t="s">
        <v>585</v>
      </c>
      <c r="C104" s="10" t="s">
        <v>600</v>
      </c>
      <c r="D104" s="11" t="s">
        <v>26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31">
        <v>0</v>
      </c>
      <c r="M104" s="13"/>
      <c r="O104" s="12">
        <f>+SUMIF(Zvf51!$A$2:$A$189,fp!$B104,Zvf51!$F$2:$F$189)</f>
        <v>0</v>
      </c>
      <c r="P104" s="18">
        <f>+SUMIF(Zvf51!$A$2:$A$189,fp!$B104,Zvf51!$AF$2:$AF$189)</f>
        <v>0</v>
      </c>
      <c r="Q104" s="12">
        <f>-SUMIF(Zvf51!$A$2:$A$189,fp!$B104,Zvf51!$I$2:$I$189)</f>
        <v>0</v>
      </c>
      <c r="R104" s="24">
        <f>-SUMIF(Zvf51!$A$2:$A$189,fp!$B104,Zvf51!$AI$2:$AI$189)</f>
        <v>0</v>
      </c>
      <c r="S104" s="12">
        <f>+SUMIF(Zvf51!$A$2:$A$189,fp!$B104,Zvf51!$P$2:$P$189)</f>
        <v>0</v>
      </c>
      <c r="T104" s="18">
        <f>+SUMIF(Zvf51!$A$2:$A$189,fp!$B104,Zvf51!$AP$2:$AP$189)</f>
        <v>0</v>
      </c>
      <c r="V104" s="12">
        <f t="shared" si="11"/>
        <v>0</v>
      </c>
      <c r="W104" s="12">
        <f t="shared" si="12"/>
        <v>0</v>
      </c>
      <c r="X104" s="12">
        <f t="shared" si="13"/>
        <v>0</v>
      </c>
      <c r="Y104" s="12">
        <f t="shared" si="14"/>
        <v>0</v>
      </c>
      <c r="Z104" s="12">
        <f t="shared" si="15"/>
        <v>0</v>
      </c>
      <c r="AA104" s="12">
        <f t="shared" si="16"/>
        <v>0</v>
      </c>
    </row>
    <row r="105" spans="1:27" ht="25.5" customHeight="1" x14ac:dyDescent="0.2">
      <c r="A105" s="9">
        <v>101</v>
      </c>
      <c r="B105" s="10" t="s">
        <v>574</v>
      </c>
      <c r="C105" s="10" t="s">
        <v>578</v>
      </c>
      <c r="D105" s="11" t="s">
        <v>26</v>
      </c>
      <c r="E105" s="12">
        <v>72</v>
      </c>
      <c r="F105" s="12">
        <v>3128.15</v>
      </c>
      <c r="G105" s="12">
        <v>16</v>
      </c>
      <c r="H105" s="12">
        <v>548.20000000000005</v>
      </c>
      <c r="I105" s="12">
        <v>0</v>
      </c>
      <c r="J105" s="12">
        <v>0</v>
      </c>
      <c r="K105" s="12">
        <v>88</v>
      </c>
      <c r="L105" s="31">
        <v>3676.35</v>
      </c>
      <c r="M105" s="13"/>
      <c r="O105" s="12">
        <f>+SUMIF(Zvf51!$A$2:$A$189,fp!$B105,Zvf51!$F$2:$F$189)</f>
        <v>16</v>
      </c>
      <c r="P105" s="18">
        <f>+SUMIF(Zvf51!$A$2:$A$189,fp!$B105,Zvf51!$AF$2:$AF$189)</f>
        <v>548.20000000000005</v>
      </c>
      <c r="Q105" s="12">
        <f>-SUMIF(Zvf51!$A$2:$A$189,fp!$B105,Zvf51!$I$2:$I$189)</f>
        <v>0</v>
      </c>
      <c r="R105" s="24">
        <f>-SUMIF(Zvf51!$A$2:$A$189,fp!$B105,Zvf51!$AI$2:$AI$189)</f>
        <v>0</v>
      </c>
      <c r="S105" s="12">
        <f>+SUMIF(Zvf51!$A$2:$A$189,fp!$B105,Zvf51!$P$2:$P$189)</f>
        <v>88</v>
      </c>
      <c r="T105" s="18">
        <f>+SUMIF(Zvf51!$A$2:$A$189,fp!$B105,Zvf51!$AP$2:$AP$189)</f>
        <v>3676.35</v>
      </c>
      <c r="V105" s="12">
        <f t="shared" si="11"/>
        <v>0</v>
      </c>
      <c r="W105" s="12">
        <f t="shared" si="12"/>
        <v>0</v>
      </c>
      <c r="X105" s="12">
        <f t="shared" si="13"/>
        <v>0</v>
      </c>
      <c r="Y105" s="12">
        <f t="shared" si="14"/>
        <v>0</v>
      </c>
      <c r="Z105" s="12">
        <f t="shared" si="15"/>
        <v>0</v>
      </c>
      <c r="AA105" s="12">
        <f t="shared" si="16"/>
        <v>0</v>
      </c>
    </row>
    <row r="106" spans="1:27" ht="25.5" customHeight="1" x14ac:dyDescent="0.2">
      <c r="A106" s="9">
        <v>102</v>
      </c>
      <c r="B106" s="10" t="s">
        <v>106</v>
      </c>
      <c r="C106" s="10" t="s">
        <v>107</v>
      </c>
      <c r="D106" s="11" t="s">
        <v>26</v>
      </c>
      <c r="E106" s="12">
        <v>1578</v>
      </c>
      <c r="F106" s="12">
        <v>67387.28</v>
      </c>
      <c r="G106" s="12">
        <v>360</v>
      </c>
      <c r="H106" s="12">
        <v>12587.11</v>
      </c>
      <c r="I106" s="12">
        <v>1899</v>
      </c>
      <c r="J106" s="12">
        <v>78365</v>
      </c>
      <c r="K106" s="12">
        <v>39</v>
      </c>
      <c r="L106" s="31">
        <v>1609.39</v>
      </c>
      <c r="M106" s="13"/>
      <c r="O106" s="12">
        <f>+SUMIF(Zvf51!$A$2:$A$189,fp!$B106,Zvf51!$F$2:$F$189)</f>
        <v>360</v>
      </c>
      <c r="P106" s="18">
        <f>+SUMIF(Zvf51!$A$2:$A$189,fp!$B106,Zvf51!$AF$2:$AF$189)</f>
        <v>12587.11</v>
      </c>
      <c r="Q106" s="12">
        <f>-SUMIF(Zvf51!$A$2:$A$189,fp!$B106,Zvf51!$I$2:$I$189)</f>
        <v>1899</v>
      </c>
      <c r="R106" s="24">
        <f>-SUMIF(Zvf51!$A$2:$A$189,fp!$B106,Zvf51!$AI$2:$AI$189)</f>
        <v>78365</v>
      </c>
      <c r="S106" s="12">
        <f>+SUMIF(Zvf51!$A$2:$A$189,fp!$B106,Zvf51!$P$2:$P$189)</f>
        <v>39</v>
      </c>
      <c r="T106" s="18">
        <f>+SUMIF(Zvf51!$A$2:$A$189,fp!$B106,Zvf51!$AP$2:$AP$189)</f>
        <v>1609.39</v>
      </c>
      <c r="V106" s="12">
        <f t="shared" si="11"/>
        <v>0</v>
      </c>
      <c r="W106" s="12">
        <f t="shared" si="12"/>
        <v>0</v>
      </c>
      <c r="X106" s="12">
        <f t="shared" si="13"/>
        <v>0</v>
      </c>
      <c r="Y106" s="12">
        <f t="shared" si="14"/>
        <v>0</v>
      </c>
      <c r="Z106" s="12">
        <f t="shared" si="15"/>
        <v>0</v>
      </c>
      <c r="AA106" s="12">
        <f t="shared" si="16"/>
        <v>0</v>
      </c>
    </row>
    <row r="107" spans="1:27" ht="15.75" customHeight="1" x14ac:dyDescent="0.2">
      <c r="A107" s="9">
        <v>103</v>
      </c>
      <c r="B107" s="10" t="s">
        <v>108</v>
      </c>
      <c r="C107" s="10" t="s">
        <v>539</v>
      </c>
      <c r="D107" s="11" t="s">
        <v>43</v>
      </c>
      <c r="E107" s="12">
        <v>1250</v>
      </c>
      <c r="F107" s="12">
        <v>48704.24</v>
      </c>
      <c r="G107" s="12">
        <v>12</v>
      </c>
      <c r="H107" s="12">
        <v>385.61</v>
      </c>
      <c r="I107" s="12">
        <v>996</v>
      </c>
      <c r="J107" s="12">
        <v>38742.86</v>
      </c>
      <c r="K107" s="12">
        <v>266</v>
      </c>
      <c r="L107" s="31">
        <v>10346.99</v>
      </c>
      <c r="M107" s="13"/>
      <c r="O107" s="12">
        <f>+SUMIF(Zvf51!$A$2:$A$189,fp!$B107,Zvf51!$F$2:$F$189)</f>
        <v>12</v>
      </c>
      <c r="P107" s="18">
        <f>+SUMIF(Zvf51!$A$2:$A$189,fp!$B107,Zvf51!$AF$2:$AF$189)</f>
        <v>385.61</v>
      </c>
      <c r="Q107" s="12">
        <f>-SUMIF(Zvf51!$A$2:$A$189,fp!$B107,Zvf51!$I$2:$I$189)</f>
        <v>996</v>
      </c>
      <c r="R107" s="24">
        <f>-SUMIF(Zvf51!$A$2:$A$189,fp!$B107,Zvf51!$AI$2:$AI$189)</f>
        <v>38742.86</v>
      </c>
      <c r="S107" s="12">
        <f>+SUMIF(Zvf51!$A$2:$A$189,fp!$B107,Zvf51!$P$2:$P$189)</f>
        <v>266</v>
      </c>
      <c r="T107" s="18">
        <f>+SUMIF(Zvf51!$A$2:$A$189,fp!$B107,Zvf51!$AP$2:$AP$189)</f>
        <v>10346.99</v>
      </c>
      <c r="V107" s="12">
        <f t="shared" si="11"/>
        <v>0</v>
      </c>
      <c r="W107" s="12">
        <f t="shared" si="12"/>
        <v>0</v>
      </c>
      <c r="X107" s="12">
        <f t="shared" si="13"/>
        <v>0</v>
      </c>
      <c r="Y107" s="12">
        <f t="shared" si="14"/>
        <v>0</v>
      </c>
      <c r="Z107" s="12">
        <f t="shared" si="15"/>
        <v>0</v>
      </c>
      <c r="AA107" s="28">
        <f t="shared" si="16"/>
        <v>0</v>
      </c>
    </row>
    <row r="108" spans="1:27" ht="15.75" customHeight="1" x14ac:dyDescent="0.2">
      <c r="A108" s="9">
        <v>104</v>
      </c>
      <c r="B108" s="10" t="s">
        <v>109</v>
      </c>
      <c r="C108" s="10" t="s">
        <v>540</v>
      </c>
      <c r="D108" s="11" t="s">
        <v>26</v>
      </c>
      <c r="E108" s="12">
        <v>239</v>
      </c>
      <c r="F108" s="12">
        <v>7930.48</v>
      </c>
      <c r="G108" s="12">
        <v>4</v>
      </c>
      <c r="H108" s="12">
        <v>127.82</v>
      </c>
      <c r="I108" s="12">
        <v>0</v>
      </c>
      <c r="J108" s="12">
        <v>0</v>
      </c>
      <c r="K108" s="12">
        <v>243</v>
      </c>
      <c r="L108" s="31">
        <v>8058.3</v>
      </c>
      <c r="M108" s="13"/>
      <c r="O108" s="12">
        <f>+SUMIF(Zvf51!$A$2:$A$189,fp!$B108,Zvf51!$F$2:$F$189)</f>
        <v>4</v>
      </c>
      <c r="P108" s="18">
        <f>+SUMIF(Zvf51!$A$2:$A$189,fp!$B108,Zvf51!$AF$2:$AF$189)</f>
        <v>127.82</v>
      </c>
      <c r="Q108" s="12">
        <f>-SUMIF(Zvf51!$A$2:$A$189,fp!$B108,Zvf51!$I$2:$I$189)</f>
        <v>0</v>
      </c>
      <c r="R108" s="24">
        <f>-SUMIF(Zvf51!$A$2:$A$189,fp!$B108,Zvf51!$AI$2:$AI$189)</f>
        <v>0</v>
      </c>
      <c r="S108" s="12">
        <f>+SUMIF(Zvf51!$A$2:$A$189,fp!$B108,Zvf51!$P$2:$P$189)</f>
        <v>243</v>
      </c>
      <c r="T108" s="18">
        <f>+SUMIF(Zvf51!$A$2:$A$189,fp!$B108,Zvf51!$AP$2:$AP$189)</f>
        <v>8058.3</v>
      </c>
      <c r="V108" s="12">
        <f t="shared" si="11"/>
        <v>0</v>
      </c>
      <c r="W108" s="12">
        <f t="shared" si="12"/>
        <v>0</v>
      </c>
      <c r="X108" s="12">
        <f t="shared" si="13"/>
        <v>0</v>
      </c>
      <c r="Y108" s="12">
        <f t="shared" si="14"/>
        <v>0</v>
      </c>
      <c r="Z108" s="12">
        <f t="shared" si="15"/>
        <v>0</v>
      </c>
      <c r="AA108" s="12">
        <f t="shared" si="16"/>
        <v>0</v>
      </c>
    </row>
    <row r="109" spans="1:27" ht="15.75" customHeight="1" x14ac:dyDescent="0.2">
      <c r="A109" s="9">
        <v>105</v>
      </c>
      <c r="B109" s="10" t="s">
        <v>356</v>
      </c>
      <c r="C109" s="10" t="s">
        <v>550</v>
      </c>
      <c r="D109" s="11" t="s">
        <v>26</v>
      </c>
      <c r="E109" s="12">
        <v>3524</v>
      </c>
      <c r="F109" s="12">
        <v>166505.09</v>
      </c>
      <c r="G109" s="12">
        <v>2422</v>
      </c>
      <c r="H109" s="12">
        <v>93321.46</v>
      </c>
      <c r="I109" s="12">
        <v>5729</v>
      </c>
      <c r="J109" s="12">
        <v>250344.13</v>
      </c>
      <c r="K109" s="12">
        <v>217</v>
      </c>
      <c r="L109" s="31">
        <v>9482.42</v>
      </c>
      <c r="M109" s="13"/>
      <c r="O109" s="12">
        <f>+SUMIF(Zvf51!$A$2:$A$189,fp!$B109,Zvf51!$F$2:$F$189)</f>
        <v>2422</v>
      </c>
      <c r="P109" s="18">
        <f>+SUMIF(Zvf51!$A$2:$A$189,fp!$B109,Zvf51!$AF$2:$AF$189)</f>
        <v>93321.46</v>
      </c>
      <c r="Q109" s="12">
        <f>-SUMIF(Zvf51!$A$2:$A$189,fp!$B109,Zvf51!$I$2:$I$189)</f>
        <v>5729</v>
      </c>
      <c r="R109" s="24">
        <f>-SUMIF(Zvf51!$A$2:$A$189,fp!$B109,Zvf51!$AI$2:$AI$189)</f>
        <v>250344.14</v>
      </c>
      <c r="S109" s="12">
        <f>+SUMIF(Zvf51!$A$2:$A$189,fp!$B109,Zvf51!$P$2:$P$189)</f>
        <v>217</v>
      </c>
      <c r="T109" s="18">
        <f>+SUMIF(Zvf51!$A$2:$A$189,fp!$B109,Zvf51!$AP$2:$AP$189)</f>
        <v>9482.4</v>
      </c>
      <c r="V109" s="12">
        <f t="shared" si="11"/>
        <v>0</v>
      </c>
      <c r="W109" s="12">
        <f t="shared" si="12"/>
        <v>0</v>
      </c>
      <c r="X109" s="12">
        <f t="shared" si="13"/>
        <v>0</v>
      </c>
      <c r="Y109" s="12">
        <f t="shared" si="14"/>
        <v>1.0000000009313226E-2</v>
      </c>
      <c r="Z109" s="12">
        <f t="shared" si="15"/>
        <v>0</v>
      </c>
      <c r="AA109" s="12">
        <f t="shared" si="16"/>
        <v>-2.0000000000436557E-2</v>
      </c>
    </row>
    <row r="110" spans="1:27" ht="15.75" customHeight="1" x14ac:dyDescent="0.2">
      <c r="A110" s="9">
        <v>106</v>
      </c>
      <c r="B110" s="10" t="s">
        <v>110</v>
      </c>
      <c r="C110" s="10" t="s">
        <v>111</v>
      </c>
      <c r="D110" s="11" t="s">
        <v>26</v>
      </c>
      <c r="E110" s="12">
        <v>613</v>
      </c>
      <c r="F110" s="12">
        <v>27224.83</v>
      </c>
      <c r="G110" s="12">
        <v>15</v>
      </c>
      <c r="H110" s="12">
        <v>563.28</v>
      </c>
      <c r="I110" s="12">
        <v>564</v>
      </c>
      <c r="J110" s="12">
        <v>24956.2</v>
      </c>
      <c r="K110" s="12">
        <v>64</v>
      </c>
      <c r="L110" s="31">
        <v>2831.91</v>
      </c>
      <c r="M110" s="13"/>
      <c r="O110" s="12">
        <f>+SUMIF(Zvf51!$A$2:$A$189,fp!$B110,Zvf51!$F$2:$F$189)</f>
        <v>15</v>
      </c>
      <c r="P110" s="18">
        <f>+SUMIF(Zvf51!$A$2:$A$189,fp!$B110,Zvf51!$AF$2:$AF$189)</f>
        <v>563.28</v>
      </c>
      <c r="Q110" s="12">
        <f>-SUMIF(Zvf51!$A$2:$A$189,fp!$B110,Zvf51!$I$2:$I$189)</f>
        <v>564</v>
      </c>
      <c r="R110" s="24">
        <f>-SUMIF(Zvf51!$A$2:$A$189,fp!$B110,Zvf51!$AI$2:$AI$189)</f>
        <v>24956.2</v>
      </c>
      <c r="S110" s="12">
        <f>+SUMIF(Zvf51!$A$2:$A$189,fp!$B110,Zvf51!$P$2:$P$189)</f>
        <v>64</v>
      </c>
      <c r="T110" s="18">
        <f>+SUMIF(Zvf51!$A$2:$A$189,fp!$B110,Zvf51!$AP$2:$AP$189)</f>
        <v>2831.91</v>
      </c>
      <c r="V110" s="12">
        <f t="shared" si="11"/>
        <v>0</v>
      </c>
      <c r="W110" s="12">
        <f t="shared" si="12"/>
        <v>0</v>
      </c>
      <c r="X110" s="12">
        <f t="shared" si="13"/>
        <v>0</v>
      </c>
      <c r="Y110" s="12">
        <f t="shared" si="14"/>
        <v>0</v>
      </c>
      <c r="Z110" s="12">
        <f t="shared" si="15"/>
        <v>0</v>
      </c>
      <c r="AA110" s="12">
        <f t="shared" si="16"/>
        <v>0</v>
      </c>
    </row>
    <row r="111" spans="1:27" ht="14.25" customHeight="1" x14ac:dyDescent="0.2">
      <c r="A111" s="9">
        <v>107</v>
      </c>
      <c r="B111" s="10" t="s">
        <v>112</v>
      </c>
      <c r="C111" s="10" t="s">
        <v>113</v>
      </c>
      <c r="D111" s="11" t="s">
        <v>26</v>
      </c>
      <c r="E111" s="12">
        <v>925</v>
      </c>
      <c r="F111" s="12">
        <v>36949.75</v>
      </c>
      <c r="G111" s="12">
        <v>15</v>
      </c>
      <c r="H111" s="12">
        <v>491.82</v>
      </c>
      <c r="I111" s="12">
        <v>796</v>
      </c>
      <c r="J111" s="12">
        <v>31705.84</v>
      </c>
      <c r="K111" s="12">
        <v>144</v>
      </c>
      <c r="L111" s="31">
        <v>5735.73</v>
      </c>
      <c r="M111" s="13"/>
      <c r="O111" s="12">
        <f>+SUMIF(Zvf51!$A$2:$A$189,fp!$B111,Zvf51!$F$2:$F$189)</f>
        <v>15</v>
      </c>
      <c r="P111" s="18">
        <f>+SUMIF(Zvf51!$A$2:$A$189,fp!$B111,Zvf51!$AF$2:$AF$189)</f>
        <v>491.82</v>
      </c>
      <c r="Q111" s="12">
        <f>-SUMIF(Zvf51!$A$2:$A$189,fp!$B111,Zvf51!$I$2:$I$189)</f>
        <v>796</v>
      </c>
      <c r="R111" s="24">
        <f>-SUMIF(Zvf51!$A$2:$A$189,fp!$B111,Zvf51!$AI$2:$AI$189)</f>
        <v>31705.84</v>
      </c>
      <c r="S111" s="12">
        <f>+SUMIF(Zvf51!$A$2:$A$189,fp!$B111,Zvf51!$P$2:$P$189)</f>
        <v>144</v>
      </c>
      <c r="T111" s="18">
        <f>+SUMIF(Zvf51!$A$2:$A$189,fp!$B111,Zvf51!$AP$2:$AP$189)</f>
        <v>5735.73</v>
      </c>
      <c r="V111" s="12">
        <f t="shared" si="11"/>
        <v>0</v>
      </c>
      <c r="W111" s="12">
        <f t="shared" si="12"/>
        <v>0</v>
      </c>
      <c r="X111" s="12">
        <f t="shared" si="13"/>
        <v>0</v>
      </c>
      <c r="Y111" s="12">
        <f t="shared" si="14"/>
        <v>0</v>
      </c>
      <c r="Z111" s="12">
        <f t="shared" si="15"/>
        <v>0</v>
      </c>
      <c r="AA111" s="12">
        <f t="shared" si="16"/>
        <v>0</v>
      </c>
    </row>
    <row r="112" spans="1:27" ht="12.75" customHeight="1" x14ac:dyDescent="0.2">
      <c r="A112" s="9">
        <v>108</v>
      </c>
      <c r="B112" s="10" t="s">
        <v>114</v>
      </c>
      <c r="C112" s="10" t="s">
        <v>115</v>
      </c>
      <c r="D112" s="11" t="s">
        <v>26</v>
      </c>
      <c r="E112" s="12">
        <v>292</v>
      </c>
      <c r="F112" s="12">
        <v>10818.99</v>
      </c>
      <c r="G112" s="12">
        <v>202</v>
      </c>
      <c r="H112" s="12">
        <v>6627.32</v>
      </c>
      <c r="I112" s="12">
        <v>465</v>
      </c>
      <c r="J112" s="12">
        <v>16422.13</v>
      </c>
      <c r="K112" s="12">
        <v>29</v>
      </c>
      <c r="L112" s="31">
        <v>1024.18</v>
      </c>
      <c r="M112" s="13"/>
      <c r="O112" s="12">
        <f>+SUMIF(Zvf51!$A$2:$A$189,fp!$B112,Zvf51!$F$2:$F$189)</f>
        <v>202</v>
      </c>
      <c r="P112" s="18">
        <f>+SUMIF(Zvf51!$A$2:$A$189,fp!$B112,Zvf51!$AF$2:$AF$189)</f>
        <v>6627.31</v>
      </c>
      <c r="Q112" s="12">
        <f>-SUMIF(Zvf51!$A$2:$A$189,fp!$B112,Zvf51!$I$2:$I$189)</f>
        <v>465</v>
      </c>
      <c r="R112" s="24">
        <f>-SUMIF(Zvf51!$A$2:$A$189,fp!$B112,Zvf51!$AI$2:$AI$189)</f>
        <v>16422.13</v>
      </c>
      <c r="S112" s="12">
        <f>+SUMIF(Zvf51!$A$2:$A$189,fp!$B112,Zvf51!$P$2:$P$189)</f>
        <v>29</v>
      </c>
      <c r="T112" s="18">
        <f>+SUMIF(Zvf51!$A$2:$A$189,fp!$B112,Zvf51!$AP$2:$AP$189)</f>
        <v>1024.18</v>
      </c>
      <c r="V112" s="12">
        <f t="shared" si="11"/>
        <v>0</v>
      </c>
      <c r="W112" s="12">
        <f t="shared" si="12"/>
        <v>-9.999999999308784E-3</v>
      </c>
      <c r="X112" s="12">
        <f t="shared" si="13"/>
        <v>0</v>
      </c>
      <c r="Y112" s="12">
        <f t="shared" si="14"/>
        <v>0</v>
      </c>
      <c r="Z112" s="12">
        <f t="shared" si="15"/>
        <v>0</v>
      </c>
      <c r="AA112" s="12">
        <f t="shared" si="16"/>
        <v>0</v>
      </c>
    </row>
    <row r="113" spans="1:27" ht="25.5" x14ac:dyDescent="0.2">
      <c r="A113" s="9">
        <v>109</v>
      </c>
      <c r="B113" s="10" t="s">
        <v>361</v>
      </c>
      <c r="C113" s="10" t="s">
        <v>551</v>
      </c>
      <c r="D113" s="11" t="s">
        <v>26</v>
      </c>
      <c r="E113" s="12">
        <v>323</v>
      </c>
      <c r="F113" s="12">
        <v>13958.48</v>
      </c>
      <c r="G113" s="12">
        <v>28</v>
      </c>
      <c r="H113" s="12">
        <v>1076.81</v>
      </c>
      <c r="I113" s="12">
        <v>330</v>
      </c>
      <c r="J113" s="12">
        <v>14135.75</v>
      </c>
      <c r="K113" s="12">
        <v>21</v>
      </c>
      <c r="L113" s="31">
        <v>899.54</v>
      </c>
      <c r="M113" s="13"/>
      <c r="O113" s="12">
        <f>+SUMIF(Zvf51!$A$2:$A$189,fp!$B113,Zvf51!$F$2:$F$189)</f>
        <v>28</v>
      </c>
      <c r="P113" s="18">
        <f>+SUMIF(Zvf51!$A$2:$A$189,fp!$B113,Zvf51!$AF$2:$AF$189)</f>
        <v>1076.81</v>
      </c>
      <c r="Q113" s="12">
        <f>-SUMIF(Zvf51!$A$2:$A$189,fp!$B113,Zvf51!$I$2:$I$189)</f>
        <v>330</v>
      </c>
      <c r="R113" s="24">
        <f>-SUMIF(Zvf51!$A$2:$A$189,fp!$B113,Zvf51!$AI$2:$AI$189)</f>
        <v>14135.75</v>
      </c>
      <c r="S113" s="12">
        <f>+SUMIF(Zvf51!$A$2:$A$189,fp!$B113,Zvf51!$P$2:$P$189)</f>
        <v>21</v>
      </c>
      <c r="T113" s="18">
        <f>+SUMIF(Zvf51!$A$2:$A$189,fp!$B113,Zvf51!$AP$2:$AP$189)</f>
        <v>899.55</v>
      </c>
      <c r="V113" s="12">
        <f t="shared" si="11"/>
        <v>0</v>
      </c>
      <c r="W113" s="12">
        <f t="shared" si="12"/>
        <v>0</v>
      </c>
      <c r="X113" s="12">
        <f t="shared" si="13"/>
        <v>0</v>
      </c>
      <c r="Y113" s="12">
        <f t="shared" si="14"/>
        <v>0</v>
      </c>
      <c r="Z113" s="12">
        <f t="shared" si="15"/>
        <v>0</v>
      </c>
      <c r="AA113" s="12">
        <f t="shared" si="16"/>
        <v>9.9999999999909051E-3</v>
      </c>
    </row>
    <row r="114" spans="1:27" x14ac:dyDescent="0.2">
      <c r="A114" s="9">
        <v>110</v>
      </c>
      <c r="B114" s="10" t="s">
        <v>363</v>
      </c>
      <c r="C114" s="10" t="s">
        <v>382</v>
      </c>
      <c r="D114" s="11" t="s">
        <v>26</v>
      </c>
      <c r="E114" s="12">
        <v>349</v>
      </c>
      <c r="F114" s="12">
        <v>15771.76</v>
      </c>
      <c r="G114" s="12">
        <v>0</v>
      </c>
      <c r="H114" s="12">
        <v>0</v>
      </c>
      <c r="I114" s="12">
        <v>0</v>
      </c>
      <c r="J114" s="12">
        <v>0</v>
      </c>
      <c r="K114" s="12">
        <v>349</v>
      </c>
      <c r="L114" s="31">
        <v>15771.76</v>
      </c>
      <c r="M114" s="13"/>
      <c r="O114" s="12">
        <f>+SUMIF(Zvf51!$A$2:$A$189,fp!$B114,Zvf51!$F$2:$F$189)</f>
        <v>0</v>
      </c>
      <c r="P114" s="18">
        <f>+SUMIF(Zvf51!$A$2:$A$189,fp!$B114,Zvf51!$AF$2:$AF$189)</f>
        <v>0</v>
      </c>
      <c r="Q114" s="12">
        <f>-SUMIF(Zvf51!$A$2:$A$189,fp!$B114,Zvf51!$I$2:$I$189)</f>
        <v>0</v>
      </c>
      <c r="R114" s="24">
        <f>-SUMIF(Zvf51!$A$2:$A$189,fp!$B114,Zvf51!$AI$2:$AI$189)</f>
        <v>0</v>
      </c>
      <c r="S114" s="12">
        <f>+SUMIF(Zvf51!$A$2:$A$189,fp!$B114,Zvf51!$P$2:$P$189)</f>
        <v>349</v>
      </c>
      <c r="T114" s="18">
        <f>+SUMIF(Zvf51!$A$2:$A$189,fp!$B114,Zvf51!$AP$2:$AP$189)</f>
        <v>15771.76</v>
      </c>
      <c r="V114" s="12">
        <f t="shared" si="11"/>
        <v>0</v>
      </c>
      <c r="W114" s="12">
        <f t="shared" si="12"/>
        <v>0</v>
      </c>
      <c r="X114" s="12">
        <f t="shared" si="13"/>
        <v>0</v>
      </c>
      <c r="Y114" s="12">
        <f t="shared" si="14"/>
        <v>0</v>
      </c>
      <c r="Z114" s="12">
        <f t="shared" si="15"/>
        <v>0</v>
      </c>
      <c r="AA114" s="12">
        <f t="shared" si="16"/>
        <v>0</v>
      </c>
    </row>
    <row r="115" spans="1:27" s="74" customFormat="1" x14ac:dyDescent="0.2">
      <c r="A115" s="68">
        <v>111</v>
      </c>
      <c r="B115" s="69" t="s">
        <v>116</v>
      </c>
      <c r="C115" s="69" t="s">
        <v>117</v>
      </c>
      <c r="D115" s="70" t="s">
        <v>26</v>
      </c>
      <c r="E115" s="71">
        <v>2648</v>
      </c>
      <c r="F115" s="71">
        <v>136151.65</v>
      </c>
      <c r="G115" s="71">
        <v>2607</v>
      </c>
      <c r="H115" s="71">
        <v>110560.45</v>
      </c>
      <c r="I115" s="71">
        <v>5090</v>
      </c>
      <c r="J115" s="71">
        <v>238961.36</v>
      </c>
      <c r="K115" s="71">
        <v>165</v>
      </c>
      <c r="L115" s="72">
        <v>7750.74</v>
      </c>
      <c r="M115" s="73"/>
      <c r="O115" s="71">
        <f>+SUMIF(Zvf51!$A$2:$A$189,fp!$B115,Zvf51!$F$2:$F$189)</f>
        <v>2577</v>
      </c>
      <c r="P115" s="75">
        <f>+SUMIF(Zvf51!$A$2:$A$189,fp!$B115,Zvf51!$AF$2:$AF$189)</f>
        <v>109288.19</v>
      </c>
      <c r="Q115" s="71">
        <f>-SUMIF(Zvf51!$A$2:$A$189,fp!$B115,Zvf51!$I$2:$I$189)</f>
        <v>5030</v>
      </c>
      <c r="R115" s="76">
        <f>-SUMIF(Zvf51!$A$2:$A$189,fp!$B115,Zvf51!$AI$2:$AI$189)</f>
        <v>236279.89</v>
      </c>
      <c r="S115" s="71">
        <f>+SUMIF(Zvf51!$A$2:$A$189,fp!$B115,Zvf51!$P$2:$P$189)</f>
        <v>165</v>
      </c>
      <c r="T115" s="75">
        <f>+SUMIF(Zvf51!$A$2:$A$189,fp!$B115,Zvf51!$AP$2:$AP$189)</f>
        <v>7750.73</v>
      </c>
      <c r="V115" s="71">
        <f t="shared" si="11"/>
        <v>-30</v>
      </c>
      <c r="W115" s="71">
        <f t="shared" si="12"/>
        <v>-1272.2599999999948</v>
      </c>
      <c r="X115" s="71">
        <f t="shared" si="13"/>
        <v>-60</v>
      </c>
      <c r="Y115" s="71">
        <f t="shared" si="14"/>
        <v>-2681.4699999999721</v>
      </c>
      <c r="Z115" s="71">
        <f t="shared" si="15"/>
        <v>0</v>
      </c>
      <c r="AA115" s="71">
        <f t="shared" si="16"/>
        <v>-1.0000000000218279E-2</v>
      </c>
    </row>
    <row r="116" spans="1:27" ht="25.5" x14ac:dyDescent="0.2">
      <c r="A116" s="9">
        <v>112</v>
      </c>
      <c r="B116" s="10" t="s">
        <v>118</v>
      </c>
      <c r="C116" s="10" t="s">
        <v>541</v>
      </c>
      <c r="D116" s="11" t="s">
        <v>26</v>
      </c>
      <c r="E116" s="12">
        <v>3846</v>
      </c>
      <c r="F116" s="12">
        <v>158432.23000000001</v>
      </c>
      <c r="G116" s="12">
        <v>216</v>
      </c>
      <c r="H116" s="12">
        <v>7198.56</v>
      </c>
      <c r="I116" s="12">
        <v>3457</v>
      </c>
      <c r="J116" s="12">
        <v>140961.51999999999</v>
      </c>
      <c r="K116" s="12">
        <v>605</v>
      </c>
      <c r="L116" s="31">
        <v>24669.27</v>
      </c>
      <c r="M116" s="13"/>
      <c r="O116" s="12">
        <f>+SUMIF(Zvf51!$A$2:$A$189,fp!$B116,Zvf51!$F$2:$F$189)</f>
        <v>216</v>
      </c>
      <c r="P116" s="18">
        <f>+SUMIF(Zvf51!$A$2:$A$189,fp!$B116,Zvf51!$AF$2:$AF$189)</f>
        <v>7198.56</v>
      </c>
      <c r="Q116" s="12">
        <f>-SUMIF(Zvf51!$A$2:$A$189,fp!$B116,Zvf51!$I$2:$I$189)</f>
        <v>3457</v>
      </c>
      <c r="R116" s="24">
        <f>-SUMIF(Zvf51!$A$2:$A$189,fp!$B116,Zvf51!$AI$2:$AI$189)</f>
        <v>140961.51</v>
      </c>
      <c r="S116" s="12">
        <f>+SUMIF(Zvf51!$A$2:$A$189,fp!$B116,Zvf51!$P$2:$P$189)</f>
        <v>605</v>
      </c>
      <c r="T116" s="18">
        <f>+SUMIF(Zvf51!$A$2:$A$189,fp!$B116,Zvf51!$AP$2:$AP$189)</f>
        <v>24669.279999999999</v>
      </c>
      <c r="V116" s="12">
        <f t="shared" si="11"/>
        <v>0</v>
      </c>
      <c r="W116" s="12">
        <f t="shared" si="12"/>
        <v>0</v>
      </c>
      <c r="X116" s="12">
        <f t="shared" si="13"/>
        <v>0</v>
      </c>
      <c r="Y116" s="12">
        <f t="shared" si="14"/>
        <v>-9.9999999802093953E-3</v>
      </c>
      <c r="Z116" s="12">
        <f t="shared" si="15"/>
        <v>0</v>
      </c>
      <c r="AA116" s="12">
        <f t="shared" si="16"/>
        <v>9.9999999983992893E-3</v>
      </c>
    </row>
    <row r="117" spans="1:27" ht="25.5" x14ac:dyDescent="0.2">
      <c r="A117" s="9">
        <v>113</v>
      </c>
      <c r="B117" s="10" t="s">
        <v>367</v>
      </c>
      <c r="C117" s="10" t="s">
        <v>381</v>
      </c>
      <c r="D117" s="11" t="s">
        <v>26</v>
      </c>
      <c r="E117" s="12">
        <v>1855</v>
      </c>
      <c r="F117" s="12">
        <v>77331.649999999994</v>
      </c>
      <c r="G117" s="12">
        <v>2398</v>
      </c>
      <c r="H117" s="12">
        <v>81773.8</v>
      </c>
      <c r="I117" s="12">
        <v>3982</v>
      </c>
      <c r="J117" s="12">
        <v>148967.32999999999</v>
      </c>
      <c r="K117" s="12">
        <v>271</v>
      </c>
      <c r="L117" s="31">
        <v>10138.120000000001</v>
      </c>
      <c r="M117" s="13"/>
      <c r="O117" s="12">
        <f>+SUMIF(Zvf51!$A$2:$A$189,fp!$B117,Zvf51!$F$2:$F$189)</f>
        <v>2398</v>
      </c>
      <c r="P117" s="18">
        <f>+SUMIF(Zvf51!$A$2:$A$189,fp!$B117,Zvf51!$AF$2:$AF$189)</f>
        <v>81773.84</v>
      </c>
      <c r="Q117" s="12">
        <f>-SUMIF(Zvf51!$A$2:$A$189,fp!$B117,Zvf51!$I$2:$I$189)</f>
        <v>3982</v>
      </c>
      <c r="R117" s="24">
        <f>-SUMIF(Zvf51!$A$2:$A$189,fp!$B117,Zvf51!$AI$2:$AI$189)</f>
        <v>148967.34</v>
      </c>
      <c r="S117" s="12">
        <f>+SUMIF(Zvf51!$A$2:$A$189,fp!$B117,Zvf51!$P$2:$P$189)</f>
        <v>271</v>
      </c>
      <c r="T117" s="18">
        <f>+SUMIF(Zvf51!$A$2:$A$189,fp!$B117,Zvf51!$AP$2:$AP$189)</f>
        <v>10138.16</v>
      </c>
      <c r="V117" s="12">
        <f t="shared" si="11"/>
        <v>0</v>
      </c>
      <c r="W117" s="12">
        <f t="shared" si="12"/>
        <v>3.9999999993597157E-2</v>
      </c>
      <c r="X117" s="12">
        <f t="shared" si="13"/>
        <v>0</v>
      </c>
      <c r="Y117" s="12">
        <f t="shared" si="14"/>
        <v>1.0000000009313226E-2</v>
      </c>
      <c r="Z117" s="12">
        <f t="shared" si="15"/>
        <v>0</v>
      </c>
      <c r="AA117" s="28">
        <f t="shared" si="16"/>
        <v>3.9999999999054126E-2</v>
      </c>
    </row>
    <row r="118" spans="1:27" x14ac:dyDescent="0.2">
      <c r="A118" s="9">
        <v>114</v>
      </c>
      <c r="B118" s="10" t="s">
        <v>119</v>
      </c>
      <c r="C118" s="10" t="s">
        <v>120</v>
      </c>
      <c r="D118" s="11" t="s">
        <v>26</v>
      </c>
      <c r="E118" s="12">
        <v>96</v>
      </c>
      <c r="F118" s="12">
        <v>3955.58</v>
      </c>
      <c r="G118" s="12">
        <v>2</v>
      </c>
      <c r="H118" s="12">
        <v>79.66</v>
      </c>
      <c r="I118" s="12">
        <v>0</v>
      </c>
      <c r="J118" s="12">
        <v>0</v>
      </c>
      <c r="K118" s="12">
        <v>98</v>
      </c>
      <c r="L118" s="31">
        <v>4035.24</v>
      </c>
      <c r="M118" s="13"/>
      <c r="O118" s="12">
        <f>+SUMIF(Zvf51!$A$2:$A$189,fp!$B118,Zvf51!$F$2:$F$189)</f>
        <v>2</v>
      </c>
      <c r="P118" s="18">
        <f>+SUMIF(Zvf51!$A$2:$A$189,fp!$B118,Zvf51!$AF$2:$AF$189)</f>
        <v>79.66</v>
      </c>
      <c r="Q118" s="12">
        <f>-SUMIF(Zvf51!$A$2:$A$189,fp!$B118,Zvf51!$I$2:$I$189)</f>
        <v>0</v>
      </c>
      <c r="R118" s="24">
        <f>-SUMIF(Zvf51!$A$2:$A$189,fp!$B118,Zvf51!$AI$2:$AI$189)</f>
        <v>0</v>
      </c>
      <c r="S118" s="12">
        <f>+SUMIF(Zvf51!$A$2:$A$189,fp!$B118,Zvf51!$P$2:$P$189)</f>
        <v>98</v>
      </c>
      <c r="T118" s="18">
        <f>+SUMIF(Zvf51!$A$2:$A$189,fp!$B118,Zvf51!$AP$2:$AP$189)</f>
        <v>4035.24</v>
      </c>
      <c r="V118" s="12">
        <f t="shared" si="11"/>
        <v>0</v>
      </c>
      <c r="W118" s="12">
        <f t="shared" si="12"/>
        <v>0</v>
      </c>
      <c r="X118" s="12">
        <f t="shared" si="13"/>
        <v>0</v>
      </c>
      <c r="Y118" s="12">
        <f t="shared" si="14"/>
        <v>0</v>
      </c>
      <c r="Z118" s="12">
        <f t="shared" si="15"/>
        <v>0</v>
      </c>
      <c r="AA118" s="12">
        <f t="shared" si="16"/>
        <v>0</v>
      </c>
    </row>
    <row r="119" spans="1:27" ht="12.75" customHeight="1" x14ac:dyDescent="0.2">
      <c r="A119" s="9">
        <v>115</v>
      </c>
      <c r="B119" s="10" t="s">
        <v>370</v>
      </c>
      <c r="C119" s="10" t="s">
        <v>380</v>
      </c>
      <c r="D119" s="11" t="s">
        <v>26</v>
      </c>
      <c r="E119" s="12">
        <v>231</v>
      </c>
      <c r="F119" s="12">
        <v>8893.39</v>
      </c>
      <c r="G119" s="12">
        <v>-1</v>
      </c>
      <c r="H119" s="12">
        <v>-38.5</v>
      </c>
      <c r="I119" s="12">
        <v>0</v>
      </c>
      <c r="J119" s="12">
        <v>0</v>
      </c>
      <c r="K119" s="12">
        <v>230</v>
      </c>
      <c r="L119" s="31">
        <v>8854.89</v>
      </c>
      <c r="M119" s="13"/>
      <c r="O119" s="12">
        <f>+SUMIF(Zvf51!$A$2:$A$189,fp!$B119,Zvf51!$F$2:$F$189)</f>
        <v>-1</v>
      </c>
      <c r="P119" s="18">
        <f>+SUMIF(Zvf51!$A$2:$A$189,fp!$B119,Zvf51!$AF$2:$AF$189)</f>
        <v>-38.5</v>
      </c>
      <c r="Q119" s="12">
        <f>-SUMIF(Zvf51!$A$2:$A$189,fp!$B119,Zvf51!$I$2:$I$189)</f>
        <v>0</v>
      </c>
      <c r="R119" s="24">
        <f>-SUMIF(Zvf51!$A$2:$A$189,fp!$B119,Zvf51!$AI$2:$AI$189)</f>
        <v>0</v>
      </c>
      <c r="S119" s="12">
        <f>+SUMIF(Zvf51!$A$2:$A$189,fp!$B119,Zvf51!$P$2:$P$189)</f>
        <v>230</v>
      </c>
      <c r="T119" s="18">
        <f>+SUMIF(Zvf51!$A$2:$A$189,fp!$B119,Zvf51!$AP$2:$AP$189)</f>
        <v>8854.89</v>
      </c>
      <c r="V119" s="12">
        <f t="shared" ref="V119:V127" si="17">+O119-G119</f>
        <v>0</v>
      </c>
      <c r="W119" s="12">
        <f t="shared" ref="W119:W127" si="18">+P119-H119</f>
        <v>0</v>
      </c>
      <c r="X119" s="12">
        <f t="shared" ref="X119:X127" si="19">+Q119-I119</f>
        <v>0</v>
      </c>
      <c r="Y119" s="12">
        <f t="shared" ref="Y119:Y127" si="20">+R119-J119</f>
        <v>0</v>
      </c>
      <c r="Z119" s="12">
        <f t="shared" ref="Z119:Z127" si="21">+S119-K119</f>
        <v>0</v>
      </c>
      <c r="AA119" s="12">
        <f t="shared" ref="AA119:AA127" si="22">+T119-L119</f>
        <v>0</v>
      </c>
    </row>
    <row r="120" spans="1:27" x14ac:dyDescent="0.2">
      <c r="A120" s="9">
        <v>116</v>
      </c>
      <c r="B120" s="10" t="s">
        <v>121</v>
      </c>
      <c r="C120" s="10" t="s">
        <v>122</v>
      </c>
      <c r="D120" s="11" t="s">
        <v>26</v>
      </c>
      <c r="E120" s="12">
        <v>205</v>
      </c>
      <c r="F120" s="12">
        <v>8991.4699999999993</v>
      </c>
      <c r="G120" s="12">
        <v>1331</v>
      </c>
      <c r="H120" s="12">
        <v>49720.76</v>
      </c>
      <c r="I120" s="12">
        <v>340</v>
      </c>
      <c r="J120" s="12">
        <v>12996.2</v>
      </c>
      <c r="K120" s="12">
        <v>1196</v>
      </c>
      <c r="L120" s="31">
        <v>45716.03</v>
      </c>
      <c r="M120" s="13"/>
      <c r="O120" s="12">
        <f>+SUMIF(Zvf51!$A$2:$A$189,fp!$B120,Zvf51!$F$2:$F$189)</f>
        <v>1331</v>
      </c>
      <c r="P120" s="18">
        <f>+SUMIF(Zvf51!$A$2:$A$189,fp!$B120,Zvf51!$AF$2:$AF$189)</f>
        <v>49720.76</v>
      </c>
      <c r="Q120" s="12">
        <f>-SUMIF(Zvf51!$A$2:$A$189,fp!$B120,Zvf51!$I$2:$I$189)</f>
        <v>340</v>
      </c>
      <c r="R120" s="24">
        <f>-SUMIF(Zvf51!$A$2:$A$189,fp!$B120,Zvf51!$AI$2:$AI$189)</f>
        <v>12996.2</v>
      </c>
      <c r="S120" s="12">
        <f>+SUMIF(Zvf51!$A$2:$A$189,fp!$B120,Zvf51!$P$2:$P$189)</f>
        <v>1196</v>
      </c>
      <c r="T120" s="18">
        <f>+SUMIF(Zvf51!$A$2:$A$189,fp!$B120,Zvf51!$AP$2:$AP$189)</f>
        <v>45716.03</v>
      </c>
      <c r="V120" s="12">
        <f t="shared" si="17"/>
        <v>0</v>
      </c>
      <c r="W120" s="12">
        <f t="shared" si="18"/>
        <v>0</v>
      </c>
      <c r="X120" s="12">
        <f t="shared" si="19"/>
        <v>0</v>
      </c>
      <c r="Y120" s="12">
        <f t="shared" si="20"/>
        <v>0</v>
      </c>
      <c r="Z120" s="12">
        <f t="shared" si="21"/>
        <v>0</v>
      </c>
      <c r="AA120" s="12">
        <f t="shared" si="22"/>
        <v>0</v>
      </c>
    </row>
    <row r="121" spans="1:27" x14ac:dyDescent="0.2">
      <c r="A121" s="9">
        <v>117</v>
      </c>
      <c r="B121" s="10" t="s">
        <v>373</v>
      </c>
      <c r="C121" s="10" t="s">
        <v>379</v>
      </c>
      <c r="D121" s="11" t="s">
        <v>26</v>
      </c>
      <c r="E121" s="12">
        <v>4731</v>
      </c>
      <c r="F121" s="12">
        <v>232651.41</v>
      </c>
      <c r="G121" s="12">
        <v>2214</v>
      </c>
      <c r="H121" s="12">
        <v>91341.92</v>
      </c>
      <c r="I121" s="12">
        <v>6357</v>
      </c>
      <c r="J121" s="12">
        <v>296562.36</v>
      </c>
      <c r="K121" s="12">
        <v>588</v>
      </c>
      <c r="L121" s="31">
        <v>27430.97</v>
      </c>
      <c r="M121" s="13"/>
      <c r="O121" s="12">
        <f>+SUMIF(Zvf51!$A$2:$A$189,fp!$B121,Zvf51!$F$2:$F$189)</f>
        <v>2214</v>
      </c>
      <c r="P121" s="18">
        <f>+SUMIF(Zvf51!$A$2:$A$189,fp!$B121,Zvf51!$AF$2:$AF$189)</f>
        <v>91341.91</v>
      </c>
      <c r="Q121" s="12">
        <f>-SUMIF(Zvf51!$A$2:$A$189,fp!$B121,Zvf51!$I$2:$I$189)</f>
        <v>6357</v>
      </c>
      <c r="R121" s="24">
        <f>-SUMIF(Zvf51!$A$2:$A$189,fp!$B121,Zvf51!$AI$2:$AI$189)</f>
        <v>296562.34999999998</v>
      </c>
      <c r="S121" s="12">
        <f>+SUMIF(Zvf51!$A$2:$A$189,fp!$B121,Zvf51!$P$2:$P$189)</f>
        <v>588</v>
      </c>
      <c r="T121" s="18">
        <f>+SUMIF(Zvf51!$A$2:$A$189,fp!$B121,Zvf51!$AP$2:$AP$189)</f>
        <v>27430.97</v>
      </c>
      <c r="V121" s="12">
        <f t="shared" si="17"/>
        <v>0</v>
      </c>
      <c r="W121" s="12">
        <f t="shared" si="18"/>
        <v>-9.9999999947613105E-3</v>
      </c>
      <c r="X121" s="12">
        <f t="shared" si="19"/>
        <v>0</v>
      </c>
      <c r="Y121" s="12">
        <f t="shared" si="20"/>
        <v>-1.0000000009313226E-2</v>
      </c>
      <c r="Z121" s="12">
        <f t="shared" si="21"/>
        <v>0</v>
      </c>
      <c r="AA121" s="12">
        <f t="shared" si="22"/>
        <v>0</v>
      </c>
    </row>
    <row r="122" spans="1:27" ht="25.5" x14ac:dyDescent="0.2">
      <c r="A122" s="9">
        <v>118</v>
      </c>
      <c r="B122" s="10" t="s">
        <v>123</v>
      </c>
      <c r="C122" s="10" t="s">
        <v>124</v>
      </c>
      <c r="D122" s="11" t="s">
        <v>26</v>
      </c>
      <c r="E122" s="12">
        <v>1749</v>
      </c>
      <c r="F122" s="12">
        <v>82541.070000000007</v>
      </c>
      <c r="G122" s="12">
        <v>70</v>
      </c>
      <c r="H122" s="12">
        <v>2738.32</v>
      </c>
      <c r="I122" s="12">
        <v>1599</v>
      </c>
      <c r="J122" s="12">
        <v>74965.22</v>
      </c>
      <c r="K122" s="12">
        <v>220</v>
      </c>
      <c r="L122" s="31">
        <v>10314.17</v>
      </c>
      <c r="M122" s="13"/>
      <c r="O122" s="12">
        <f>+SUMIF(Zvf51!$A$2:$A$189,fp!$B122,Zvf51!$F$2:$F$189)</f>
        <v>70</v>
      </c>
      <c r="P122" s="18">
        <f>+SUMIF(Zvf51!$A$2:$A$189,fp!$B122,Zvf51!$AF$2:$AF$189)</f>
        <v>2738.32</v>
      </c>
      <c r="Q122" s="12">
        <f>-SUMIF(Zvf51!$A$2:$A$189,fp!$B122,Zvf51!$I$2:$I$189)</f>
        <v>1599</v>
      </c>
      <c r="R122" s="24">
        <f>-SUMIF(Zvf51!$A$2:$A$189,fp!$B122,Zvf51!$AI$2:$AI$189)</f>
        <v>74965.23</v>
      </c>
      <c r="S122" s="12">
        <f>+SUMIF(Zvf51!$A$2:$A$189,fp!$B122,Zvf51!$P$2:$P$189)</f>
        <v>220</v>
      </c>
      <c r="T122" s="18">
        <f>+SUMIF(Zvf51!$A$2:$A$189,fp!$B122,Zvf51!$AP$2:$AP$189)</f>
        <v>10314.16</v>
      </c>
      <c r="V122" s="12">
        <f t="shared" si="17"/>
        <v>0</v>
      </c>
      <c r="W122" s="12">
        <f t="shared" si="18"/>
        <v>0</v>
      </c>
      <c r="X122" s="12">
        <f t="shared" si="19"/>
        <v>0</v>
      </c>
      <c r="Y122" s="12">
        <f t="shared" si="20"/>
        <v>9.9999999947613105E-3</v>
      </c>
      <c r="Z122" s="12">
        <f t="shared" si="21"/>
        <v>0</v>
      </c>
      <c r="AA122" s="12">
        <f t="shared" si="22"/>
        <v>-1.0000000000218279E-2</v>
      </c>
    </row>
    <row r="123" spans="1:27" ht="25.5" customHeight="1" x14ac:dyDescent="0.2">
      <c r="A123" s="9">
        <v>119</v>
      </c>
      <c r="B123" s="10" t="s">
        <v>376</v>
      </c>
      <c r="C123" s="10" t="s">
        <v>378</v>
      </c>
      <c r="D123" s="11" t="s">
        <v>26</v>
      </c>
      <c r="E123" s="12">
        <v>100</v>
      </c>
      <c r="F123" s="12">
        <v>4106.3</v>
      </c>
      <c r="G123" s="12">
        <v>0</v>
      </c>
      <c r="H123" s="12">
        <v>0</v>
      </c>
      <c r="I123" s="12">
        <v>0</v>
      </c>
      <c r="J123" s="12">
        <v>0</v>
      </c>
      <c r="K123" s="12">
        <v>100</v>
      </c>
      <c r="L123" s="31">
        <v>4106.3</v>
      </c>
      <c r="M123" s="13"/>
      <c r="O123" s="12">
        <f>+SUMIF(Zvf51!$A$2:$A$189,fp!$B123,Zvf51!$F$2:$F$189)</f>
        <v>0</v>
      </c>
      <c r="P123" s="18">
        <f>+SUMIF(Zvf51!$A$2:$A$189,fp!$B123,Zvf51!$AF$2:$AF$189)</f>
        <v>0</v>
      </c>
      <c r="Q123" s="12">
        <f>-SUMIF(Zvf51!$A$2:$A$189,fp!$B123,Zvf51!$I$2:$I$189)</f>
        <v>0</v>
      </c>
      <c r="R123" s="24">
        <f>-SUMIF(Zvf51!$A$2:$A$189,fp!$B123,Zvf51!$AI$2:$AI$189)</f>
        <v>0</v>
      </c>
      <c r="S123" s="12">
        <f>+SUMIF(Zvf51!$A$2:$A$189,fp!$B123,Zvf51!$P$2:$P$189)</f>
        <v>100</v>
      </c>
      <c r="T123" s="18">
        <f>+SUMIF(Zvf51!$A$2:$A$189,fp!$B123,Zvf51!$AP$2:$AP$189)</f>
        <v>4106.3</v>
      </c>
      <c r="V123" s="12">
        <f t="shared" si="17"/>
        <v>0</v>
      </c>
      <c r="W123" s="12">
        <f t="shared" si="18"/>
        <v>0</v>
      </c>
      <c r="X123" s="12">
        <f t="shared" si="19"/>
        <v>0</v>
      </c>
      <c r="Y123" s="12">
        <f t="shared" si="20"/>
        <v>0</v>
      </c>
      <c r="Z123" s="12">
        <f t="shared" si="21"/>
        <v>0</v>
      </c>
      <c r="AA123" s="12">
        <f t="shared" si="22"/>
        <v>0</v>
      </c>
    </row>
    <row r="124" spans="1:27" ht="25.5" x14ac:dyDescent="0.2">
      <c r="A124" s="9">
        <v>120</v>
      </c>
      <c r="B124" s="10" t="s">
        <v>425</v>
      </c>
      <c r="C124" s="10" t="s">
        <v>440</v>
      </c>
      <c r="D124" s="11" t="s">
        <v>26</v>
      </c>
      <c r="E124" s="12">
        <v>687</v>
      </c>
      <c r="F124" s="12">
        <v>38966.94</v>
      </c>
      <c r="G124" s="12">
        <v>4349</v>
      </c>
      <c r="H124" s="12">
        <v>199937.78</v>
      </c>
      <c r="I124" s="12">
        <v>3550</v>
      </c>
      <c r="J124" s="12">
        <v>168409.84</v>
      </c>
      <c r="K124" s="12">
        <v>1486</v>
      </c>
      <c r="L124" s="31">
        <v>70494.880000000005</v>
      </c>
      <c r="M124" s="13"/>
      <c r="O124" s="12">
        <f>+SUMIF(Zvf51!$A$2:$A$189,fp!$B124,Zvf51!$F$2:$F$189)</f>
        <v>4349</v>
      </c>
      <c r="P124" s="18">
        <f>+SUMIF(Zvf51!$A$2:$A$189,fp!$B124,Zvf51!$AF$2:$AF$189)</f>
        <v>199937.82</v>
      </c>
      <c r="Q124" s="12">
        <f>-SUMIF(Zvf51!$A$2:$A$189,fp!$B124,Zvf51!$I$2:$I$189)</f>
        <v>3550</v>
      </c>
      <c r="R124" s="24">
        <f>-SUMIF(Zvf51!$A$2:$A$189,fp!$B124,Zvf51!$AI$2:$AI$189)</f>
        <v>168409.83</v>
      </c>
      <c r="S124" s="12">
        <f>+SUMIF(Zvf51!$A$2:$A$189,fp!$B124,Zvf51!$P$2:$P$189)</f>
        <v>1486</v>
      </c>
      <c r="T124" s="18">
        <f>+SUMIF(Zvf51!$A$2:$A$189,fp!$B124,Zvf51!$AP$2:$AP$189)</f>
        <v>70494.929999999993</v>
      </c>
      <c r="V124" s="12">
        <f t="shared" si="17"/>
        <v>0</v>
      </c>
      <c r="W124" s="12">
        <f t="shared" si="18"/>
        <v>4.0000000008149073E-2</v>
      </c>
      <c r="X124" s="12">
        <f t="shared" si="19"/>
        <v>0</v>
      </c>
      <c r="Y124" s="12">
        <f t="shared" si="20"/>
        <v>-1.0000000009313226E-2</v>
      </c>
      <c r="Z124" s="12">
        <f t="shared" si="21"/>
        <v>0</v>
      </c>
      <c r="AA124" s="12">
        <f t="shared" si="22"/>
        <v>4.9999999988358468E-2</v>
      </c>
    </row>
    <row r="125" spans="1:27" x14ac:dyDescent="0.2">
      <c r="A125" s="9">
        <v>121</v>
      </c>
      <c r="B125" s="10" t="s">
        <v>427</v>
      </c>
      <c r="C125" s="10" t="s">
        <v>441</v>
      </c>
      <c r="D125" s="11" t="s">
        <v>26</v>
      </c>
      <c r="E125" s="12">
        <v>561</v>
      </c>
      <c r="F125" s="12">
        <v>23505.42</v>
      </c>
      <c r="G125" s="12">
        <v>293</v>
      </c>
      <c r="H125" s="12">
        <v>10014.629999999999</v>
      </c>
      <c r="I125" s="12">
        <v>550</v>
      </c>
      <c r="J125" s="12">
        <v>21587.85</v>
      </c>
      <c r="K125" s="12">
        <v>304</v>
      </c>
      <c r="L125" s="31">
        <v>11932.2</v>
      </c>
      <c r="M125" s="13"/>
      <c r="O125" s="12">
        <f>+SUMIF(Zvf51!$A$2:$A$189,fp!$B125,Zvf51!$F$2:$F$189)</f>
        <v>293</v>
      </c>
      <c r="P125" s="18">
        <f>+SUMIF(Zvf51!$A$2:$A$189,fp!$B125,Zvf51!$AF$2:$AF$189)</f>
        <v>10014.629999999999</v>
      </c>
      <c r="Q125" s="12">
        <f>-SUMIF(Zvf51!$A$2:$A$189,fp!$B125,Zvf51!$I$2:$I$189)</f>
        <v>550</v>
      </c>
      <c r="R125" s="24">
        <f>-SUMIF(Zvf51!$A$2:$A$189,fp!$B125,Zvf51!$AI$2:$AI$189)</f>
        <v>21587.85</v>
      </c>
      <c r="S125" s="12">
        <f>+SUMIF(Zvf51!$A$2:$A$189,fp!$B125,Zvf51!$P$2:$P$189)</f>
        <v>304</v>
      </c>
      <c r="T125" s="18">
        <f>+SUMIF(Zvf51!$A$2:$A$189,fp!$B125,Zvf51!$AP$2:$AP$189)</f>
        <v>11932.19</v>
      </c>
      <c r="V125" s="12">
        <f t="shared" si="17"/>
        <v>0</v>
      </c>
      <c r="W125" s="12">
        <f t="shared" si="18"/>
        <v>0</v>
      </c>
      <c r="X125" s="12">
        <f t="shared" si="19"/>
        <v>0</v>
      </c>
      <c r="Y125" s="12">
        <f t="shared" si="20"/>
        <v>0</v>
      </c>
      <c r="Z125" s="12">
        <f t="shared" si="21"/>
        <v>0</v>
      </c>
      <c r="AA125" s="12">
        <f t="shared" si="22"/>
        <v>-1.0000000000218279E-2</v>
      </c>
    </row>
    <row r="126" spans="1:27" x14ac:dyDescent="0.2">
      <c r="A126" s="9">
        <v>122</v>
      </c>
      <c r="B126" s="10" t="s">
        <v>429</v>
      </c>
      <c r="C126" s="10" t="s">
        <v>442</v>
      </c>
      <c r="D126" s="11" t="s">
        <v>26</v>
      </c>
      <c r="E126" s="12">
        <v>500</v>
      </c>
      <c r="F126" s="12">
        <v>20470.009999999998</v>
      </c>
      <c r="G126" s="12">
        <v>18</v>
      </c>
      <c r="H126" s="12">
        <v>633.17999999999995</v>
      </c>
      <c r="I126" s="12">
        <v>0</v>
      </c>
      <c r="J126" s="12">
        <v>0</v>
      </c>
      <c r="K126" s="12">
        <v>518</v>
      </c>
      <c r="L126" s="31">
        <v>21103.19</v>
      </c>
      <c r="M126" s="13"/>
      <c r="O126" s="12">
        <f>+SUMIF(Zvf51!$A$2:$A$189,fp!$B126,Zvf51!$F$2:$F$189)</f>
        <v>18</v>
      </c>
      <c r="P126" s="18">
        <f>+SUMIF(Zvf51!$A$2:$A$189,fp!$B126,Zvf51!$AF$2:$AF$189)</f>
        <v>633.17999999999995</v>
      </c>
      <c r="Q126" s="12">
        <f>-SUMIF(Zvf51!$A$2:$A$189,fp!$B126,Zvf51!$I$2:$I$189)</f>
        <v>0</v>
      </c>
      <c r="R126" s="24">
        <f>-SUMIF(Zvf51!$A$2:$A$189,fp!$B126,Zvf51!$AI$2:$AI$189)</f>
        <v>0</v>
      </c>
      <c r="S126" s="12">
        <f>+SUMIF(Zvf51!$A$2:$A$189,fp!$B126,Zvf51!$P$2:$P$189)</f>
        <v>518</v>
      </c>
      <c r="T126" s="18">
        <f>+SUMIF(Zvf51!$A$2:$A$189,fp!$B126,Zvf51!$AP$2:$AP$189)</f>
        <v>21103.19</v>
      </c>
      <c r="V126" s="12">
        <f t="shared" si="17"/>
        <v>0</v>
      </c>
      <c r="W126" s="12">
        <f t="shared" si="18"/>
        <v>0</v>
      </c>
      <c r="X126" s="12">
        <f t="shared" si="19"/>
        <v>0</v>
      </c>
      <c r="Y126" s="12">
        <f t="shared" si="20"/>
        <v>0</v>
      </c>
      <c r="Z126" s="12">
        <f t="shared" si="21"/>
        <v>0</v>
      </c>
      <c r="AA126" s="12">
        <f t="shared" si="22"/>
        <v>0</v>
      </c>
    </row>
    <row r="127" spans="1:27" x14ac:dyDescent="0.2">
      <c r="A127" s="9">
        <v>123</v>
      </c>
      <c r="B127" s="10" t="s">
        <v>431</v>
      </c>
      <c r="C127" s="10" t="s">
        <v>443</v>
      </c>
      <c r="D127" s="11" t="s">
        <v>26</v>
      </c>
      <c r="E127" s="12">
        <v>161</v>
      </c>
      <c r="F127" s="12">
        <v>6341.26</v>
      </c>
      <c r="G127" s="12">
        <v>5</v>
      </c>
      <c r="H127" s="12">
        <v>184.9</v>
      </c>
      <c r="I127" s="12">
        <v>25</v>
      </c>
      <c r="J127" s="12">
        <v>982.86</v>
      </c>
      <c r="K127" s="12">
        <v>141</v>
      </c>
      <c r="L127" s="31">
        <v>5543.3</v>
      </c>
      <c r="M127" s="13"/>
      <c r="O127" s="12">
        <f>+SUMIF(Zvf51!$A$2:$A$189,fp!$B127,Zvf51!$F$2:$F$189)</f>
        <v>5</v>
      </c>
      <c r="P127" s="18">
        <f>+SUMIF(Zvf51!$A$2:$A$189,fp!$B127,Zvf51!$AF$2:$AF$189)</f>
        <v>184.9</v>
      </c>
      <c r="Q127" s="12">
        <f>-SUMIF(Zvf51!$A$2:$A$189,fp!$B127,Zvf51!$I$2:$I$189)</f>
        <v>25</v>
      </c>
      <c r="R127" s="24">
        <f>-SUMIF(Zvf51!$A$2:$A$189,fp!$B127,Zvf51!$AI$2:$AI$189)</f>
        <v>982.86</v>
      </c>
      <c r="S127" s="12">
        <f>+SUMIF(Zvf51!$A$2:$A$189,fp!$B127,Zvf51!$P$2:$P$189)</f>
        <v>141</v>
      </c>
      <c r="T127" s="18">
        <f>+SUMIF(Zvf51!$A$2:$A$189,fp!$B127,Zvf51!$AP$2:$AP$189)</f>
        <v>5543.3</v>
      </c>
      <c r="V127" s="12">
        <f t="shared" si="17"/>
        <v>0</v>
      </c>
      <c r="W127" s="12">
        <f t="shared" si="18"/>
        <v>0</v>
      </c>
      <c r="X127" s="12">
        <f t="shared" si="19"/>
        <v>0</v>
      </c>
      <c r="Y127" s="12">
        <f t="shared" si="20"/>
        <v>0</v>
      </c>
      <c r="Z127" s="12">
        <f t="shared" si="21"/>
        <v>0</v>
      </c>
      <c r="AA127" s="12">
        <f t="shared" si="22"/>
        <v>0</v>
      </c>
    </row>
    <row r="128" spans="1:27" ht="12.75" customHeight="1" x14ac:dyDescent="0.2">
      <c r="A128" s="9">
        <v>124</v>
      </c>
      <c r="B128" s="10" t="s">
        <v>433</v>
      </c>
      <c r="C128" s="10" t="s">
        <v>444</v>
      </c>
      <c r="D128" s="11" t="s">
        <v>26</v>
      </c>
      <c r="E128" s="12">
        <v>70</v>
      </c>
      <c r="F128" s="12">
        <v>2647.03</v>
      </c>
      <c r="G128" s="12">
        <v>0</v>
      </c>
      <c r="H128" s="12">
        <v>0</v>
      </c>
      <c r="I128" s="12">
        <v>0</v>
      </c>
      <c r="J128" s="12">
        <v>0</v>
      </c>
      <c r="K128" s="12">
        <v>70</v>
      </c>
      <c r="L128" s="31">
        <v>2647.03</v>
      </c>
      <c r="M128" s="13"/>
      <c r="O128" s="12">
        <f>+SUMIF(Zvf51!$A$2:$A$189,fp!$B128,Zvf51!$F$2:$F$189)</f>
        <v>0</v>
      </c>
      <c r="P128" s="18">
        <f>+SUMIF(Zvf51!$A$2:$A$189,fp!$B128,Zvf51!$AF$2:$AF$189)</f>
        <v>0</v>
      </c>
      <c r="Q128" s="12">
        <f>-SUMIF(Zvf51!$A$2:$A$189,fp!$B128,Zvf51!$I$2:$I$189)</f>
        <v>0</v>
      </c>
      <c r="R128" s="24">
        <f>-SUMIF(Zvf51!$A$2:$A$189,fp!$B128,Zvf51!$AI$2:$AI$189)</f>
        <v>0</v>
      </c>
      <c r="S128" s="12">
        <f>+SUMIF(Zvf51!$A$2:$A$189,fp!$B128,Zvf51!$P$2:$P$189)</f>
        <v>70</v>
      </c>
      <c r="T128" s="18">
        <f>+SUMIF(Zvf51!$A$2:$A$189,fp!$B128,Zvf51!$AP$2:$AP$189)</f>
        <v>2647.03</v>
      </c>
      <c r="V128" s="12">
        <f t="shared" ref="V128:V156" si="23">+O128-G128</f>
        <v>0</v>
      </c>
      <c r="W128" s="12">
        <f t="shared" ref="W128:W156" si="24">+P128-H128</f>
        <v>0</v>
      </c>
      <c r="X128" s="12">
        <f t="shared" ref="X128:X156" si="25">+Q128-I128</f>
        <v>0</v>
      </c>
      <c r="Y128" s="12">
        <f t="shared" ref="Y128:Y156" si="26">+R128-J128</f>
        <v>0</v>
      </c>
      <c r="Z128" s="12">
        <f t="shared" ref="Z128:Z156" si="27">+S128-K128</f>
        <v>0</v>
      </c>
      <c r="AA128" s="12">
        <f t="shared" ref="AA128:AA156" si="28">+T128-L128</f>
        <v>0</v>
      </c>
    </row>
    <row r="129" spans="1:27" ht="38.25" x14ac:dyDescent="0.2">
      <c r="A129" s="9">
        <v>125</v>
      </c>
      <c r="B129" s="10" t="s">
        <v>452</v>
      </c>
      <c r="C129" s="10" t="s">
        <v>458</v>
      </c>
      <c r="D129" s="11" t="s">
        <v>26</v>
      </c>
      <c r="E129" s="12">
        <v>104</v>
      </c>
      <c r="F129" s="12">
        <v>4519.41</v>
      </c>
      <c r="G129" s="12">
        <v>0</v>
      </c>
      <c r="H129" s="12">
        <v>0</v>
      </c>
      <c r="I129" s="12">
        <v>0</v>
      </c>
      <c r="J129" s="12">
        <v>0</v>
      </c>
      <c r="K129" s="12">
        <v>104</v>
      </c>
      <c r="L129" s="31">
        <v>4519.41</v>
      </c>
      <c r="M129" s="13"/>
      <c r="O129" s="12">
        <f>+SUMIF(Zvf51!$A$2:$A$189,fp!$B129,Zvf51!$F$2:$F$189)</f>
        <v>0</v>
      </c>
      <c r="P129" s="18">
        <f>+SUMIF(Zvf51!$A$2:$A$189,fp!$B129,Zvf51!$AF$2:$AF$189)</f>
        <v>0</v>
      </c>
      <c r="Q129" s="12">
        <f>-SUMIF(Zvf51!$A$2:$A$189,fp!$B129,Zvf51!$I$2:$I$189)</f>
        <v>0</v>
      </c>
      <c r="R129" s="24">
        <f>-SUMIF(Zvf51!$A$2:$A$189,fp!$B129,Zvf51!$AI$2:$AI$189)</f>
        <v>0</v>
      </c>
      <c r="S129" s="12">
        <f>+SUMIF(Zvf51!$A$2:$A$189,fp!$B129,Zvf51!$P$2:$P$189)</f>
        <v>104</v>
      </c>
      <c r="T129" s="18">
        <f>+SUMIF(Zvf51!$A$2:$A$189,fp!$B129,Zvf51!$AP$2:$AP$189)</f>
        <v>4519.41</v>
      </c>
      <c r="V129" s="12">
        <f t="shared" si="23"/>
        <v>0</v>
      </c>
      <c r="W129" s="12">
        <f t="shared" si="24"/>
        <v>0</v>
      </c>
      <c r="X129" s="12">
        <f t="shared" si="25"/>
        <v>0</v>
      </c>
      <c r="Y129" s="12">
        <f t="shared" si="26"/>
        <v>0</v>
      </c>
      <c r="Z129" s="12">
        <f t="shared" si="27"/>
        <v>0</v>
      </c>
      <c r="AA129" s="12">
        <f t="shared" si="28"/>
        <v>0</v>
      </c>
    </row>
    <row r="130" spans="1:27" ht="38.25" x14ac:dyDescent="0.2">
      <c r="A130" s="9">
        <v>126</v>
      </c>
      <c r="B130" s="10" t="s">
        <v>454</v>
      </c>
      <c r="C130" s="10" t="s">
        <v>459</v>
      </c>
      <c r="D130" s="11" t="s">
        <v>26</v>
      </c>
      <c r="E130" s="12">
        <v>91</v>
      </c>
      <c r="F130" s="12">
        <v>3979.81</v>
      </c>
      <c r="G130" s="12">
        <v>2</v>
      </c>
      <c r="H130" s="12">
        <v>83.71</v>
      </c>
      <c r="I130" s="12">
        <v>0</v>
      </c>
      <c r="J130" s="12">
        <v>0</v>
      </c>
      <c r="K130" s="12">
        <v>93</v>
      </c>
      <c r="L130" s="31">
        <v>4063.52</v>
      </c>
      <c r="M130" s="13"/>
      <c r="O130" s="12">
        <f>+SUMIF(Zvf51!$A$2:$A$189,fp!$B130,Zvf51!$F$2:$F$189)</f>
        <v>2</v>
      </c>
      <c r="P130" s="18">
        <f>+SUMIF(Zvf51!$A$2:$A$189,fp!$B130,Zvf51!$AF$2:$AF$189)</f>
        <v>83.71</v>
      </c>
      <c r="Q130" s="12">
        <f>-SUMIF(Zvf51!$A$2:$A$189,fp!$B130,Zvf51!$I$2:$I$189)</f>
        <v>0</v>
      </c>
      <c r="R130" s="24">
        <f>-SUMIF(Zvf51!$A$2:$A$189,fp!$B130,Zvf51!$AI$2:$AI$189)</f>
        <v>0</v>
      </c>
      <c r="S130" s="12">
        <f>+SUMIF(Zvf51!$A$2:$A$189,fp!$B130,Zvf51!$P$2:$P$189)</f>
        <v>93</v>
      </c>
      <c r="T130" s="18">
        <f>+SUMIF(Zvf51!$A$2:$A$189,fp!$B130,Zvf51!$AP$2:$AP$189)</f>
        <v>4063.52</v>
      </c>
      <c r="V130" s="12">
        <f t="shared" si="23"/>
        <v>0</v>
      </c>
      <c r="W130" s="12">
        <f t="shared" si="24"/>
        <v>0</v>
      </c>
      <c r="X130" s="12">
        <f t="shared" si="25"/>
        <v>0</v>
      </c>
      <c r="Y130" s="12">
        <f t="shared" si="26"/>
        <v>0</v>
      </c>
      <c r="Z130" s="12">
        <f t="shared" si="27"/>
        <v>0</v>
      </c>
      <c r="AA130" s="12">
        <f t="shared" si="28"/>
        <v>0</v>
      </c>
    </row>
    <row r="131" spans="1:27" ht="25.5" x14ac:dyDescent="0.2">
      <c r="A131" s="9">
        <v>127</v>
      </c>
      <c r="B131" s="10" t="s">
        <v>560</v>
      </c>
      <c r="C131" s="10" t="s">
        <v>601</v>
      </c>
      <c r="D131" s="11" t="s">
        <v>26</v>
      </c>
      <c r="E131" s="12">
        <v>0</v>
      </c>
      <c r="F131" s="12">
        <v>0</v>
      </c>
      <c r="G131" s="12">
        <v>1600</v>
      </c>
      <c r="H131" s="12">
        <v>74520</v>
      </c>
      <c r="I131" s="12">
        <v>0</v>
      </c>
      <c r="J131" s="12">
        <v>0</v>
      </c>
      <c r="K131" s="12">
        <v>1600</v>
      </c>
      <c r="L131" s="31">
        <v>74520</v>
      </c>
      <c r="M131" s="13"/>
      <c r="O131" s="12">
        <f>+SUMIF(Zvf51!$A$2:$A$189,fp!$B131,Zvf51!$F$2:$F$189)</f>
        <v>1600</v>
      </c>
      <c r="P131" s="18">
        <f>+SUMIF(Zvf51!$A$2:$A$189,fp!$B131,Zvf51!$AF$2:$AF$189)</f>
        <v>74519.990000000005</v>
      </c>
      <c r="Q131" s="12">
        <f>-SUMIF(Zvf51!$A$2:$A$189,fp!$B131,Zvf51!$I$2:$I$189)</f>
        <v>0</v>
      </c>
      <c r="R131" s="24">
        <f>-SUMIF(Zvf51!$A$2:$A$189,fp!$B131,Zvf51!$AI$2:$AI$189)</f>
        <v>0</v>
      </c>
      <c r="S131" s="12">
        <f>+SUMIF(Zvf51!$A$2:$A$189,fp!$B131,Zvf51!$P$2:$P$189)</f>
        <v>1600</v>
      </c>
      <c r="T131" s="18">
        <f>+SUMIF(Zvf51!$A$2:$A$189,fp!$B131,Zvf51!$AP$2:$AP$189)</f>
        <v>74519.990000000005</v>
      </c>
      <c r="V131" s="12">
        <f t="shared" si="23"/>
        <v>0</v>
      </c>
      <c r="W131" s="12">
        <f t="shared" si="24"/>
        <v>-9.9999999947613105E-3</v>
      </c>
      <c r="X131" s="12">
        <f t="shared" si="25"/>
        <v>0</v>
      </c>
      <c r="Y131" s="12">
        <f t="shared" si="26"/>
        <v>0</v>
      </c>
      <c r="Z131" s="12">
        <f t="shared" si="27"/>
        <v>0</v>
      </c>
      <c r="AA131" s="12">
        <f t="shared" si="28"/>
        <v>-9.9999999947613105E-3</v>
      </c>
    </row>
    <row r="132" spans="1:27" ht="25.5" x14ac:dyDescent="0.2">
      <c r="A132" s="9">
        <v>128</v>
      </c>
      <c r="B132" s="10" t="s">
        <v>527</v>
      </c>
      <c r="C132" s="10" t="s">
        <v>579</v>
      </c>
      <c r="D132" s="11" t="s">
        <v>26</v>
      </c>
      <c r="E132" s="12">
        <v>80</v>
      </c>
      <c r="F132" s="12">
        <v>4551.7299999999996</v>
      </c>
      <c r="G132" s="12">
        <v>3136</v>
      </c>
      <c r="H132" s="12">
        <v>144323.44</v>
      </c>
      <c r="I132" s="12">
        <v>1416</v>
      </c>
      <c r="J132" s="12">
        <v>65549.53</v>
      </c>
      <c r="K132" s="12">
        <v>1800</v>
      </c>
      <c r="L132" s="31">
        <v>83325.64</v>
      </c>
      <c r="M132" s="13"/>
      <c r="O132" s="12">
        <f>+SUMIF(Zvf51!$A$2:$A$189,fp!$B132,Zvf51!$F$2:$F$189)</f>
        <v>3136</v>
      </c>
      <c r="P132" s="18">
        <f>+SUMIF(Zvf51!$A$2:$A$189,fp!$B132,Zvf51!$AF$2:$AF$189)</f>
        <v>144323.49</v>
      </c>
      <c r="Q132" s="12">
        <f>-SUMIF(Zvf51!$A$2:$A$189,fp!$B132,Zvf51!$I$2:$I$189)</f>
        <v>1416</v>
      </c>
      <c r="R132" s="24">
        <f>-SUMIF(Zvf51!$A$2:$A$189,fp!$B132,Zvf51!$AI$2:$AI$189)</f>
        <v>65549.539999999994</v>
      </c>
      <c r="S132" s="12">
        <f>+SUMIF(Zvf51!$A$2:$A$189,fp!$B132,Zvf51!$P$2:$P$189)</f>
        <v>1800</v>
      </c>
      <c r="T132" s="18">
        <f>+SUMIF(Zvf51!$A$2:$A$189,fp!$B132,Zvf51!$AP$2:$AP$189)</f>
        <v>83325.679999999993</v>
      </c>
      <c r="V132" s="12">
        <f t="shared" si="23"/>
        <v>0</v>
      </c>
      <c r="W132" s="12">
        <f t="shared" si="24"/>
        <v>4.9999999988358468E-2</v>
      </c>
      <c r="X132" s="12">
        <f t="shared" si="25"/>
        <v>0</v>
      </c>
      <c r="Y132" s="12">
        <f t="shared" si="26"/>
        <v>9.9999999947613105E-3</v>
      </c>
      <c r="Z132" s="12">
        <f t="shared" si="27"/>
        <v>0</v>
      </c>
      <c r="AA132" s="12">
        <f t="shared" si="28"/>
        <v>3.9999999993597157E-2</v>
      </c>
    </row>
    <row r="133" spans="1:27" ht="25.5" x14ac:dyDescent="0.2">
      <c r="A133" s="9">
        <v>129</v>
      </c>
      <c r="B133" s="10" t="s">
        <v>485</v>
      </c>
      <c r="C133" s="10" t="s">
        <v>486</v>
      </c>
      <c r="D133" s="11" t="s">
        <v>26</v>
      </c>
      <c r="E133" s="12">
        <v>95</v>
      </c>
      <c r="F133" s="12">
        <v>4352.8900000000003</v>
      </c>
      <c r="G133" s="12">
        <v>1238</v>
      </c>
      <c r="H133" s="12">
        <v>55085.79</v>
      </c>
      <c r="I133" s="12">
        <v>0</v>
      </c>
      <c r="J133" s="12">
        <v>0</v>
      </c>
      <c r="K133" s="12">
        <v>1333</v>
      </c>
      <c r="L133" s="31">
        <v>59438.68</v>
      </c>
      <c r="M133" s="13"/>
      <c r="O133" s="12">
        <f>+SUMIF(Zvf51!$A$2:$A$189,fp!$B133,Zvf51!$F$2:$F$189)</f>
        <v>1238</v>
      </c>
      <c r="P133" s="18">
        <f>+SUMIF(Zvf51!$A$2:$A$189,fp!$B133,Zvf51!$AF$2:$AF$189)</f>
        <v>55085.78</v>
      </c>
      <c r="Q133" s="12">
        <f>-SUMIF(Zvf51!$A$2:$A$189,fp!$B133,Zvf51!$I$2:$I$189)</f>
        <v>0</v>
      </c>
      <c r="R133" s="24">
        <f>-SUMIF(Zvf51!$A$2:$A$189,fp!$B133,Zvf51!$AI$2:$AI$189)</f>
        <v>0</v>
      </c>
      <c r="S133" s="12">
        <f>+SUMIF(Zvf51!$A$2:$A$189,fp!$B133,Zvf51!$P$2:$P$189)</f>
        <v>1333</v>
      </c>
      <c r="T133" s="18">
        <f>+SUMIF(Zvf51!$A$2:$A$189,fp!$B133,Zvf51!$AP$2:$AP$189)</f>
        <v>59438.67</v>
      </c>
      <c r="V133" s="12">
        <f t="shared" si="23"/>
        <v>0</v>
      </c>
      <c r="W133" s="12">
        <f t="shared" si="24"/>
        <v>-1.0000000002037268E-2</v>
      </c>
      <c r="X133" s="12">
        <f t="shared" si="25"/>
        <v>0</v>
      </c>
      <c r="Y133" s="12">
        <f t="shared" si="26"/>
        <v>0</v>
      </c>
      <c r="Z133" s="12">
        <f t="shared" si="27"/>
        <v>0</v>
      </c>
      <c r="AA133" s="12">
        <f t="shared" si="28"/>
        <v>-1.0000000002037268E-2</v>
      </c>
    </row>
    <row r="134" spans="1:27" ht="25.5" x14ac:dyDescent="0.2">
      <c r="A134" s="9">
        <v>130</v>
      </c>
      <c r="B134" s="10" t="s">
        <v>487</v>
      </c>
      <c r="C134" s="10" t="s">
        <v>488</v>
      </c>
      <c r="D134" s="11" t="s">
        <v>26</v>
      </c>
      <c r="E134" s="12">
        <v>509</v>
      </c>
      <c r="F134" s="12">
        <v>23260.23</v>
      </c>
      <c r="G134" s="12">
        <v>3695</v>
      </c>
      <c r="H134" s="12">
        <v>162254.84</v>
      </c>
      <c r="I134" s="12">
        <v>1386</v>
      </c>
      <c r="J134" s="12">
        <v>61161.7</v>
      </c>
      <c r="K134" s="12">
        <v>2818</v>
      </c>
      <c r="L134" s="31">
        <v>124353.37</v>
      </c>
      <c r="M134" s="13"/>
      <c r="O134" s="12">
        <f>+SUMIF(Zvf51!$A$2:$A$189,fp!$B134,Zvf51!$F$2:$F$189)</f>
        <v>3695</v>
      </c>
      <c r="P134" s="18">
        <f>+SUMIF(Zvf51!$A$2:$A$189,fp!$B134,Zvf51!$AF$2:$AF$189)</f>
        <v>162254.76999999999</v>
      </c>
      <c r="Q134" s="12">
        <f>-SUMIF(Zvf51!$A$2:$A$189,fp!$B134,Zvf51!$I$2:$I$189)</f>
        <v>1386</v>
      </c>
      <c r="R134" s="24">
        <f>-SUMIF(Zvf51!$A$2:$A$189,fp!$B134,Zvf51!$AI$2:$AI$189)</f>
        <v>61161.7</v>
      </c>
      <c r="S134" s="12">
        <f>+SUMIF(Zvf51!$A$2:$A$189,fp!$B134,Zvf51!$P$2:$P$189)</f>
        <v>2818</v>
      </c>
      <c r="T134" s="18">
        <f>+SUMIF(Zvf51!$A$2:$A$189,fp!$B134,Zvf51!$AP$2:$AP$189)</f>
        <v>124353.3</v>
      </c>
      <c r="V134" s="12">
        <f t="shared" si="23"/>
        <v>0</v>
      </c>
      <c r="W134" s="12">
        <f t="shared" si="24"/>
        <v>-7.0000000006984919E-2</v>
      </c>
      <c r="X134" s="12">
        <f t="shared" si="25"/>
        <v>0</v>
      </c>
      <c r="Y134" s="12">
        <f t="shared" si="26"/>
        <v>0</v>
      </c>
      <c r="Z134" s="12">
        <f t="shared" si="27"/>
        <v>0</v>
      </c>
      <c r="AA134" s="12">
        <f t="shared" si="28"/>
        <v>-6.9999999992433004E-2</v>
      </c>
    </row>
    <row r="135" spans="1:27" ht="25.5" x14ac:dyDescent="0.2">
      <c r="A135" s="9">
        <v>131</v>
      </c>
      <c r="B135" s="10" t="s">
        <v>489</v>
      </c>
      <c r="C135" s="10" t="s">
        <v>490</v>
      </c>
      <c r="D135" s="11" t="s">
        <v>26</v>
      </c>
      <c r="E135" s="12">
        <v>393</v>
      </c>
      <c r="F135" s="12">
        <v>15944.44</v>
      </c>
      <c r="G135" s="12">
        <v>17352</v>
      </c>
      <c r="H135" s="12">
        <v>664221.66</v>
      </c>
      <c r="I135" s="12">
        <v>12455</v>
      </c>
      <c r="J135" s="12">
        <v>477400.33</v>
      </c>
      <c r="K135" s="12">
        <v>5290</v>
      </c>
      <c r="L135" s="31">
        <v>202765.77</v>
      </c>
      <c r="M135" s="13"/>
      <c r="O135" s="12">
        <f>+SUMIF(Zvf51!$A$2:$A$189,fp!$B135,Zvf51!$F$2:$F$189)</f>
        <v>17352</v>
      </c>
      <c r="P135" s="18">
        <f>+SUMIF(Zvf51!$A$2:$A$189,fp!$B135,Zvf51!$AF$2:$AF$189)</f>
        <v>664221.66</v>
      </c>
      <c r="Q135" s="12">
        <f>-SUMIF(Zvf51!$A$2:$A$189,fp!$B135,Zvf51!$I$2:$I$189)</f>
        <v>12455</v>
      </c>
      <c r="R135" s="24">
        <f>-SUMIF(Zvf51!$A$2:$A$189,fp!$B135,Zvf51!$AI$2:$AI$189)</f>
        <v>477400.33</v>
      </c>
      <c r="S135" s="12">
        <f>+SUMIF(Zvf51!$A$2:$A$189,fp!$B135,Zvf51!$P$2:$P$189)</f>
        <v>5290</v>
      </c>
      <c r="T135" s="18">
        <f>+SUMIF(Zvf51!$A$2:$A$189,fp!$B135,Zvf51!$AP$2:$AP$189)</f>
        <v>202765.78</v>
      </c>
      <c r="V135" s="12">
        <f t="shared" si="23"/>
        <v>0</v>
      </c>
      <c r="W135" s="12">
        <f t="shared" si="24"/>
        <v>0</v>
      </c>
      <c r="X135" s="12">
        <f t="shared" si="25"/>
        <v>0</v>
      </c>
      <c r="Y135" s="12">
        <f t="shared" si="26"/>
        <v>0</v>
      </c>
      <c r="Z135" s="12">
        <f t="shared" si="27"/>
        <v>0</v>
      </c>
      <c r="AA135" s="12">
        <f t="shared" si="28"/>
        <v>1.0000000009313226E-2</v>
      </c>
    </row>
    <row r="136" spans="1:27" ht="25.5" x14ac:dyDescent="0.2">
      <c r="A136" s="9">
        <v>132</v>
      </c>
      <c r="B136" s="10" t="s">
        <v>529</v>
      </c>
      <c r="C136" s="10" t="s">
        <v>552</v>
      </c>
      <c r="D136" s="11" t="s">
        <v>26</v>
      </c>
      <c r="E136" s="12">
        <v>1803</v>
      </c>
      <c r="F136" s="12">
        <v>72363.56</v>
      </c>
      <c r="G136" s="12">
        <v>5662</v>
      </c>
      <c r="H136" s="12">
        <v>189778.39</v>
      </c>
      <c r="I136" s="12">
        <v>5885</v>
      </c>
      <c r="J136" s="12">
        <v>206658.51</v>
      </c>
      <c r="K136" s="12">
        <v>1580</v>
      </c>
      <c r="L136" s="31">
        <v>55483.44</v>
      </c>
      <c r="M136" s="13"/>
      <c r="O136" s="12">
        <f>+SUMIF(Zvf51!$A$2:$A$189,fp!$B136,Zvf51!$F$2:$F$189)</f>
        <v>5662</v>
      </c>
      <c r="P136" s="18">
        <f>+SUMIF(Zvf51!$A$2:$A$189,fp!$B136,Zvf51!$AF$2:$AF$189)</f>
        <v>189778.42</v>
      </c>
      <c r="Q136" s="12">
        <f>-SUMIF(Zvf51!$A$2:$A$189,fp!$B136,Zvf51!$I$2:$I$189)</f>
        <v>5885</v>
      </c>
      <c r="R136" s="24">
        <f>-SUMIF(Zvf51!$A$2:$A$189,fp!$B136,Zvf51!$AI$2:$AI$189)</f>
        <v>206658.48</v>
      </c>
      <c r="S136" s="12">
        <f>+SUMIF(Zvf51!$A$2:$A$189,fp!$B136,Zvf51!$P$2:$P$189)</f>
        <v>1580</v>
      </c>
      <c r="T136" s="18">
        <f>+SUMIF(Zvf51!$A$2:$A$189,fp!$B136,Zvf51!$AP$2:$AP$189)</f>
        <v>55483.5</v>
      </c>
      <c r="V136" s="12">
        <f t="shared" si="23"/>
        <v>0</v>
      </c>
      <c r="W136" s="12">
        <f t="shared" si="24"/>
        <v>2.9999999998835847E-2</v>
      </c>
      <c r="X136" s="12">
        <f t="shared" si="25"/>
        <v>0</v>
      </c>
      <c r="Y136" s="12">
        <f t="shared" si="26"/>
        <v>-2.9999999998835847E-2</v>
      </c>
      <c r="Z136" s="12">
        <f t="shared" si="27"/>
        <v>0</v>
      </c>
      <c r="AA136" s="12">
        <f t="shared" si="28"/>
        <v>5.9999999997671694E-2</v>
      </c>
    </row>
    <row r="137" spans="1:27" ht="25.5" x14ac:dyDescent="0.2">
      <c r="A137" s="9">
        <v>133</v>
      </c>
      <c r="B137" s="10" t="s">
        <v>531</v>
      </c>
      <c r="C137" s="10" t="s">
        <v>566</v>
      </c>
      <c r="D137" s="11" t="s">
        <v>26</v>
      </c>
      <c r="E137" s="12">
        <v>156</v>
      </c>
      <c r="F137" s="12">
        <v>6494.19</v>
      </c>
      <c r="G137" s="12">
        <v>4811</v>
      </c>
      <c r="H137" s="12">
        <v>180575.58</v>
      </c>
      <c r="I137" s="12">
        <v>3762</v>
      </c>
      <c r="J137" s="12">
        <v>141686.47</v>
      </c>
      <c r="K137" s="12">
        <v>1205</v>
      </c>
      <c r="L137" s="31">
        <v>45383.3</v>
      </c>
      <c r="M137" s="13"/>
      <c r="O137" s="12">
        <f>+SUMIF(Zvf51!$A$2:$A$189,fp!$B137,Zvf51!$F$2:$F$189)</f>
        <v>4811</v>
      </c>
      <c r="P137" s="18">
        <f>+SUMIF(Zvf51!$A$2:$A$189,fp!$B137,Zvf51!$AF$2:$AF$189)</f>
        <v>180575.62</v>
      </c>
      <c r="Q137" s="12">
        <f>-SUMIF(Zvf51!$A$2:$A$189,fp!$B137,Zvf51!$I$2:$I$189)</f>
        <v>3762</v>
      </c>
      <c r="R137" s="24">
        <f>-SUMIF(Zvf51!$A$2:$A$189,fp!$B137,Zvf51!$AI$2:$AI$189)</f>
        <v>141686.46</v>
      </c>
      <c r="S137" s="12">
        <f>+SUMIF(Zvf51!$A$2:$A$189,fp!$B137,Zvf51!$P$2:$P$189)</f>
        <v>1205</v>
      </c>
      <c r="T137" s="18">
        <f>+SUMIF(Zvf51!$A$2:$A$189,fp!$B137,Zvf51!$AP$2:$AP$189)</f>
        <v>45383.35</v>
      </c>
      <c r="V137" s="12">
        <f t="shared" si="23"/>
        <v>0</v>
      </c>
      <c r="W137" s="12">
        <f t="shared" si="24"/>
        <v>4.0000000008149073E-2</v>
      </c>
      <c r="X137" s="12">
        <f t="shared" si="25"/>
        <v>0</v>
      </c>
      <c r="Y137" s="12">
        <f t="shared" si="26"/>
        <v>-1.0000000009313226E-2</v>
      </c>
      <c r="Z137" s="12">
        <f t="shared" si="27"/>
        <v>0</v>
      </c>
      <c r="AA137" s="12">
        <f t="shared" si="28"/>
        <v>4.9999999995634425E-2</v>
      </c>
    </row>
    <row r="138" spans="1:27" ht="25.5" x14ac:dyDescent="0.2">
      <c r="A138" s="9">
        <v>134</v>
      </c>
      <c r="B138" s="10" t="s">
        <v>491</v>
      </c>
      <c r="C138" s="10" t="s">
        <v>492</v>
      </c>
      <c r="D138" s="11" t="s">
        <v>26</v>
      </c>
      <c r="E138" s="12">
        <v>44</v>
      </c>
      <c r="F138" s="12">
        <v>1487.73</v>
      </c>
      <c r="G138" s="12">
        <v>4689</v>
      </c>
      <c r="H138" s="12">
        <v>148614.29999999999</v>
      </c>
      <c r="I138" s="12">
        <v>3504</v>
      </c>
      <c r="J138" s="12">
        <v>111125.6</v>
      </c>
      <c r="K138" s="12">
        <v>1229</v>
      </c>
      <c r="L138" s="31">
        <v>38976.43</v>
      </c>
      <c r="M138" s="13"/>
      <c r="O138" s="12">
        <f>+SUMIF(Zvf51!$A$2:$A$189,fp!$B138,Zvf51!$F$2:$F$189)</f>
        <v>4689</v>
      </c>
      <c r="P138" s="18">
        <f>+SUMIF(Zvf51!$A$2:$A$189,fp!$B138,Zvf51!$AF$2:$AF$189)</f>
        <v>148614.29</v>
      </c>
      <c r="Q138" s="12">
        <f>-SUMIF(Zvf51!$A$2:$A$189,fp!$B138,Zvf51!$I$2:$I$189)</f>
        <v>3504</v>
      </c>
      <c r="R138" s="24">
        <f>-SUMIF(Zvf51!$A$2:$A$189,fp!$B138,Zvf51!$AI$2:$AI$189)</f>
        <v>111125.6</v>
      </c>
      <c r="S138" s="12">
        <f>+SUMIF(Zvf51!$A$2:$A$189,fp!$B138,Zvf51!$P$2:$P$189)</f>
        <v>1229</v>
      </c>
      <c r="T138" s="18">
        <f>+SUMIF(Zvf51!$A$2:$A$189,fp!$B138,Zvf51!$AP$2:$AP$189)</f>
        <v>38976.42</v>
      </c>
      <c r="V138" s="12">
        <f t="shared" si="23"/>
        <v>0</v>
      </c>
      <c r="W138" s="12">
        <f t="shared" si="24"/>
        <v>-9.9999999802093953E-3</v>
      </c>
      <c r="X138" s="12">
        <f t="shared" si="25"/>
        <v>0</v>
      </c>
      <c r="Y138" s="12">
        <f t="shared" si="26"/>
        <v>0</v>
      </c>
      <c r="Z138" s="12">
        <f t="shared" si="27"/>
        <v>0</v>
      </c>
      <c r="AA138" s="12">
        <f t="shared" si="28"/>
        <v>-1.0000000002037268E-2</v>
      </c>
    </row>
    <row r="139" spans="1:27" ht="12.75" customHeight="1" x14ac:dyDescent="0.2">
      <c r="A139" s="9">
        <v>135</v>
      </c>
      <c r="B139" s="10" t="s">
        <v>505</v>
      </c>
      <c r="C139" s="10" t="s">
        <v>595</v>
      </c>
      <c r="D139" s="11" t="s">
        <v>26</v>
      </c>
      <c r="E139" s="12">
        <v>0</v>
      </c>
      <c r="F139" s="12">
        <v>0</v>
      </c>
      <c r="G139" s="12">
        <v>3312</v>
      </c>
      <c r="H139" s="12">
        <v>124123.44</v>
      </c>
      <c r="I139" s="12">
        <v>1706</v>
      </c>
      <c r="J139" s="12">
        <v>63935.55</v>
      </c>
      <c r="K139" s="12">
        <v>1606</v>
      </c>
      <c r="L139" s="31">
        <v>60187.89</v>
      </c>
      <c r="M139" s="13"/>
      <c r="O139" s="12">
        <f>+SUMIF(Zvf51!$A$2:$A$189,fp!$B139,Zvf51!$F$2:$F$189)</f>
        <v>3312</v>
      </c>
      <c r="P139" s="18">
        <f>+SUMIF(Zvf51!$A$2:$A$189,fp!$B139,Zvf51!$AF$2:$AF$189)</f>
        <v>124123.42</v>
      </c>
      <c r="Q139" s="12">
        <f>-SUMIF(Zvf51!$A$2:$A$189,fp!$B139,Zvf51!$I$2:$I$189)</f>
        <v>1706</v>
      </c>
      <c r="R139" s="24">
        <f>-SUMIF(Zvf51!$A$2:$A$189,fp!$B139,Zvf51!$AI$2:$AI$189)</f>
        <v>63935.55</v>
      </c>
      <c r="S139" s="12">
        <f>+SUMIF(Zvf51!$A$2:$A$189,fp!$B139,Zvf51!$P$2:$P$189)</f>
        <v>1606</v>
      </c>
      <c r="T139" s="18">
        <f>+SUMIF(Zvf51!$A$2:$A$189,fp!$B139,Zvf51!$AP$2:$AP$189)</f>
        <v>60187.87</v>
      </c>
      <c r="V139" s="12">
        <f t="shared" si="23"/>
        <v>0</v>
      </c>
      <c r="W139" s="12">
        <f t="shared" si="24"/>
        <v>-2.0000000004074536E-2</v>
      </c>
      <c r="X139" s="12">
        <f t="shared" si="25"/>
        <v>0</v>
      </c>
      <c r="Y139" s="12">
        <f t="shared" si="26"/>
        <v>0</v>
      </c>
      <c r="Z139" s="12">
        <f t="shared" si="27"/>
        <v>0</v>
      </c>
      <c r="AA139" s="12">
        <f t="shared" si="28"/>
        <v>-1.9999999996798579E-2</v>
      </c>
    </row>
    <row r="140" spans="1:27" ht="25.5" x14ac:dyDescent="0.2">
      <c r="A140" s="9">
        <v>136</v>
      </c>
      <c r="B140" s="10" t="s">
        <v>507</v>
      </c>
      <c r="C140" s="10" t="s">
        <v>553</v>
      </c>
      <c r="D140" s="11" t="s">
        <v>26</v>
      </c>
      <c r="E140" s="12">
        <v>1333</v>
      </c>
      <c r="F140" s="12">
        <v>69293.02</v>
      </c>
      <c r="G140" s="12">
        <v>4510</v>
      </c>
      <c r="H140" s="12">
        <v>191875.20000000001</v>
      </c>
      <c r="I140" s="12">
        <v>5012</v>
      </c>
      <c r="J140" s="12">
        <v>224024.51</v>
      </c>
      <c r="K140" s="12">
        <v>831</v>
      </c>
      <c r="L140" s="31">
        <v>37143.71</v>
      </c>
      <c r="M140" s="13"/>
      <c r="O140" s="12">
        <f>+SUMIF(Zvf51!$A$2:$A$189,fp!$B140,Zvf51!$F$2:$F$189)</f>
        <v>4510</v>
      </c>
      <c r="P140" s="18">
        <f>+SUMIF(Zvf51!$A$2:$A$189,fp!$B140,Zvf51!$AF$2:$AF$189)</f>
        <v>191875.21</v>
      </c>
      <c r="Q140" s="12">
        <f>-SUMIF(Zvf51!$A$2:$A$189,fp!$B140,Zvf51!$I$2:$I$189)</f>
        <v>5012</v>
      </c>
      <c r="R140" s="24">
        <f>-SUMIF(Zvf51!$A$2:$A$189,fp!$B140,Zvf51!$AI$2:$AI$189)</f>
        <v>224024.5</v>
      </c>
      <c r="S140" s="12">
        <f>+SUMIF(Zvf51!$A$2:$A$189,fp!$B140,Zvf51!$P$2:$P$189)</f>
        <v>831</v>
      </c>
      <c r="T140" s="18">
        <f>+SUMIF(Zvf51!$A$2:$A$189,fp!$B140,Zvf51!$AP$2:$AP$189)</f>
        <v>37143.730000000003</v>
      </c>
      <c r="V140" s="12">
        <f t="shared" si="23"/>
        <v>0</v>
      </c>
      <c r="W140" s="12">
        <f t="shared" si="24"/>
        <v>9.9999999802093953E-3</v>
      </c>
      <c r="X140" s="12">
        <f t="shared" si="25"/>
        <v>0</v>
      </c>
      <c r="Y140" s="12">
        <f t="shared" si="26"/>
        <v>-1.0000000009313226E-2</v>
      </c>
      <c r="Z140" s="12">
        <f t="shared" si="27"/>
        <v>0</v>
      </c>
      <c r="AA140" s="12">
        <f t="shared" si="28"/>
        <v>2.0000000004074536E-2</v>
      </c>
    </row>
    <row r="141" spans="1:27" ht="25.5" x14ac:dyDescent="0.2">
      <c r="A141" s="9">
        <v>137</v>
      </c>
      <c r="B141" s="10" t="s">
        <v>533</v>
      </c>
      <c r="C141" s="10" t="s">
        <v>554</v>
      </c>
      <c r="D141" s="11" t="s">
        <v>26</v>
      </c>
      <c r="E141" s="12">
        <v>1653</v>
      </c>
      <c r="F141" s="12">
        <v>76286.98</v>
      </c>
      <c r="G141" s="12">
        <v>12492</v>
      </c>
      <c r="H141" s="12">
        <v>474165.09</v>
      </c>
      <c r="I141" s="12">
        <v>10520</v>
      </c>
      <c r="J141" s="12">
        <v>409385.43</v>
      </c>
      <c r="K141" s="12">
        <v>3625</v>
      </c>
      <c r="L141" s="31">
        <v>141066.64000000001</v>
      </c>
      <c r="M141" s="13"/>
      <c r="O141" s="12">
        <f>+SUMIF(Zvf51!$A$2:$A$189,fp!$B141,Zvf51!$F$2:$F$189)</f>
        <v>12492</v>
      </c>
      <c r="P141" s="18">
        <f>+SUMIF(Zvf51!$A$2:$A$189,fp!$B141,Zvf51!$AF$2:$AF$189)</f>
        <v>474165.18</v>
      </c>
      <c r="Q141" s="12">
        <f>-SUMIF(Zvf51!$A$2:$A$189,fp!$B141,Zvf51!$I$2:$I$189)</f>
        <v>10520</v>
      </c>
      <c r="R141" s="24">
        <f>-SUMIF(Zvf51!$A$2:$A$189,fp!$B141,Zvf51!$AI$2:$AI$189)</f>
        <v>409385.42</v>
      </c>
      <c r="S141" s="12">
        <f>+SUMIF(Zvf51!$A$2:$A$189,fp!$B141,Zvf51!$P$2:$P$189)</f>
        <v>3625</v>
      </c>
      <c r="T141" s="18">
        <f>+SUMIF(Zvf51!$A$2:$A$189,fp!$B141,Zvf51!$AP$2:$AP$189)</f>
        <v>141066.74</v>
      </c>
      <c r="V141" s="12">
        <f t="shared" si="23"/>
        <v>0</v>
      </c>
      <c r="W141" s="12">
        <f t="shared" si="24"/>
        <v>8.999999996740371E-2</v>
      </c>
      <c r="X141" s="12">
        <f t="shared" si="25"/>
        <v>0</v>
      </c>
      <c r="Y141" s="12">
        <f t="shared" si="26"/>
        <v>-1.0000000009313226E-2</v>
      </c>
      <c r="Z141" s="12">
        <f t="shared" si="27"/>
        <v>0</v>
      </c>
      <c r="AA141" s="12">
        <f t="shared" si="28"/>
        <v>9.9999999976716936E-2</v>
      </c>
    </row>
    <row r="142" spans="1:27" ht="25.5" x14ac:dyDescent="0.2">
      <c r="A142" s="9">
        <v>138</v>
      </c>
      <c r="B142" s="10" t="s">
        <v>493</v>
      </c>
      <c r="C142" s="10" t="s">
        <v>494</v>
      </c>
      <c r="D142" s="11" t="s">
        <v>26</v>
      </c>
      <c r="E142" s="12">
        <v>407</v>
      </c>
      <c r="F142" s="12">
        <v>14579.24</v>
      </c>
      <c r="G142" s="12">
        <v>0</v>
      </c>
      <c r="H142" s="12">
        <v>0</v>
      </c>
      <c r="I142" s="12">
        <v>0</v>
      </c>
      <c r="J142" s="12">
        <v>0</v>
      </c>
      <c r="K142" s="12">
        <v>407</v>
      </c>
      <c r="L142" s="31">
        <v>14579.24</v>
      </c>
      <c r="M142" s="13"/>
      <c r="O142" s="12">
        <f>+SUMIF(Zvf51!$A$2:$A$189,fp!$B142,Zvf51!$F$2:$F$189)</f>
        <v>0</v>
      </c>
      <c r="P142" s="18">
        <f>+SUMIF(Zvf51!$A$2:$A$189,fp!$B142,Zvf51!$AF$2:$AF$189)</f>
        <v>0</v>
      </c>
      <c r="Q142" s="12">
        <f>-SUMIF(Zvf51!$A$2:$A$189,fp!$B142,Zvf51!$I$2:$I$189)</f>
        <v>0</v>
      </c>
      <c r="R142" s="24">
        <f>-SUMIF(Zvf51!$A$2:$A$189,fp!$B142,Zvf51!$AI$2:$AI$189)</f>
        <v>0</v>
      </c>
      <c r="S142" s="12">
        <f>+SUMIF(Zvf51!$A$2:$A$189,fp!$B142,Zvf51!$P$2:$P$189)</f>
        <v>407</v>
      </c>
      <c r="T142" s="18">
        <f>+SUMIF(Zvf51!$A$2:$A$189,fp!$B142,Zvf51!$AP$2:$AP$189)</f>
        <v>14579.24</v>
      </c>
      <c r="V142" s="12">
        <f t="shared" si="23"/>
        <v>0</v>
      </c>
      <c r="W142" s="12">
        <f t="shared" si="24"/>
        <v>0</v>
      </c>
      <c r="X142" s="12">
        <f t="shared" si="25"/>
        <v>0</v>
      </c>
      <c r="Y142" s="12">
        <f t="shared" si="26"/>
        <v>0</v>
      </c>
      <c r="Z142" s="12">
        <f t="shared" si="27"/>
        <v>0</v>
      </c>
      <c r="AA142" s="12">
        <f t="shared" si="28"/>
        <v>0</v>
      </c>
    </row>
    <row r="143" spans="1:27" ht="25.5" x14ac:dyDescent="0.2">
      <c r="A143" s="9">
        <v>139</v>
      </c>
      <c r="B143" s="10" t="s">
        <v>468</v>
      </c>
      <c r="C143" s="10" t="s">
        <v>476</v>
      </c>
      <c r="D143" s="11" t="s">
        <v>26</v>
      </c>
      <c r="E143" s="12">
        <v>1577</v>
      </c>
      <c r="F143" s="12">
        <v>75551.839999999997</v>
      </c>
      <c r="G143" s="12">
        <v>5364</v>
      </c>
      <c r="H143" s="12">
        <v>216575.83</v>
      </c>
      <c r="I143" s="12">
        <v>5227</v>
      </c>
      <c r="J143" s="12">
        <v>219990.12</v>
      </c>
      <c r="K143" s="12">
        <v>1714</v>
      </c>
      <c r="L143" s="31">
        <v>72137.55</v>
      </c>
      <c r="M143" s="13"/>
      <c r="O143" s="12">
        <f>+SUMIF(Zvf51!$A$2:$A$189,fp!$B143,Zvf51!$F$2:$F$189)</f>
        <v>5364</v>
      </c>
      <c r="P143" s="18">
        <f>+SUMIF(Zvf51!$A$2:$A$189,fp!$B143,Zvf51!$AF$2:$AF$189)</f>
        <v>216575.84</v>
      </c>
      <c r="Q143" s="12">
        <f>-SUMIF(Zvf51!$A$2:$A$189,fp!$B143,Zvf51!$I$2:$I$189)</f>
        <v>5227</v>
      </c>
      <c r="R143" s="24">
        <f>-SUMIF(Zvf51!$A$2:$A$189,fp!$B143,Zvf51!$AI$2:$AI$189)</f>
        <v>219990.11</v>
      </c>
      <c r="S143" s="12">
        <f>+SUMIF(Zvf51!$A$2:$A$189,fp!$B143,Zvf51!$P$2:$P$189)</f>
        <v>1714</v>
      </c>
      <c r="T143" s="18">
        <f>+SUMIF(Zvf51!$A$2:$A$189,fp!$B143,Zvf51!$AP$2:$AP$189)</f>
        <v>72137.570000000007</v>
      </c>
      <c r="V143" s="12">
        <f t="shared" si="23"/>
        <v>0</v>
      </c>
      <c r="W143" s="12">
        <f t="shared" si="24"/>
        <v>1.0000000009313226E-2</v>
      </c>
      <c r="X143" s="12">
        <f t="shared" si="25"/>
        <v>0</v>
      </c>
      <c r="Y143" s="12">
        <f t="shared" si="26"/>
        <v>-1.0000000009313226E-2</v>
      </c>
      <c r="Z143" s="12">
        <f t="shared" si="27"/>
        <v>0</v>
      </c>
      <c r="AA143" s="12">
        <f t="shared" si="28"/>
        <v>2.0000000004074536E-2</v>
      </c>
    </row>
    <row r="144" spans="1:27" ht="25.5" x14ac:dyDescent="0.2">
      <c r="A144" s="9">
        <v>140</v>
      </c>
      <c r="B144" s="10" t="s">
        <v>587</v>
      </c>
      <c r="C144" s="10" t="s">
        <v>596</v>
      </c>
      <c r="D144" s="11" t="s">
        <v>26</v>
      </c>
      <c r="E144" s="12">
        <v>0</v>
      </c>
      <c r="F144" s="12">
        <v>0</v>
      </c>
      <c r="G144" s="12">
        <v>3360</v>
      </c>
      <c r="H144" s="12">
        <v>103901.95</v>
      </c>
      <c r="I144" s="12">
        <v>1569</v>
      </c>
      <c r="J144" s="12">
        <v>48518.5</v>
      </c>
      <c r="K144" s="12">
        <v>1791</v>
      </c>
      <c r="L144" s="31">
        <v>55383.45</v>
      </c>
      <c r="M144" s="13"/>
      <c r="O144" s="12">
        <f>+SUMIF(Zvf51!$A$2:$A$189,fp!$B144,Zvf51!$F$2:$F$189)</f>
        <v>3360</v>
      </c>
      <c r="P144" s="18">
        <f>+SUMIF(Zvf51!$A$2:$A$189,fp!$B144,Zvf51!$AF$2:$AF$189)</f>
        <v>103901.95</v>
      </c>
      <c r="Q144" s="12">
        <f>-SUMIF(Zvf51!$A$2:$A$189,fp!$B144,Zvf51!$I$2:$I$189)</f>
        <v>1569</v>
      </c>
      <c r="R144" s="24">
        <f>-SUMIF(Zvf51!$A$2:$A$189,fp!$B144,Zvf51!$AI$2:$AI$189)</f>
        <v>48518.5</v>
      </c>
      <c r="S144" s="12">
        <f>+SUMIF(Zvf51!$A$2:$A$189,fp!$B144,Zvf51!$P$2:$P$189)</f>
        <v>1791</v>
      </c>
      <c r="T144" s="18">
        <f>+SUMIF(Zvf51!$A$2:$A$189,fp!$B144,Zvf51!$AP$2:$AP$189)</f>
        <v>55383.45</v>
      </c>
      <c r="V144" s="12">
        <f t="shared" si="23"/>
        <v>0</v>
      </c>
      <c r="W144" s="12">
        <f t="shared" si="24"/>
        <v>0</v>
      </c>
      <c r="X144" s="12">
        <f t="shared" si="25"/>
        <v>0</v>
      </c>
      <c r="Y144" s="12">
        <f t="shared" si="26"/>
        <v>0</v>
      </c>
      <c r="Z144" s="12">
        <f t="shared" si="27"/>
        <v>0</v>
      </c>
      <c r="AA144" s="12">
        <f t="shared" si="28"/>
        <v>0</v>
      </c>
    </row>
    <row r="145" spans="1:27" ht="12.75" customHeight="1" x14ac:dyDescent="0.2">
      <c r="A145" s="9">
        <v>141</v>
      </c>
      <c r="B145" s="10" t="s">
        <v>535</v>
      </c>
      <c r="C145" s="10" t="s">
        <v>555</v>
      </c>
      <c r="D145" s="11" t="s">
        <v>26</v>
      </c>
      <c r="E145" s="12">
        <v>95</v>
      </c>
      <c r="F145" s="12">
        <v>3449.36</v>
      </c>
      <c r="G145" s="12">
        <v>0</v>
      </c>
      <c r="H145" s="12">
        <v>0</v>
      </c>
      <c r="I145" s="12">
        <v>0</v>
      </c>
      <c r="J145" s="12">
        <v>0</v>
      </c>
      <c r="K145" s="12">
        <v>95</v>
      </c>
      <c r="L145" s="31">
        <v>3449.36</v>
      </c>
      <c r="M145" s="30"/>
      <c r="O145" s="12">
        <f>+SUMIF(Zvf51!$A$2:$A$189,fp!$B145,Zvf51!$F$2:$F$189)</f>
        <v>0</v>
      </c>
      <c r="P145" s="18">
        <f>+SUMIF(Zvf51!$A$2:$A$189,fp!$B145,Zvf51!$AF$2:$AF$189)</f>
        <v>0</v>
      </c>
      <c r="Q145" s="12">
        <f>-SUMIF(Zvf51!$A$2:$A$189,fp!$B145,Zvf51!$I$2:$I$189)</f>
        <v>0</v>
      </c>
      <c r="R145" s="24">
        <f>-SUMIF(Zvf51!$A$2:$A$189,fp!$B145,Zvf51!$AI$2:$AI$189)</f>
        <v>0</v>
      </c>
      <c r="S145" s="12">
        <f>+SUMIF(Zvf51!$A$2:$A$189,fp!$B145,Zvf51!$P$2:$P$189)</f>
        <v>95</v>
      </c>
      <c r="T145" s="18">
        <f>+SUMIF(Zvf51!$A$2:$A$189,fp!$B145,Zvf51!$AP$2:$AP$189)</f>
        <v>3449.36</v>
      </c>
      <c r="V145" s="12">
        <f t="shared" si="23"/>
        <v>0</v>
      </c>
      <c r="W145" s="12">
        <f t="shared" si="24"/>
        <v>0</v>
      </c>
      <c r="X145" s="12">
        <f t="shared" si="25"/>
        <v>0</v>
      </c>
      <c r="Y145" s="12">
        <f t="shared" si="26"/>
        <v>0</v>
      </c>
      <c r="Z145" s="12">
        <f t="shared" si="27"/>
        <v>0</v>
      </c>
      <c r="AA145" s="12">
        <f t="shared" si="28"/>
        <v>0</v>
      </c>
    </row>
    <row r="146" spans="1:27" ht="12.75" customHeight="1" x14ac:dyDescent="0.2">
      <c r="A146" s="9">
        <v>142</v>
      </c>
      <c r="B146" s="10" t="s">
        <v>537</v>
      </c>
      <c r="C146" s="10" t="s">
        <v>602</v>
      </c>
      <c r="D146" s="11" t="s">
        <v>26</v>
      </c>
      <c r="E146" s="12">
        <v>0</v>
      </c>
      <c r="F146" s="12">
        <v>0</v>
      </c>
      <c r="G146" s="12">
        <v>2588</v>
      </c>
      <c r="H146" s="12">
        <v>90492.29</v>
      </c>
      <c r="I146" s="12">
        <v>0</v>
      </c>
      <c r="J146" s="12">
        <v>0</v>
      </c>
      <c r="K146" s="12">
        <v>2588</v>
      </c>
      <c r="L146" s="31">
        <v>90492.29</v>
      </c>
      <c r="M146" s="32"/>
      <c r="O146" s="12">
        <f>+SUMIF(Zvf51!$A$2:$A$189,fp!$B146,Zvf51!$F$2:$F$189)</f>
        <v>2588</v>
      </c>
      <c r="P146" s="18">
        <f>+SUMIF(Zvf51!$A$2:$A$189,fp!$B146,Zvf51!$AF$2:$AF$189)</f>
        <v>90492.31</v>
      </c>
      <c r="Q146" s="12">
        <f>-SUMIF(Zvf51!$A$2:$A$189,fp!$B146,Zvf51!$I$2:$I$189)</f>
        <v>0</v>
      </c>
      <c r="R146" s="24">
        <f>-SUMIF(Zvf51!$A$2:$A$189,fp!$B146,Zvf51!$AI$2:$AI$189)</f>
        <v>0</v>
      </c>
      <c r="S146" s="12">
        <f>+SUMIF(Zvf51!$A$2:$A$189,fp!$B146,Zvf51!$P$2:$P$189)</f>
        <v>2588</v>
      </c>
      <c r="T146" s="18">
        <f>+SUMIF(Zvf51!$A$2:$A$189,fp!$B146,Zvf51!$AP$2:$AP$189)</f>
        <v>90492.31</v>
      </c>
      <c r="V146" s="12">
        <f t="shared" si="23"/>
        <v>0</v>
      </c>
      <c r="W146" s="12">
        <f t="shared" si="24"/>
        <v>2.0000000004074536E-2</v>
      </c>
      <c r="X146" s="12">
        <f t="shared" si="25"/>
        <v>0</v>
      </c>
      <c r="Y146" s="12">
        <f t="shared" si="26"/>
        <v>0</v>
      </c>
      <c r="Z146" s="12">
        <f t="shared" si="27"/>
        <v>0</v>
      </c>
      <c r="AA146" s="12">
        <f t="shared" si="28"/>
        <v>2.0000000004074536E-2</v>
      </c>
    </row>
    <row r="147" spans="1:27" ht="25.5" x14ac:dyDescent="0.2">
      <c r="A147" s="9">
        <v>143</v>
      </c>
      <c r="B147" s="10" t="s">
        <v>562</v>
      </c>
      <c r="C147" s="10" t="s">
        <v>572</v>
      </c>
      <c r="D147" s="11" t="s">
        <v>26</v>
      </c>
      <c r="E147" s="12">
        <v>101</v>
      </c>
      <c r="F147" s="12">
        <v>4454.01</v>
      </c>
      <c r="G147" s="12">
        <v>2</v>
      </c>
      <c r="H147" s="12">
        <v>73.02</v>
      </c>
      <c r="I147" s="12">
        <v>0</v>
      </c>
      <c r="J147" s="12">
        <v>0</v>
      </c>
      <c r="K147" s="12">
        <v>103</v>
      </c>
      <c r="L147" s="31">
        <v>4527.03</v>
      </c>
      <c r="O147" s="12">
        <f>+SUMIF(Zvf51!$A$2:$A$189,fp!$B147,Zvf51!$F$2:$F$189)</f>
        <v>2</v>
      </c>
      <c r="P147" s="18">
        <f>+SUMIF(Zvf51!$A$2:$A$189,fp!$B147,Zvf51!$AF$2:$AF$189)</f>
        <v>73.02</v>
      </c>
      <c r="Q147" s="12">
        <f>-SUMIF(Zvf51!$A$2:$A$189,fp!$B147,Zvf51!$I$2:$I$189)</f>
        <v>0</v>
      </c>
      <c r="R147" s="24">
        <f>-SUMIF(Zvf51!$A$2:$A$189,fp!$B147,Zvf51!$AI$2:$AI$189)</f>
        <v>0</v>
      </c>
      <c r="S147" s="12">
        <f>+SUMIF(Zvf51!$A$2:$A$189,fp!$B147,Zvf51!$P$2:$P$189)</f>
        <v>103</v>
      </c>
      <c r="T147" s="18">
        <f>+SUMIF(Zvf51!$A$2:$A$189,fp!$B147,Zvf51!$AP$2:$AP$189)</f>
        <v>4527.03</v>
      </c>
      <c r="V147" s="12">
        <f t="shared" si="23"/>
        <v>0</v>
      </c>
      <c r="W147" s="12">
        <f t="shared" si="24"/>
        <v>0</v>
      </c>
      <c r="X147" s="12">
        <f t="shared" si="25"/>
        <v>0</v>
      </c>
      <c r="Y147" s="12">
        <f t="shared" si="26"/>
        <v>0</v>
      </c>
      <c r="Z147" s="12">
        <f t="shared" si="27"/>
        <v>0</v>
      </c>
      <c r="AA147" s="12">
        <f t="shared" si="28"/>
        <v>0</v>
      </c>
    </row>
    <row r="148" spans="1:27" ht="25.5" x14ac:dyDescent="0.2">
      <c r="A148" s="9">
        <v>144</v>
      </c>
      <c r="B148" s="10" t="s">
        <v>564</v>
      </c>
      <c r="C148" s="10" t="s">
        <v>573</v>
      </c>
      <c r="D148" s="11" t="s">
        <v>26</v>
      </c>
      <c r="E148" s="12">
        <v>66</v>
      </c>
      <c r="F148" s="12">
        <v>2643.66</v>
      </c>
      <c r="G148" s="12">
        <v>4259</v>
      </c>
      <c r="H148" s="12">
        <v>163916.69</v>
      </c>
      <c r="I148" s="12">
        <v>2998</v>
      </c>
      <c r="J148" s="12">
        <v>115456.17</v>
      </c>
      <c r="K148" s="12">
        <v>1327</v>
      </c>
      <c r="L148" s="31">
        <v>51104.18</v>
      </c>
      <c r="O148" s="12">
        <f>+SUMIF(Zvf51!$A$2:$A$189,fp!$B148,Zvf51!$F$2:$F$189)</f>
        <v>4259</v>
      </c>
      <c r="P148" s="18">
        <f>+SUMIF(Zvf51!$A$2:$A$189,fp!$B148,Zvf51!$AF$2:$AF$189)</f>
        <v>163916.70000000001</v>
      </c>
      <c r="Q148" s="12">
        <f>-SUMIF(Zvf51!$A$2:$A$189,fp!$B148,Zvf51!$I$2:$I$189)</f>
        <v>2998</v>
      </c>
      <c r="R148" s="24">
        <f>-SUMIF(Zvf51!$A$2:$A$189,fp!$B148,Zvf51!$AI$2:$AI$189)</f>
        <v>115456.18</v>
      </c>
      <c r="S148" s="12">
        <f>+SUMIF(Zvf51!$A$2:$A$189,fp!$B148,Zvf51!$P$2:$P$189)</f>
        <v>1327</v>
      </c>
      <c r="T148" s="18">
        <f>+SUMIF(Zvf51!$A$2:$A$189,fp!$B148,Zvf51!$AP$2:$AP$189)</f>
        <v>51104.18</v>
      </c>
      <c r="V148" s="12">
        <f t="shared" si="23"/>
        <v>0</v>
      </c>
      <c r="W148" s="12">
        <f t="shared" si="24"/>
        <v>1.0000000009313226E-2</v>
      </c>
      <c r="X148" s="12">
        <f t="shared" si="25"/>
        <v>0</v>
      </c>
      <c r="Y148" s="12">
        <f t="shared" si="26"/>
        <v>9.9999999947613105E-3</v>
      </c>
      <c r="Z148" s="12">
        <f t="shared" si="27"/>
        <v>0</v>
      </c>
      <c r="AA148" s="12">
        <f t="shared" si="28"/>
        <v>0</v>
      </c>
    </row>
    <row r="149" spans="1:27" ht="25.5" x14ac:dyDescent="0.2">
      <c r="A149" s="9">
        <v>145</v>
      </c>
      <c r="B149" s="10" t="s">
        <v>576</v>
      </c>
      <c r="C149" s="10" t="s">
        <v>580</v>
      </c>
      <c r="D149" s="11" t="s">
        <v>26</v>
      </c>
      <c r="E149" s="12">
        <v>83</v>
      </c>
      <c r="F149" s="12">
        <v>3747.87</v>
      </c>
      <c r="G149" s="12">
        <v>0</v>
      </c>
      <c r="H149" s="12">
        <v>0</v>
      </c>
      <c r="I149" s="12">
        <v>0</v>
      </c>
      <c r="J149" s="12">
        <v>0</v>
      </c>
      <c r="K149" s="12">
        <v>83</v>
      </c>
      <c r="L149" s="31">
        <v>3747.87</v>
      </c>
      <c r="O149" s="12">
        <f>+SUMIF(Zvf51!$A$2:$A$189,fp!$B149,Zvf51!$F$2:$F$189)</f>
        <v>0</v>
      </c>
      <c r="P149" s="18">
        <f>+SUMIF(Zvf51!$A$2:$A$189,fp!$B149,Zvf51!$AF$2:$AF$189)</f>
        <v>0</v>
      </c>
      <c r="Q149" s="12">
        <f>-SUMIF(Zvf51!$A$2:$A$189,fp!$B149,Zvf51!$I$2:$I$189)</f>
        <v>0</v>
      </c>
      <c r="R149" s="24">
        <f>-SUMIF(Zvf51!$A$2:$A$189,fp!$B149,Zvf51!$AI$2:$AI$189)</f>
        <v>0</v>
      </c>
      <c r="S149" s="12">
        <f>+SUMIF(Zvf51!$A$2:$A$189,fp!$B149,Zvf51!$P$2:$P$189)</f>
        <v>83</v>
      </c>
      <c r="T149" s="18">
        <f>+SUMIF(Zvf51!$A$2:$A$189,fp!$B149,Zvf51!$AP$2:$AP$189)</f>
        <v>3747.87</v>
      </c>
      <c r="V149" s="12">
        <f t="shared" si="23"/>
        <v>0</v>
      </c>
      <c r="W149" s="12">
        <f t="shared" si="24"/>
        <v>0</v>
      </c>
      <c r="X149" s="12">
        <f t="shared" si="25"/>
        <v>0</v>
      </c>
      <c r="Y149" s="12">
        <f t="shared" si="26"/>
        <v>0</v>
      </c>
      <c r="Z149" s="12">
        <f t="shared" si="27"/>
        <v>0</v>
      </c>
      <c r="AA149" s="12">
        <f t="shared" si="28"/>
        <v>0</v>
      </c>
    </row>
    <row r="150" spans="1:27" ht="25.5" x14ac:dyDescent="0.2">
      <c r="A150" s="9">
        <v>146</v>
      </c>
      <c r="B150" s="10" t="s">
        <v>510</v>
      </c>
      <c r="C150" s="10" t="s">
        <v>542</v>
      </c>
      <c r="D150" s="11" t="s">
        <v>26</v>
      </c>
      <c r="E150" s="12">
        <v>580</v>
      </c>
      <c r="F150" s="12">
        <v>22691.47</v>
      </c>
      <c r="G150" s="12">
        <v>10</v>
      </c>
      <c r="H150" s="12">
        <v>363.93</v>
      </c>
      <c r="I150" s="12">
        <v>0</v>
      </c>
      <c r="J150" s="12">
        <v>0</v>
      </c>
      <c r="K150" s="12">
        <v>590</v>
      </c>
      <c r="L150" s="31">
        <v>23055.4</v>
      </c>
      <c r="O150" s="12">
        <f>+SUMIF(Zvf51!$A$2:$A$189,fp!$B150,Zvf51!$F$2:$F$189)</f>
        <v>10</v>
      </c>
      <c r="P150" s="18">
        <f>+SUMIF(Zvf51!$A$2:$A$189,fp!$B150,Zvf51!$AF$2:$AF$189)</f>
        <v>363.93</v>
      </c>
      <c r="Q150" s="12">
        <f>-SUMIF(Zvf51!$A$2:$A$189,fp!$B150,Zvf51!$I$2:$I$189)</f>
        <v>0</v>
      </c>
      <c r="R150" s="24">
        <f>-SUMIF(Zvf51!$A$2:$A$189,fp!$B150,Zvf51!$AI$2:$AI$189)</f>
        <v>0</v>
      </c>
      <c r="S150" s="12">
        <f>+SUMIF(Zvf51!$A$2:$A$189,fp!$B150,Zvf51!$P$2:$P$189)</f>
        <v>590</v>
      </c>
      <c r="T150" s="18">
        <f>+SUMIF(Zvf51!$A$2:$A$189,fp!$B150,Zvf51!$AP$2:$AP$189)</f>
        <v>23055.4</v>
      </c>
      <c r="V150" s="12">
        <f t="shared" si="23"/>
        <v>0</v>
      </c>
      <c r="W150" s="12">
        <f t="shared" si="24"/>
        <v>0</v>
      </c>
      <c r="X150" s="12">
        <f t="shared" si="25"/>
        <v>0</v>
      </c>
      <c r="Y150" s="12">
        <f t="shared" si="26"/>
        <v>0</v>
      </c>
      <c r="Z150" s="12">
        <f t="shared" si="27"/>
        <v>0</v>
      </c>
      <c r="AA150" s="12">
        <f t="shared" si="28"/>
        <v>0</v>
      </c>
    </row>
    <row r="151" spans="1:27" ht="25.5" x14ac:dyDescent="0.2">
      <c r="A151" s="9">
        <v>147</v>
      </c>
      <c r="B151" s="10" t="s">
        <v>512</v>
      </c>
      <c r="C151" s="10" t="s">
        <v>543</v>
      </c>
      <c r="D151" s="11" t="s">
        <v>26</v>
      </c>
      <c r="E151" s="12">
        <v>20</v>
      </c>
      <c r="F151" s="12">
        <v>750.88</v>
      </c>
      <c r="G151" s="12">
        <v>130</v>
      </c>
      <c r="H151" s="12">
        <v>4732.1899999999996</v>
      </c>
      <c r="I151" s="12">
        <v>0</v>
      </c>
      <c r="J151" s="12">
        <v>0</v>
      </c>
      <c r="K151" s="12">
        <v>150</v>
      </c>
      <c r="L151" s="31">
        <v>5483.07</v>
      </c>
      <c r="O151" s="12">
        <f>+SUMIF(Zvf51!$A$2:$A$189,fp!$B151,Zvf51!$F$2:$F$189)</f>
        <v>130</v>
      </c>
      <c r="P151" s="18">
        <f>+SUMIF(Zvf51!$A$2:$A$189,fp!$B151,Zvf51!$AF$2:$AF$189)</f>
        <v>4732.1899999999996</v>
      </c>
      <c r="Q151" s="12">
        <f>-SUMIF(Zvf51!$A$2:$A$189,fp!$B151,Zvf51!$I$2:$I$189)</f>
        <v>0</v>
      </c>
      <c r="R151" s="24">
        <f>-SUMIF(Zvf51!$A$2:$A$189,fp!$B151,Zvf51!$AI$2:$AI$189)</f>
        <v>0</v>
      </c>
      <c r="S151" s="12">
        <f>+SUMIF(Zvf51!$A$2:$A$189,fp!$B151,Zvf51!$P$2:$P$189)</f>
        <v>150</v>
      </c>
      <c r="T151" s="18">
        <f>+SUMIF(Zvf51!$A$2:$A$189,fp!$B151,Zvf51!$AP$2:$AP$189)</f>
        <v>5483.07</v>
      </c>
      <c r="V151" s="12">
        <f t="shared" si="23"/>
        <v>0</v>
      </c>
      <c r="W151" s="12">
        <f t="shared" si="24"/>
        <v>0</v>
      </c>
      <c r="X151" s="12">
        <f t="shared" si="25"/>
        <v>0</v>
      </c>
      <c r="Y151" s="12">
        <f t="shared" si="26"/>
        <v>0</v>
      </c>
      <c r="Z151" s="12">
        <f t="shared" si="27"/>
        <v>0</v>
      </c>
      <c r="AA151" s="12">
        <f t="shared" si="28"/>
        <v>0</v>
      </c>
    </row>
    <row r="152" spans="1:27" ht="25.5" x14ac:dyDescent="0.2">
      <c r="A152" s="9">
        <v>148</v>
      </c>
      <c r="B152" s="10" t="s">
        <v>514</v>
      </c>
      <c r="C152" s="10" t="s">
        <v>544</v>
      </c>
      <c r="D152" s="11" t="s">
        <v>26</v>
      </c>
      <c r="E152" s="12">
        <v>7</v>
      </c>
      <c r="F152" s="12">
        <v>258.83999999999997</v>
      </c>
      <c r="G152" s="12">
        <v>1</v>
      </c>
      <c r="H152" s="12">
        <v>36.04</v>
      </c>
      <c r="I152" s="12">
        <v>0</v>
      </c>
      <c r="J152" s="12">
        <v>0</v>
      </c>
      <c r="K152" s="12">
        <v>8</v>
      </c>
      <c r="L152" s="31">
        <v>294.88</v>
      </c>
      <c r="O152" s="12">
        <f>+SUMIF(Zvf51!$A$2:$A$189,fp!$B152,Zvf51!$F$2:$F$189)</f>
        <v>1</v>
      </c>
      <c r="P152" s="18">
        <f>+SUMIF(Zvf51!$A$2:$A$189,fp!$B152,Zvf51!$AF$2:$AF$189)</f>
        <v>36.04</v>
      </c>
      <c r="Q152" s="12">
        <f>-SUMIF(Zvf51!$A$2:$A$189,fp!$B152,Zvf51!$I$2:$I$189)</f>
        <v>0</v>
      </c>
      <c r="R152" s="24">
        <f>-SUMIF(Zvf51!$A$2:$A$189,fp!$B152,Zvf51!$AI$2:$AI$189)</f>
        <v>0</v>
      </c>
      <c r="S152" s="12">
        <f>+SUMIF(Zvf51!$A$2:$A$189,fp!$B152,Zvf51!$P$2:$P$189)</f>
        <v>8</v>
      </c>
      <c r="T152" s="18">
        <f>+SUMIF(Zvf51!$A$2:$A$189,fp!$B152,Zvf51!$AP$2:$AP$189)</f>
        <v>294.88</v>
      </c>
      <c r="V152" s="12">
        <f t="shared" si="23"/>
        <v>0</v>
      </c>
      <c r="W152" s="12">
        <f t="shared" si="24"/>
        <v>0</v>
      </c>
      <c r="X152" s="12">
        <f t="shared" si="25"/>
        <v>0</v>
      </c>
      <c r="Y152" s="12">
        <f t="shared" si="26"/>
        <v>0</v>
      </c>
      <c r="Z152" s="12">
        <f t="shared" si="27"/>
        <v>0</v>
      </c>
      <c r="AA152" s="12">
        <f t="shared" si="28"/>
        <v>0</v>
      </c>
    </row>
    <row r="153" spans="1:27" ht="25.5" x14ac:dyDescent="0.2">
      <c r="A153" s="9">
        <v>149</v>
      </c>
      <c r="B153" s="10" t="s">
        <v>589</v>
      </c>
      <c r="C153" s="10" t="s">
        <v>603</v>
      </c>
      <c r="D153" s="11" t="s">
        <v>26</v>
      </c>
      <c r="E153" s="12">
        <v>0</v>
      </c>
      <c r="F153" s="12">
        <v>0</v>
      </c>
      <c r="G153" s="12">
        <v>72</v>
      </c>
      <c r="H153" s="12">
        <v>2675.24</v>
      </c>
      <c r="I153" s="12">
        <v>0</v>
      </c>
      <c r="J153" s="12">
        <v>0</v>
      </c>
      <c r="K153" s="12">
        <v>72</v>
      </c>
      <c r="L153" s="31">
        <v>2675.24</v>
      </c>
      <c r="O153" s="12">
        <f>+SUMIF(Zvf51!$A$2:$A$189,fp!$B153,Zvf51!$F$2:$F$189)</f>
        <v>72</v>
      </c>
      <c r="P153" s="18">
        <f>+SUMIF(Zvf51!$A$2:$A$189,fp!$B153,Zvf51!$AF$2:$AF$189)</f>
        <v>2675.24</v>
      </c>
      <c r="Q153" s="12">
        <f>-SUMIF(Zvf51!$A$2:$A$189,fp!$B153,Zvf51!$I$2:$I$189)</f>
        <v>0</v>
      </c>
      <c r="R153" s="24">
        <f>-SUMIF(Zvf51!$A$2:$A$189,fp!$B153,Zvf51!$AI$2:$AI$189)</f>
        <v>0</v>
      </c>
      <c r="S153" s="12">
        <f>+SUMIF(Zvf51!$A$2:$A$189,fp!$B153,Zvf51!$P$2:$P$189)</f>
        <v>72</v>
      </c>
      <c r="T153" s="18">
        <f>+SUMIF(Zvf51!$A$2:$A$189,fp!$B153,Zvf51!$AP$2:$AP$189)</f>
        <v>2675.24</v>
      </c>
      <c r="V153" s="12">
        <f t="shared" si="23"/>
        <v>0</v>
      </c>
      <c r="W153" s="12">
        <f t="shared" si="24"/>
        <v>0</v>
      </c>
      <c r="X153" s="12">
        <f t="shared" si="25"/>
        <v>0</v>
      </c>
      <c r="Y153" s="12">
        <f t="shared" si="26"/>
        <v>0</v>
      </c>
      <c r="Z153" s="12">
        <f t="shared" si="27"/>
        <v>0</v>
      </c>
      <c r="AA153" s="12">
        <f t="shared" si="28"/>
        <v>0</v>
      </c>
    </row>
    <row r="154" spans="1:27" ht="25.5" x14ac:dyDescent="0.2">
      <c r="A154" s="9">
        <v>150</v>
      </c>
      <c r="B154" s="10" t="s">
        <v>495</v>
      </c>
      <c r="C154" s="10" t="s">
        <v>496</v>
      </c>
      <c r="D154" s="11" t="s">
        <v>26</v>
      </c>
      <c r="E154" s="12">
        <v>45</v>
      </c>
      <c r="F154" s="12">
        <v>1789.05</v>
      </c>
      <c r="G154" s="12">
        <v>21</v>
      </c>
      <c r="H154" s="12">
        <v>756.91</v>
      </c>
      <c r="I154" s="12">
        <v>0</v>
      </c>
      <c r="J154" s="12">
        <v>0</v>
      </c>
      <c r="K154" s="12">
        <v>66</v>
      </c>
      <c r="L154" s="31">
        <v>2545.96</v>
      </c>
      <c r="O154" s="12">
        <f>+SUMIF(Zvf51!$A$2:$A$189,fp!$B154,Zvf51!$F$2:$F$189)</f>
        <v>21</v>
      </c>
      <c r="P154" s="18">
        <f>+SUMIF(Zvf51!$A$2:$A$189,fp!$B154,Zvf51!$AF$2:$AF$189)</f>
        <v>756.91</v>
      </c>
      <c r="Q154" s="12">
        <f>-SUMIF(Zvf51!$A$2:$A$189,fp!$B154,Zvf51!$I$2:$I$189)</f>
        <v>0</v>
      </c>
      <c r="R154" s="24">
        <f>-SUMIF(Zvf51!$A$2:$A$189,fp!$B154,Zvf51!$AI$2:$AI$189)</f>
        <v>0</v>
      </c>
      <c r="S154" s="12">
        <f>+SUMIF(Zvf51!$A$2:$A$189,fp!$B154,Zvf51!$P$2:$P$189)</f>
        <v>66</v>
      </c>
      <c r="T154" s="18">
        <f>+SUMIF(Zvf51!$A$2:$A$189,fp!$B154,Zvf51!$AP$2:$AP$189)</f>
        <v>2545.96</v>
      </c>
      <c r="V154" s="12">
        <f t="shared" si="23"/>
        <v>0</v>
      </c>
      <c r="W154" s="12">
        <f t="shared" si="24"/>
        <v>0</v>
      </c>
      <c r="X154" s="12">
        <f t="shared" si="25"/>
        <v>0</v>
      </c>
      <c r="Y154" s="12">
        <f t="shared" si="26"/>
        <v>0</v>
      </c>
      <c r="Z154" s="12">
        <f t="shared" si="27"/>
        <v>0</v>
      </c>
      <c r="AA154" s="12">
        <f t="shared" si="28"/>
        <v>0</v>
      </c>
    </row>
    <row r="155" spans="1:27" ht="25.5" x14ac:dyDescent="0.2">
      <c r="A155" s="9">
        <v>151</v>
      </c>
      <c r="B155" s="10" t="s">
        <v>591</v>
      </c>
      <c r="C155" s="10" t="s">
        <v>604</v>
      </c>
      <c r="D155" s="11" t="s">
        <v>26</v>
      </c>
      <c r="E155" s="12">
        <v>0</v>
      </c>
      <c r="F155" s="12">
        <v>0</v>
      </c>
      <c r="G155" s="12">
        <v>64</v>
      </c>
      <c r="H155" s="12">
        <v>1892.5</v>
      </c>
      <c r="I155" s="12">
        <v>0</v>
      </c>
      <c r="J155" s="12">
        <v>0</v>
      </c>
      <c r="K155" s="12">
        <v>64</v>
      </c>
      <c r="L155" s="31">
        <v>1892.5</v>
      </c>
      <c r="O155" s="12">
        <f>+SUMIF(Zvf51!$A$2:$A$189,fp!$B155,Zvf51!$F$2:$F$189)</f>
        <v>64</v>
      </c>
      <c r="P155" s="18">
        <f>+SUMIF(Zvf51!$A$2:$A$189,fp!$B155,Zvf51!$AF$2:$AF$189)</f>
        <v>1892.5</v>
      </c>
      <c r="Q155" s="12">
        <f>-SUMIF(Zvf51!$A$2:$A$189,fp!$B155,Zvf51!$I$2:$I$189)</f>
        <v>0</v>
      </c>
      <c r="R155" s="24">
        <f>-SUMIF(Zvf51!$A$2:$A$189,fp!$B155,Zvf51!$AI$2:$AI$189)</f>
        <v>0</v>
      </c>
      <c r="S155" s="12">
        <f>+SUMIF(Zvf51!$A$2:$A$189,fp!$B155,Zvf51!$P$2:$P$189)</f>
        <v>64</v>
      </c>
      <c r="T155" s="18">
        <f>+SUMIF(Zvf51!$A$2:$A$189,fp!$B155,Zvf51!$AP$2:$AP$189)</f>
        <v>1892.5</v>
      </c>
      <c r="V155" s="12">
        <f t="shared" si="23"/>
        <v>0</v>
      </c>
      <c r="W155" s="12">
        <f t="shared" si="24"/>
        <v>0</v>
      </c>
      <c r="X155" s="12">
        <f t="shared" si="25"/>
        <v>0</v>
      </c>
      <c r="Y155" s="12">
        <f t="shared" si="26"/>
        <v>0</v>
      </c>
      <c r="Z155" s="12">
        <f t="shared" si="27"/>
        <v>0</v>
      </c>
      <c r="AA155" s="12">
        <f t="shared" si="28"/>
        <v>0</v>
      </c>
    </row>
    <row r="156" spans="1:27" ht="25.5" x14ac:dyDescent="0.2">
      <c r="A156" s="9">
        <v>152</v>
      </c>
      <c r="B156" s="10" t="s">
        <v>593</v>
      </c>
      <c r="C156" s="10" t="s">
        <v>605</v>
      </c>
      <c r="D156" s="11" t="s">
        <v>26</v>
      </c>
      <c r="E156" s="12">
        <v>0</v>
      </c>
      <c r="F156" s="12">
        <v>0</v>
      </c>
      <c r="G156" s="12">
        <v>84</v>
      </c>
      <c r="H156" s="12">
        <v>2592.48</v>
      </c>
      <c r="I156" s="12">
        <v>0</v>
      </c>
      <c r="J156" s="12">
        <v>0</v>
      </c>
      <c r="K156" s="12">
        <v>84</v>
      </c>
      <c r="L156" s="31">
        <v>2592.48</v>
      </c>
      <c r="O156" s="12">
        <f>+SUMIF(Zvf51!$A$2:$A$189,fp!$B156,Zvf51!$F$2:$F$189)</f>
        <v>84</v>
      </c>
      <c r="P156" s="18">
        <f>+SUMIF(Zvf51!$A$2:$A$189,fp!$B156,Zvf51!$AF$2:$AF$189)</f>
        <v>2592.48</v>
      </c>
      <c r="Q156" s="12">
        <f>-SUMIF(Zvf51!$A$2:$A$189,fp!$B156,Zvf51!$I$2:$I$189)</f>
        <v>0</v>
      </c>
      <c r="R156" s="24">
        <f>-SUMIF(Zvf51!$A$2:$A$189,fp!$B156,Zvf51!$AI$2:$AI$189)</f>
        <v>0</v>
      </c>
      <c r="S156" s="12">
        <f>+SUMIF(Zvf51!$A$2:$A$189,fp!$B156,Zvf51!$P$2:$P$189)</f>
        <v>84</v>
      </c>
      <c r="T156" s="18">
        <f>+SUMIF(Zvf51!$A$2:$A$189,fp!$B156,Zvf51!$AP$2:$AP$189)</f>
        <v>2592.48</v>
      </c>
      <c r="V156" s="12">
        <f t="shared" si="23"/>
        <v>0</v>
      </c>
      <c r="W156" s="12">
        <f t="shared" si="24"/>
        <v>0</v>
      </c>
      <c r="X156" s="12">
        <f t="shared" si="25"/>
        <v>0</v>
      </c>
      <c r="Y156" s="12">
        <f t="shared" si="26"/>
        <v>0</v>
      </c>
      <c r="Z156" s="12">
        <f t="shared" si="27"/>
        <v>0</v>
      </c>
      <c r="AA156" s="12">
        <f t="shared" si="28"/>
        <v>0</v>
      </c>
    </row>
    <row r="157" spans="1:27" ht="12.75" customHeight="1" x14ac:dyDescent="0.2">
      <c r="A157" s="14"/>
      <c r="B157" s="37" t="s">
        <v>125</v>
      </c>
      <c r="C157" s="37"/>
      <c r="D157" s="37"/>
      <c r="E157" s="15">
        <f t="shared" ref="E157:L157" si="29">SUBTOTAL(9,E5:E156)</f>
        <v>140876</v>
      </c>
      <c r="F157" s="15">
        <f t="shared" si="29"/>
        <v>5529170.4700000035</v>
      </c>
      <c r="G157" s="15">
        <f t="shared" si="29"/>
        <v>265354</v>
      </c>
      <c r="H157" s="15">
        <f t="shared" si="29"/>
        <v>9279574.7400000002</v>
      </c>
      <c r="I157" s="15">
        <f t="shared" si="29"/>
        <v>256284</v>
      </c>
      <c r="J157" s="15">
        <f t="shared" si="29"/>
        <v>9395561.2699999958</v>
      </c>
      <c r="K157" s="15">
        <f t="shared" si="29"/>
        <v>149946</v>
      </c>
      <c r="L157" s="29">
        <f t="shared" si="29"/>
        <v>5413183.9400000004</v>
      </c>
      <c r="O157" s="15">
        <f>SUBTOTAL(9,O5:O156)</f>
        <v>265324</v>
      </c>
      <c r="P157" s="15">
        <f t="shared" ref="P157:T157" si="30">SUBTOTAL(9,P5:P156)</f>
        <v>9278302.6700000018</v>
      </c>
      <c r="Q157" s="15">
        <f t="shared" si="30"/>
        <v>256224</v>
      </c>
      <c r="R157" s="15">
        <f t="shared" si="30"/>
        <v>9392879.8499999959</v>
      </c>
      <c r="S157" s="15">
        <f t="shared" si="30"/>
        <v>149946</v>
      </c>
      <c r="T157" s="15">
        <f t="shared" si="30"/>
        <v>5413184.040000001</v>
      </c>
      <c r="V157" s="15">
        <f>SUBTOTAL(9,V14:V156)</f>
        <v>-30</v>
      </c>
      <c r="W157" s="15">
        <f t="shared" ref="W157:AA157" si="31">SUBTOTAL(9,W14:W156)</f>
        <v>-1271.9799999999491</v>
      </c>
      <c r="X157" s="15">
        <f t="shared" si="31"/>
        <v>-60</v>
      </c>
      <c r="Y157" s="15">
        <f t="shared" si="31"/>
        <v>-2681.4500000000253</v>
      </c>
      <c r="Z157" s="15">
        <f t="shared" si="31"/>
        <v>0</v>
      </c>
      <c r="AA157" s="15">
        <f t="shared" si="31"/>
        <v>0.22999999996636689</v>
      </c>
    </row>
  </sheetData>
  <autoFilter ref="A4:AC127"/>
  <mergeCells count="15">
    <mergeCell ref="B157:D157"/>
    <mergeCell ref="A2:A3"/>
    <mergeCell ref="B2:B3"/>
    <mergeCell ref="C2:C3"/>
    <mergeCell ref="D2:D3"/>
    <mergeCell ref="E2:F2"/>
    <mergeCell ref="Z2:AA2"/>
    <mergeCell ref="G2:H2"/>
    <mergeCell ref="I2:J2"/>
    <mergeCell ref="K2:L2"/>
    <mergeCell ref="O2:P2"/>
    <mergeCell ref="Q2:R2"/>
    <mergeCell ref="S2:T2"/>
    <mergeCell ref="V2:W2"/>
    <mergeCell ref="X2:Y2"/>
  </mergeCells>
  <printOptions horizontalCentered="1"/>
  <pageMargins left="0" right="0" top="0.59" bottom="0.59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</vt:lpstr>
      <vt:lpstr>Zvf51</vt:lpstr>
      <vt:lpstr>fp</vt:lpstr>
      <vt:lpstr>Sheet1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TỔNG HỢP NHẬP - XUẤT - TỒN</dc:title>
  <dc:subject>TỔNG HỢP NHẬP - XUẤT - TỒN</dc:subject>
  <dc:creator>Bravo 7 2.7.7.0</dc:creator>
  <cp:lastModifiedBy>Do Duc Anh</cp:lastModifiedBy>
  <dcterms:created xsi:type="dcterms:W3CDTF">2017-05-15T07:03:45Z</dcterms:created>
  <dcterms:modified xsi:type="dcterms:W3CDTF">2018-04-13T09:50:25Z</dcterms:modified>
</cp:coreProperties>
</file>