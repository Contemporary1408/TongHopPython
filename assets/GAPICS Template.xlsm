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ustomProperty2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18.29.7\BTMV-Data\4-ACCOUNTING\10.G-APICS\Automate GAPICS\"/>
    </mc:Choice>
  </mc:AlternateContent>
  <xr:revisionPtr revIDLastSave="0" documentId="13_ncr:1_{CF6072C8-47CA-43B0-9E0F-0E7AF171EABA}" xr6:coauthVersionLast="47" xr6:coauthVersionMax="47" xr10:uidLastSave="{00000000-0000-0000-0000-000000000000}"/>
  <bookViews>
    <workbookView xWindow="-120" yWindow="-120" windowWidth="20730" windowHeight="11040" tabRatio="596" activeTab="1" xr2:uid="{00000000-000D-0000-FFFF-FFFF00000000}"/>
  </bookViews>
  <sheets>
    <sheet name="SAP data" sheetId="1" r:id="rId1"/>
    <sheet name="Billings data" sheetId="6" r:id="rId2"/>
    <sheet name="RRW" sheetId="7" r:id="rId3"/>
    <sheet name="Auto" sheetId="5" r:id="rId4"/>
  </sheets>
  <definedNames>
    <definedName name="_xlnm._FilterDatabase" localSheetId="2" hidden="1">RRW!$A$2:$C$304</definedName>
    <definedName name="_xlnm._FilterDatabase" localSheetId="0" hidden="1">'SAP data'!$A$2:$BQ$3022</definedName>
    <definedName name="Bill">'Billings data'!$A$1</definedName>
    <definedName name="Bill1">'Billings data'!$I$1</definedName>
    <definedName name="ExternalData_1" localSheetId="1" hidden="1">'Billings data'!$A$5:$H$445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6" l="1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B2" i="5"/>
  <c r="I1" i="5" l="1"/>
  <c r="H4" i="5" s="1"/>
  <c r="H3" i="5" s="1"/>
  <c r="AL1" i="1"/>
  <c r="T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69690BD-30EE-4E5E-8CAC-131608919518}" keepAlive="1" name="Query - E-invoice" description="Connection to the 'E-invoice' query in the workbook." type="5" refreshedVersion="8" background="1" saveData="1">
    <dbPr connection="Provider=Microsoft.Mashup.OleDb.1;Data Source=$Workbook$;Location=E-invoice;Extended Properties=&quot;&quot;" command="SELECT * FROM [E-invoice]"/>
  </connection>
  <connection id="2" xr16:uid="{0D8F2589-1D5E-464F-973D-1694540A8890}" keepAlive="1" name="Query - E-invoice (nextmonth)" description="Connection to the 'E-invoice (nextmonth)' query in the workbook." type="5" refreshedVersion="0" background="1">
    <dbPr connection="Provider=Microsoft.Mashup.OleDb.1;Data Source=$Workbook$;Location=&quot;E-invoice (nextmonth)&quot;;Extended Properties=&quot;&quot;" command="SELECT * FROM [E-invoice (nextmonth)]"/>
  </connection>
</connections>
</file>

<file path=xl/sharedStrings.xml><?xml version="1.0" encoding="utf-8"?>
<sst xmlns="http://schemas.openxmlformats.org/spreadsheetml/2006/main" count="46618" uniqueCount="5727">
  <si>
    <t>Download date</t>
  </si>
  <si>
    <t>Company</t>
  </si>
  <si>
    <t>Posting date</t>
  </si>
  <si>
    <t>Document number</t>
  </si>
  <si>
    <t>Items</t>
  </si>
  <si>
    <t>Cost center</t>
  </si>
  <si>
    <t>Material code</t>
  </si>
  <si>
    <t>Quantity</t>
  </si>
  <si>
    <t>Amount in doc. curr.</t>
  </si>
  <si>
    <t>Amount in local currency</t>
  </si>
  <si>
    <t>Document currency</t>
  </si>
  <si>
    <t>SAP G/L Account</t>
  </si>
  <si>
    <t>Text</t>
  </si>
  <si>
    <t>Customer</t>
  </si>
  <si>
    <t>Biz Code</t>
  </si>
  <si>
    <t>Set Code</t>
  </si>
  <si>
    <t>RRW</t>
  </si>
  <si>
    <t>Local currency</t>
  </si>
  <si>
    <t>Material Description</t>
  </si>
  <si>
    <t>Sales Channel</t>
  </si>
  <si>
    <t>Customer Name</t>
  </si>
  <si>
    <t>Product Code Type</t>
  </si>
  <si>
    <t>BS Group Flag</t>
  </si>
  <si>
    <t>Ship to country</t>
  </si>
  <si>
    <t>Internal order</t>
  </si>
  <si>
    <t>Sold to company</t>
  </si>
  <si>
    <t>Shipping country</t>
  </si>
  <si>
    <t>Document type</t>
  </si>
  <si>
    <t>Sales Year-Month</t>
  </si>
  <si>
    <t>Customer Category</t>
  </si>
  <si>
    <t>M3</t>
  </si>
  <si>
    <t>4</t>
  </si>
  <si>
    <t>6</t>
  </si>
  <si>
    <t>9</t>
  </si>
  <si>
    <t>11</t>
  </si>
  <si>
    <t>12</t>
  </si>
  <si>
    <t>14</t>
  </si>
  <si>
    <t>15</t>
  </si>
  <si>
    <t>17</t>
  </si>
  <si>
    <t>21</t>
  </si>
  <si>
    <t>24</t>
  </si>
  <si>
    <t>25</t>
  </si>
  <si>
    <t>26</t>
  </si>
  <si>
    <t>27</t>
  </si>
  <si>
    <t>28</t>
  </si>
  <si>
    <t>29</t>
  </si>
  <si>
    <t>30</t>
  </si>
  <si>
    <t>33</t>
  </si>
  <si>
    <t>34</t>
  </si>
  <si>
    <t>35</t>
  </si>
  <si>
    <t>36</t>
  </si>
  <si>
    <t>37</t>
  </si>
  <si>
    <t>40</t>
  </si>
  <si>
    <t>42</t>
  </si>
  <si>
    <t>50</t>
  </si>
  <si>
    <t>51</t>
  </si>
  <si>
    <t>52</t>
  </si>
  <si>
    <t>53</t>
  </si>
  <si>
    <t>54</t>
  </si>
  <si>
    <t>55</t>
  </si>
  <si>
    <t>56</t>
  </si>
  <si>
    <t>57</t>
  </si>
  <si>
    <t>61</t>
  </si>
  <si>
    <t>62</t>
  </si>
  <si>
    <t>63</t>
  </si>
  <si>
    <t>64</t>
  </si>
  <si>
    <t>65</t>
  </si>
  <si>
    <t>66</t>
  </si>
  <si>
    <t>67</t>
  </si>
  <si>
    <t>Total line</t>
  </si>
  <si>
    <t>100000A</t>
  </si>
  <si>
    <t>BRIDGESTONE CORPORATION</t>
  </si>
  <si>
    <t>PSR0V47D</t>
  </si>
  <si>
    <t>355000A</t>
  </si>
  <si>
    <t>PSR0V187</t>
  </si>
  <si>
    <t>PSR0V50D</t>
  </si>
  <si>
    <t>PSR0V213</t>
  </si>
  <si>
    <t>PSR0V48D</t>
  </si>
  <si>
    <t>PSR0V13D</t>
  </si>
  <si>
    <t>PSR0V173</t>
  </si>
  <si>
    <t>PSR0V186</t>
  </si>
  <si>
    <t>PSR0V04S</t>
  </si>
  <si>
    <t>PSR0V01S</t>
  </si>
  <si>
    <t>PSR0V05B</t>
  </si>
  <si>
    <t>PSR0V86F</t>
  </si>
  <si>
    <t>PSR0V174</t>
  </si>
  <si>
    <t>PSR0V130</t>
  </si>
  <si>
    <t>PSR0V25S</t>
  </si>
  <si>
    <t>PSR0V16D</t>
  </si>
  <si>
    <t>PSR0V19D</t>
  </si>
  <si>
    <t>PSR0V225</t>
  </si>
  <si>
    <t>PSR0V126</t>
  </si>
  <si>
    <t>PSR0V194</t>
  </si>
  <si>
    <t>PSR0V87F</t>
  </si>
  <si>
    <t>PSR0V05S</t>
  </si>
  <si>
    <t>PSR0V22D</t>
  </si>
  <si>
    <t>PSR0V224</t>
  </si>
  <si>
    <t>PSR0V49D</t>
  </si>
  <si>
    <t>PSR0V11S</t>
  </si>
  <si>
    <t>PSR0V227</t>
  </si>
  <si>
    <t>PSR0V243</t>
  </si>
  <si>
    <t>PSR0V170</t>
  </si>
  <si>
    <t>PSR0V03S</t>
  </si>
  <si>
    <t>PSR0V15D</t>
  </si>
  <si>
    <t>PSR0V45D</t>
  </si>
  <si>
    <t>PSR0V42D</t>
  </si>
  <si>
    <t>PSR0VE1F</t>
  </si>
  <si>
    <t>PSR0VE9F</t>
  </si>
  <si>
    <t>PSR0V17D</t>
  </si>
  <si>
    <t>PSR0V18D</t>
  </si>
  <si>
    <t>PSR0V165</t>
  </si>
  <si>
    <t>PSR0V193</t>
  </si>
  <si>
    <t>PSR0V51D</t>
  </si>
  <si>
    <t>PSR0V46D</t>
  </si>
  <si>
    <t>PSR0V12D</t>
  </si>
  <si>
    <t>PSR0V168</t>
  </si>
  <si>
    <t>PSR0V166</t>
  </si>
  <si>
    <t>PSR0V247</t>
  </si>
  <si>
    <t>PSR0V248</t>
  </si>
  <si>
    <t>PSR0V20D</t>
  </si>
  <si>
    <t>PSR0V52D</t>
  </si>
  <si>
    <t>PSR0V229</t>
  </si>
  <si>
    <t>PSR0V250</t>
  </si>
  <si>
    <t>PSR0V184</t>
  </si>
  <si>
    <t>PSR0V169</t>
  </si>
  <si>
    <t>PSR0V23D</t>
  </si>
  <si>
    <t>PSR0V07S</t>
  </si>
  <si>
    <t>PSR0V01B</t>
  </si>
  <si>
    <t>PSR0V05P</t>
  </si>
  <si>
    <t>PSR0V01P</t>
  </si>
  <si>
    <t>BSTVN</t>
  </si>
  <si>
    <t>PSR0VF6F</t>
  </si>
  <si>
    <t>PSR0VJ7F</t>
  </si>
  <si>
    <t>PSR0V234</t>
  </si>
  <si>
    <t>PSR0V240</t>
  </si>
  <si>
    <t>PSR0V06P</t>
  </si>
  <si>
    <t>PSR0V14D</t>
  </si>
  <si>
    <t>PSR0V28B</t>
  </si>
  <si>
    <t>PSR0VH7F</t>
  </si>
  <si>
    <t>PSR0V21D</t>
  </si>
  <si>
    <t>PSR0V256</t>
  </si>
  <si>
    <t>PSR0VG3F</t>
  </si>
  <si>
    <t>PSR0V81F</t>
  </si>
  <si>
    <t>PSR0V190</t>
  </si>
  <si>
    <t>PSR0VH2F</t>
  </si>
  <si>
    <t>PSR0V215</t>
  </si>
  <si>
    <t>PSR0VH9F</t>
  </si>
  <si>
    <t>PSR0V164</t>
  </si>
  <si>
    <t>PSR0V149</t>
  </si>
  <si>
    <t>PSR0VH3F</t>
  </si>
  <si>
    <t>PSR0V02P</t>
  </si>
  <si>
    <t>PSR0V30B</t>
  </si>
  <si>
    <t>PSR0V239</t>
  </si>
  <si>
    <t>PSR0V179</t>
  </si>
  <si>
    <t>PSR0V03P</t>
  </si>
  <si>
    <t>PSR0V11D</t>
  </si>
  <si>
    <t>PSR0V29D</t>
  </si>
  <si>
    <t>PSR0V208</t>
  </si>
  <si>
    <t>PSR0V43D</t>
  </si>
  <si>
    <t>PSR0VG9F</t>
  </si>
  <si>
    <t>PSR0VJ5F</t>
  </si>
  <si>
    <t>PSR0VF9F</t>
  </si>
  <si>
    <t>PSR0VG6F</t>
  </si>
  <si>
    <t>PSR0VF4F</t>
  </si>
  <si>
    <t>PSR0VJ0F</t>
  </si>
  <si>
    <t>PSR0VH4F</t>
  </si>
  <si>
    <t>PSR0V06S</t>
  </si>
  <si>
    <t>PSR0V27B</t>
  </si>
  <si>
    <t>PSR0V177</t>
  </si>
  <si>
    <t>PSR0V265</t>
  </si>
  <si>
    <t>PSR0V267</t>
  </si>
  <si>
    <t>PSR0VD6F</t>
  </si>
  <si>
    <t>PSR0VG8F</t>
  </si>
  <si>
    <t>PSR0V178</t>
  </si>
  <si>
    <t>FP/GC</t>
  </si>
  <si>
    <t>Inv.</t>
  </si>
  <si>
    <t>P.Code</t>
  </si>
  <si>
    <t>Q'ty</t>
  </si>
  <si>
    <t>Unit price</t>
  </si>
  <si>
    <t>Am't</t>
  </si>
  <si>
    <t>CSNEE</t>
  </si>
  <si>
    <t>GC</t>
  </si>
  <si>
    <t>PSR0V42D3</t>
  </si>
  <si>
    <t>BRIDGESTONE AUSTRALIA</t>
  </si>
  <si>
    <t>PSR0V11D3</t>
  </si>
  <si>
    <t>PSR0V05P3</t>
  </si>
  <si>
    <t>PSR0V29D3</t>
  </si>
  <si>
    <t>PSR0V17D3</t>
  </si>
  <si>
    <t>PSR0V03P3</t>
  </si>
  <si>
    <t>PSR0V48D3</t>
  </si>
  <si>
    <t>PSR0V18D3</t>
  </si>
  <si>
    <t>PSR0V01S3</t>
  </si>
  <si>
    <t>PSR0V15D3</t>
  </si>
  <si>
    <t>PSR0V1933</t>
  </si>
  <si>
    <t>PSR0V25S3</t>
  </si>
  <si>
    <t>PSR0V05S3</t>
  </si>
  <si>
    <t>PSR0V2133</t>
  </si>
  <si>
    <t>PSR0V19D3</t>
  </si>
  <si>
    <t>PSR0V22D3</t>
  </si>
  <si>
    <t>PSR0V02P3</t>
  </si>
  <si>
    <t>PSR0V06P3</t>
  </si>
  <si>
    <t>PSR0V51D3</t>
  </si>
  <si>
    <t>PSR0V11S3</t>
  </si>
  <si>
    <t>PSR0V12D3</t>
  </si>
  <si>
    <t>PSR0V1693</t>
  </si>
  <si>
    <t>PSR0V1493</t>
  </si>
  <si>
    <t>PSR0V16D3</t>
  </si>
  <si>
    <t>PSR0V50D3</t>
  </si>
  <si>
    <t>PSR0V1863</t>
  </si>
  <si>
    <t>PSR0V21D3</t>
  </si>
  <si>
    <t>PSR0V1683</t>
  </si>
  <si>
    <t>PSR0V1653</t>
  </si>
  <si>
    <t>PSR0V1743</t>
  </si>
  <si>
    <t>PSR0V13D3</t>
  </si>
  <si>
    <t>PSR0V52D3</t>
  </si>
  <si>
    <t>PSR0V45D3</t>
  </si>
  <si>
    <t>PSR0V07S3</t>
  </si>
  <si>
    <t>PSR0V23D3</t>
  </si>
  <si>
    <t>PSR0V1663</t>
  </si>
  <si>
    <t>PSR0V03S3</t>
  </si>
  <si>
    <t>PSR0V46D3</t>
  </si>
  <si>
    <t>PSR0V43D3</t>
  </si>
  <si>
    <t>PSR0V01P3</t>
  </si>
  <si>
    <t>PSR0V2563</t>
  </si>
  <si>
    <t>PSR0V1873</t>
  </si>
  <si>
    <t>PSR0V1703</t>
  </si>
  <si>
    <t>PSR0V01B3</t>
  </si>
  <si>
    <t>JREP</t>
  </si>
  <si>
    <t>PSR0V05B3</t>
  </si>
  <si>
    <t>PSR0V2293</t>
  </si>
  <si>
    <t>PSR0V2343</t>
  </si>
  <si>
    <t>BRIDGESTONE NEW ZEALAND</t>
  </si>
  <si>
    <t>PSR0V2083</t>
  </si>
  <si>
    <t>PSR0V49D3</t>
  </si>
  <si>
    <t>PSR0V1643</t>
  </si>
  <si>
    <t>355001A</t>
  </si>
  <si>
    <t>PSR0VF6F3</t>
  </si>
  <si>
    <t>BATO</t>
  </si>
  <si>
    <t>PSR0VH3F3</t>
  </si>
  <si>
    <t>FP</t>
  </si>
  <si>
    <t>PSR0VH2F3</t>
  </si>
  <si>
    <t>PSR0VH9F3</t>
  </si>
  <si>
    <t>PSR0VJ5F3</t>
  </si>
  <si>
    <t>PSR0VH4F3</t>
  </si>
  <si>
    <t>PSR0V27B3</t>
  </si>
  <si>
    <t>PSR0V20D3</t>
  </si>
  <si>
    <t>PSR0V47D3</t>
  </si>
  <si>
    <t>PSR0V1793</t>
  </si>
  <si>
    <t>PSR0V2403</t>
  </si>
  <si>
    <t>PSR0V14D3</t>
  </si>
  <si>
    <t>PSR0V04S3</t>
  </si>
  <si>
    <t>PSR0V1943</t>
  </si>
  <si>
    <t>PSR0V2473</t>
  </si>
  <si>
    <t>PSR0V2483</t>
  </si>
  <si>
    <t>PSR0V2433</t>
  </si>
  <si>
    <t>PSR0V2503</t>
  </si>
  <si>
    <t>PSR0V2243</t>
  </si>
  <si>
    <t>PSR0V1263</t>
  </si>
  <si>
    <t>PSR0V30B3</t>
  </si>
  <si>
    <t>PSR0V2253</t>
  </si>
  <si>
    <t>PSR0V2653</t>
  </si>
  <si>
    <t>PSR0VG8F3</t>
  </si>
  <si>
    <t>PSR0V2673</t>
  </si>
  <si>
    <t>PSR0V1903</t>
  </si>
  <si>
    <t>Buyer</t>
  </si>
  <si>
    <t>BRIDGESTONE ASIA PACIFIC PTE. LTD</t>
  </si>
  <si>
    <t>Bridgestone Tire Sale Viet Nam LLC</t>
  </si>
  <si>
    <t>Cus1</t>
  </si>
  <si>
    <t>Trim</t>
  </si>
  <si>
    <t>Công thức</t>
  </si>
  <si>
    <t>BTMV Code</t>
  </si>
  <si>
    <t>Tire weight (kg)</t>
  </si>
  <si>
    <t>RRW (kg)</t>
  </si>
  <si>
    <t>PSR0V039</t>
  </si>
  <si>
    <t>PSR0VB0F</t>
  </si>
  <si>
    <t>PSR0V035</t>
  </si>
  <si>
    <t>PSR0V122</t>
  </si>
  <si>
    <t>PSR0V11F</t>
  </si>
  <si>
    <t>PSR0V124</t>
  </si>
  <si>
    <t>PSR0V73F</t>
  </si>
  <si>
    <t>PSR0V18F</t>
  </si>
  <si>
    <t>PSR0V19F</t>
  </si>
  <si>
    <t>PSR0VB3F</t>
  </si>
  <si>
    <t>PSR0V109</t>
  </si>
  <si>
    <t>PSR0V140</t>
  </si>
  <si>
    <t>PSR0V132</t>
  </si>
  <si>
    <t>PSR0V72F</t>
  </si>
  <si>
    <t>PSR0V21F</t>
  </si>
  <si>
    <t>PSR0V112</t>
  </si>
  <si>
    <t>PSR0V22F</t>
  </si>
  <si>
    <t>PSR0VA1F</t>
  </si>
  <si>
    <t>PSR0V001</t>
  </si>
  <si>
    <t>PSR0V006</t>
  </si>
  <si>
    <t>PSR0V08F</t>
  </si>
  <si>
    <t>PSR0VA2F</t>
  </si>
  <si>
    <t>PSR0VA3F</t>
  </si>
  <si>
    <t>PSR0VA4F</t>
  </si>
  <si>
    <t>PSR0V07F</t>
  </si>
  <si>
    <t>PSR0V02F</t>
  </si>
  <si>
    <t>PSR0V20F</t>
  </si>
  <si>
    <t>PSR0V12F</t>
  </si>
  <si>
    <t>PSR0V03F</t>
  </si>
  <si>
    <t>PSR0V046</t>
  </si>
  <si>
    <t>PSR0V103</t>
  </si>
  <si>
    <t>PSR0V10S</t>
  </si>
  <si>
    <t>PSR0V09S</t>
  </si>
  <si>
    <t>PSR0V08S</t>
  </si>
  <si>
    <t>PSR0VB2F</t>
  </si>
  <si>
    <t>PSR0V113</t>
  </si>
  <si>
    <t>PSR0V78F</t>
  </si>
  <si>
    <t>PSR0V123</t>
  </si>
  <si>
    <t>PSR0V74F</t>
  </si>
  <si>
    <t>PSR0V92F</t>
  </si>
  <si>
    <t>PSR0V85F</t>
  </si>
  <si>
    <t>PSR0V80F</t>
  </si>
  <si>
    <t>PSR0V84F</t>
  </si>
  <si>
    <t>PSR0VA0F</t>
  </si>
  <si>
    <t>PSR0V83F</t>
  </si>
  <si>
    <t>PSR0V93F</t>
  </si>
  <si>
    <t>PSR0V97F</t>
  </si>
  <si>
    <t>PSR0V89F</t>
  </si>
  <si>
    <t>PSR0VA9F</t>
  </si>
  <si>
    <t>PSR0VC2F</t>
  </si>
  <si>
    <t>PSR0VB5F</t>
  </si>
  <si>
    <t>PSR0VB6F</t>
  </si>
  <si>
    <t>PSR0VB7F</t>
  </si>
  <si>
    <t>PSR0V02S</t>
  </si>
  <si>
    <t>PSR0V82F</t>
  </si>
  <si>
    <t>PSR0V06F</t>
  </si>
  <si>
    <t>PSR0V79F</t>
  </si>
  <si>
    <t>PSR0V75F</t>
  </si>
  <si>
    <t>PSR0V155</t>
  </si>
  <si>
    <t>PSR0V88F</t>
  </si>
  <si>
    <t>PSR0V043</t>
  </si>
  <si>
    <t>PSR0V91F</t>
  </si>
  <si>
    <t>PSR0V005</t>
  </si>
  <si>
    <t>PSR0V114</t>
  </si>
  <si>
    <t>PSR0V135</t>
  </si>
  <si>
    <t>PSR0V77F</t>
  </si>
  <si>
    <t>PSR0V65F</t>
  </si>
  <si>
    <t>PSR0VA6F</t>
  </si>
  <si>
    <t>PSR0VA5F</t>
  </si>
  <si>
    <t>PSR0VA7F</t>
  </si>
  <si>
    <t>PSR0V118</t>
  </si>
  <si>
    <t>PSR0V90F</t>
  </si>
  <si>
    <t>PSR0V16F</t>
  </si>
  <si>
    <t>PSR0VB8F</t>
  </si>
  <si>
    <t>PSR0VB9F</t>
  </si>
  <si>
    <t>PSR0V30D</t>
  </si>
  <si>
    <t>PSR0V011</t>
  </si>
  <si>
    <t>PSR0V040</t>
  </si>
  <si>
    <t>PSR0V032</t>
  </si>
  <si>
    <t>PSR0V015</t>
  </si>
  <si>
    <t>PSR0V014</t>
  </si>
  <si>
    <t>PSR0V002</t>
  </si>
  <si>
    <t>PSR0V004</t>
  </si>
  <si>
    <t>PSR0V042</t>
  </si>
  <si>
    <t>PSR0V007</t>
  </si>
  <si>
    <t>PSR0V012</t>
  </si>
  <si>
    <t>PSR0V033</t>
  </si>
  <si>
    <t>PSR0V116</t>
  </si>
  <si>
    <t>PSR0V013</t>
  </si>
  <si>
    <t>PSR0V24D</t>
  </si>
  <si>
    <t>PSR0V31D</t>
  </si>
  <si>
    <t>PSR0V08B</t>
  </si>
  <si>
    <t>PSR0VC6F</t>
  </si>
  <si>
    <t>PSR0V06B</t>
  </si>
  <si>
    <t>PSR0V143</t>
  </si>
  <si>
    <t>PSR0V145</t>
  </si>
  <si>
    <t>PSR0V146</t>
  </si>
  <si>
    <t>PSR0V147</t>
  </si>
  <si>
    <t>PSR0V04P</t>
  </si>
  <si>
    <t>PSR0V76F</t>
  </si>
  <si>
    <t>PSR0V39D</t>
  </si>
  <si>
    <t>PSR0V41D</t>
  </si>
  <si>
    <t>PSR0V40D</t>
  </si>
  <si>
    <t>PSR0V157</t>
  </si>
  <si>
    <t>PSR0V29B</t>
  </si>
  <si>
    <t>PSR0V18S</t>
  </si>
  <si>
    <t>PSR0V150</t>
  </si>
  <si>
    <t>PSR0V154</t>
  </si>
  <si>
    <t>PSR0V19S</t>
  </si>
  <si>
    <t>PSR0V167</t>
  </si>
  <si>
    <t>PSR0V20S</t>
  </si>
  <si>
    <t>PSR0V21S</t>
  </si>
  <si>
    <t>PSR0V22S</t>
  </si>
  <si>
    <t>PSR0V158</t>
  </si>
  <si>
    <t>PSR0V151</t>
  </si>
  <si>
    <t>PSR0V183</t>
  </si>
  <si>
    <t>PSR0V180</t>
  </si>
  <si>
    <t>PSR0V185</t>
  </si>
  <si>
    <t>PSR0V161</t>
  </si>
  <si>
    <t>PSR0VD1F</t>
  </si>
  <si>
    <t>PSR0V152</t>
  </si>
  <si>
    <t>PSR0V188</t>
  </si>
  <si>
    <t>PSR0V23S</t>
  </si>
  <si>
    <t>PSR0V209</t>
  </si>
  <si>
    <t>PSR0VD2F</t>
  </si>
  <si>
    <t>PSR0VD3F</t>
  </si>
  <si>
    <t>PSR0V53D</t>
  </si>
  <si>
    <t>PSR0V210</t>
  </si>
  <si>
    <t>PSR0V198</t>
  </si>
  <si>
    <t>PSR0V202</t>
  </si>
  <si>
    <t>PSR0V203</t>
  </si>
  <si>
    <t>PSR0V211</t>
  </si>
  <si>
    <t>PSR0V199</t>
  </si>
  <si>
    <t>PSR0VD7F</t>
  </si>
  <si>
    <t>PSR0V195</t>
  </si>
  <si>
    <t>PSR0V212</t>
  </si>
  <si>
    <t>PSR0V197</t>
  </si>
  <si>
    <t>PSR0V196</t>
  </si>
  <si>
    <t>PSR0V217</t>
  </si>
  <si>
    <t>PSR0V200</t>
  </si>
  <si>
    <t>PSR0V214</t>
  </si>
  <si>
    <t>PSR0V221</t>
  </si>
  <si>
    <t>PSR0V226</t>
  </si>
  <si>
    <t>PSR0VE4F</t>
  </si>
  <si>
    <t>PSR0VD9F</t>
  </si>
  <si>
    <t>PSR0VD8F</t>
  </si>
  <si>
    <t>PSR0VE0F</t>
  </si>
  <si>
    <t>PSR0V231</t>
  </si>
  <si>
    <t>PSR0V233</t>
  </si>
  <si>
    <t>PSR0V223</t>
  </si>
  <si>
    <t>PSR0V230</t>
  </si>
  <si>
    <t>PSR0V232</t>
  </si>
  <si>
    <t>PSR0VE5F</t>
  </si>
  <si>
    <t>PSR0VE6F</t>
  </si>
  <si>
    <t>PSR0VE7F</t>
  </si>
  <si>
    <t>PSR0VE8F</t>
  </si>
  <si>
    <t>PSR0VF0F</t>
  </si>
  <si>
    <t>PSR0V235</t>
  </si>
  <si>
    <t>PSR0V236</t>
  </si>
  <si>
    <t>PSR0V237</t>
  </si>
  <si>
    <t>PSR0VF1F</t>
  </si>
  <si>
    <t>PSR0VF2F</t>
  </si>
  <si>
    <t>PSR0VF3F</t>
  </si>
  <si>
    <t>PSR0V249</t>
  </si>
  <si>
    <t>PSR0V238</t>
  </si>
  <si>
    <t>PSR0V257</t>
  </si>
  <si>
    <t>PSR0VG5F</t>
  </si>
  <si>
    <t>PSR0VG2F</t>
  </si>
  <si>
    <t>PSR0VG4F</t>
  </si>
  <si>
    <t>PSR0VG0F</t>
  </si>
  <si>
    <t>PSR0VG1F</t>
  </si>
  <si>
    <t>PSR0V252</t>
  </si>
  <si>
    <t>PSR0V253</t>
  </si>
  <si>
    <t>PSR0VF7F</t>
  </si>
  <si>
    <t>PSR0VF8F</t>
  </si>
  <si>
    <t>PSR0VF5F</t>
  </si>
  <si>
    <t>PSR0V255</t>
  </si>
  <si>
    <t>PSR0V254</t>
  </si>
  <si>
    <t>PSR0V251</t>
  </si>
  <si>
    <t>PSR0VG7F</t>
  </si>
  <si>
    <t>PSR0VH6F</t>
  </si>
  <si>
    <t>PSR0VH5F</t>
  </si>
  <si>
    <t>PSR0VH8F</t>
  </si>
  <si>
    <t>PSR0VJ4F</t>
  </si>
  <si>
    <t>PSR0VJ3F</t>
  </si>
  <si>
    <t>PSR0VJ1F</t>
  </si>
  <si>
    <t>PSR0VJ2F</t>
  </si>
  <si>
    <t>PSR0VH0F</t>
  </si>
  <si>
    <t>PSR0VJ6F</t>
  </si>
  <si>
    <t>PSR0VJ8F</t>
  </si>
  <si>
    <t>PSR0VH1F</t>
  </si>
  <si>
    <t>PSR0V258</t>
  </si>
  <si>
    <t>PSR0V260</t>
  </si>
  <si>
    <t>PSR0V259</t>
  </si>
  <si>
    <t>PSR0V261</t>
  </si>
  <si>
    <t>PSR0V264</t>
  </si>
  <si>
    <t>PSR0V266</t>
  </si>
  <si>
    <t>User SAP:</t>
  </si>
  <si>
    <t>PW SAP:</t>
  </si>
  <si>
    <t>Year:</t>
  </si>
  <si>
    <t>Period:</t>
  </si>
  <si>
    <t>BTMV</t>
  </si>
  <si>
    <t>VND</t>
  </si>
  <si>
    <t>002</t>
  </si>
  <si>
    <t>GI for Delivery</t>
  </si>
  <si>
    <t>AT</t>
  </si>
  <si>
    <t>3</t>
  </si>
  <si>
    <t>USD</t>
  </si>
  <si>
    <t>0</t>
  </si>
  <si>
    <t>BPC</t>
  </si>
  <si>
    <t>EXP</t>
  </si>
  <si>
    <t>2</t>
  </si>
  <si>
    <t>VN</t>
  </si>
  <si>
    <t>ZZ</t>
  </si>
  <si>
    <t>RV</t>
  </si>
  <si>
    <t xml:space="preserve">        100.000</t>
  </si>
  <si>
    <t>079S 155/80 R13     SL10Z   T     D0V0</t>
  </si>
  <si>
    <t>BSJ</t>
  </si>
  <si>
    <t>JP</t>
  </si>
  <si>
    <t>003</t>
  </si>
  <si>
    <t xml:space="preserve">        300.000</t>
  </si>
  <si>
    <t xml:space="preserve">         10431.00</t>
  </si>
  <si>
    <t xml:space="preserve">        10431.00</t>
  </si>
  <si>
    <t xml:space="preserve">          18.000</t>
  </si>
  <si>
    <t>088S 185/65 R15     SL10Z   T     D0V0</t>
  </si>
  <si>
    <t>004</t>
  </si>
  <si>
    <t>075H 155/65 R14     NEWNZ   T     D0V0</t>
  </si>
  <si>
    <t>005</t>
  </si>
  <si>
    <t xml:space="preserve">       1512.000</t>
  </si>
  <si>
    <t xml:space="preserve">         42305.76</t>
  </si>
  <si>
    <t xml:space="preserve">        42305.76</t>
  </si>
  <si>
    <t xml:space="preserve">          60.480</t>
  </si>
  <si>
    <t>075H 155/65 R14     NH2CZ   T     D0V0</t>
  </si>
  <si>
    <t xml:space="preserve">        972.000</t>
  </si>
  <si>
    <t xml:space="preserve">         37674.72</t>
  </si>
  <si>
    <t xml:space="preserve">        37674.72</t>
  </si>
  <si>
    <t xml:space="preserve">          58.320</t>
  </si>
  <si>
    <t>091H 205/55 R16     FSASZ   T U5621TV0</t>
  </si>
  <si>
    <t>US</t>
  </si>
  <si>
    <t xml:space="preserve">        720.000</t>
  </si>
  <si>
    <t xml:space="preserve">         38131.20</t>
  </si>
  <si>
    <t xml:space="preserve">        38131.20</t>
  </si>
  <si>
    <t xml:space="preserve">          66.960</t>
  </si>
  <si>
    <t>102H 225/65 R17     FSASZ   T U4821TV0</t>
  </si>
  <si>
    <t>006</t>
  </si>
  <si>
    <t xml:space="preserve">          9.000</t>
  </si>
  <si>
    <t xml:space="preserve">           0.810</t>
  </si>
  <si>
    <t>102V 235/60 R17     DTH1AZ  T     CEV0</t>
  </si>
  <si>
    <t>BSAP</t>
  </si>
  <si>
    <t>AU</t>
  </si>
  <si>
    <t>BRIDGESTONE ASIA PACIFIC PTE. LTD.</t>
  </si>
  <si>
    <t xml:space="preserve">         23.000</t>
  </si>
  <si>
    <t xml:space="preserve">           819.49</t>
  </si>
  <si>
    <t xml:space="preserve">          819.49</t>
  </si>
  <si>
    <t xml:space="preserve">           1.380</t>
  </si>
  <si>
    <t>088H 185/65 R15     BAR3Z   T     D003</t>
  </si>
  <si>
    <t xml:space="preserve">         16.000</t>
  </si>
  <si>
    <t xml:space="preserve">           1.120</t>
  </si>
  <si>
    <t>095V 215/60 R16     BAR3Z   T     AH03</t>
  </si>
  <si>
    <t xml:space="preserve">         45.000</t>
  </si>
  <si>
    <t>094W 215/55 R17     DT30Z   T     CEV0</t>
  </si>
  <si>
    <t xml:space="preserve">          7.000</t>
  </si>
  <si>
    <t xml:space="preserve">           0.630</t>
  </si>
  <si>
    <t>103V 235/55 R17   XLDTH1AZ  T     CEV0</t>
  </si>
  <si>
    <t>007</t>
  </si>
  <si>
    <t xml:space="preserve">           784.99</t>
  </si>
  <si>
    <t xml:space="preserve">          784.99</t>
  </si>
  <si>
    <t xml:space="preserve">           1.150</t>
  </si>
  <si>
    <t>082H 175/65 R14      SPCZ   T     CHV0</t>
  </si>
  <si>
    <t>008</t>
  </si>
  <si>
    <t xml:space="preserve">          1.000</t>
  </si>
  <si>
    <t xml:space="preserve">           0.080</t>
  </si>
  <si>
    <t>096H 215/60 R17     DTH1AZ  T     CEV0</t>
  </si>
  <si>
    <t>009</t>
  </si>
  <si>
    <t xml:space="preserve">         21.000</t>
  </si>
  <si>
    <t>095W 215/50 R17   XLEA03FZ  T     CEV0</t>
  </si>
  <si>
    <t>010</t>
  </si>
  <si>
    <t xml:space="preserve">         26.000</t>
  </si>
  <si>
    <t xml:space="preserve">           1.300</t>
  </si>
  <si>
    <t>084H 175/70 R14      SPCZ   T     CEV0</t>
  </si>
  <si>
    <t>011</t>
  </si>
  <si>
    <t xml:space="preserve">         32.000</t>
  </si>
  <si>
    <t>091H 195/65 R15      SPCZ   T     CHV0</t>
  </si>
  <si>
    <t>012</t>
  </si>
  <si>
    <t xml:space="preserve">          5.000</t>
  </si>
  <si>
    <t>099V 225/55 R19     AL011Z  T 5TXX23V0</t>
  </si>
  <si>
    <t>013</t>
  </si>
  <si>
    <t xml:space="preserve">         17.000</t>
  </si>
  <si>
    <t>100V 225/60 R18     DTH1AZ  T     CEV0</t>
  </si>
  <si>
    <t>014</t>
  </si>
  <si>
    <t>098V 225/55 R18     DTH1AZ  T     CEV0</t>
  </si>
  <si>
    <t>015</t>
  </si>
  <si>
    <t xml:space="preserve">         12.000</t>
  </si>
  <si>
    <t>094H 205/65 R15     EL64Z   T U601A5V0</t>
  </si>
  <si>
    <t>016</t>
  </si>
  <si>
    <t xml:space="preserve">         80.000</t>
  </si>
  <si>
    <t xml:space="preserve">           5.600</t>
  </si>
  <si>
    <t>095HP205/65 R15   XLBAR3Z   T     AH03</t>
  </si>
  <si>
    <t>017</t>
  </si>
  <si>
    <t xml:space="preserve">         24.000</t>
  </si>
  <si>
    <t xml:space="preserve">           1.200</t>
  </si>
  <si>
    <t>084H 185/60 R15     BAR3Z   T     D003</t>
  </si>
  <si>
    <t>018</t>
  </si>
  <si>
    <t xml:space="preserve">           3.150</t>
  </si>
  <si>
    <t>094W 225/45 R17   XLDT30FZ  T     CEV0</t>
  </si>
  <si>
    <t>019</t>
  </si>
  <si>
    <t xml:space="preserve">         34.000</t>
  </si>
  <si>
    <t>088H 185/65 R15      SPCZ   T     CHV0</t>
  </si>
  <si>
    <t>020</t>
  </si>
  <si>
    <t xml:space="preserve">         11.000</t>
  </si>
  <si>
    <t xml:space="preserve">           0.880</t>
  </si>
  <si>
    <t>098H 215/65 R16     DTH1AZ  T     CEV0</t>
  </si>
  <si>
    <t>021</t>
  </si>
  <si>
    <t xml:space="preserve">         30.000</t>
  </si>
  <si>
    <t xml:space="preserve">           2.100</t>
  </si>
  <si>
    <t>092W 225/40 R18   XLEL64AZ  T     CEV0</t>
  </si>
  <si>
    <t>022</t>
  </si>
  <si>
    <t xml:space="preserve">          3.000</t>
  </si>
  <si>
    <t>095V 205/65 R16     EP30Z   T 5TW4TDV0</t>
  </si>
  <si>
    <t>023</t>
  </si>
  <si>
    <t xml:space="preserve">         27.000</t>
  </si>
  <si>
    <t xml:space="preserve">          1386.45</t>
  </si>
  <si>
    <t xml:space="preserve">         1386.45</t>
  </si>
  <si>
    <t xml:space="preserve">           2.430</t>
  </si>
  <si>
    <t>099V 225/60 R17     DTH1AZ  T     CEV0</t>
  </si>
  <si>
    <t>024</t>
  </si>
  <si>
    <t>091W 215/45 R17   XLDT30FZ  T     CEV0</t>
  </si>
  <si>
    <t>025</t>
  </si>
  <si>
    <t xml:space="preserve">         33.000</t>
  </si>
  <si>
    <t xml:space="preserve">           2.310</t>
  </si>
  <si>
    <t>094W 225/45 R17   XLEL64AZ  T     CEV0</t>
  </si>
  <si>
    <t>026</t>
  </si>
  <si>
    <t xml:space="preserve">          8.000</t>
  </si>
  <si>
    <t xml:space="preserve">           0.960</t>
  </si>
  <si>
    <t>112V 255/60 R18   XLDTH1AZ  T     CEV0</t>
  </si>
  <si>
    <t>027</t>
  </si>
  <si>
    <t xml:space="preserve">         19.000</t>
  </si>
  <si>
    <t>100H 215/70 R16     DTH1AZ  T     CEV0</t>
  </si>
  <si>
    <t>028</t>
  </si>
  <si>
    <t>029</t>
  </si>
  <si>
    <t xml:space="preserve">          6.000</t>
  </si>
  <si>
    <t xml:space="preserve">           0.480</t>
  </si>
  <si>
    <t>099V 215/55 R18   XLDTH1AZ  T     CEV0</t>
  </si>
  <si>
    <t>030</t>
  </si>
  <si>
    <t xml:space="preserve">           2.640</t>
  </si>
  <si>
    <t>105H 245/60 R18     DTH1AZ  T     CEV0</t>
  </si>
  <si>
    <t>031</t>
  </si>
  <si>
    <t xml:space="preserve">           249.45</t>
  </si>
  <si>
    <t xml:space="preserve">          249.45</t>
  </si>
  <si>
    <t xml:space="preserve">           0.400</t>
  </si>
  <si>
    <t xml:space="preserve">         18.000</t>
  </si>
  <si>
    <t>084H 185/60 R15     EL64Z   T     CEV0</t>
  </si>
  <si>
    <t xml:space="preserve">         38.000</t>
  </si>
  <si>
    <t>091W 215/45 R17   XLEL64AZ  T     CEV0</t>
  </si>
  <si>
    <t xml:space="preserve">          2031.48</t>
  </si>
  <si>
    <t xml:space="preserve">         2031.48</t>
  </si>
  <si>
    <t xml:space="preserve">           3.420</t>
  </si>
  <si>
    <t>091V 195/65 R15     EL64Z   T U601A5V0</t>
  </si>
  <si>
    <t>102V 225/65 R17     DTH1AZ  T     CEV0</t>
  </si>
  <si>
    <t>093W 215/45 R18   XLDT30FZ  T     CEV0</t>
  </si>
  <si>
    <t xml:space="preserve">         39.000</t>
  </si>
  <si>
    <t xml:space="preserve">           2.730</t>
  </si>
  <si>
    <t xml:space="preserve">         10.000</t>
  </si>
  <si>
    <t xml:space="preserve">           0.500</t>
  </si>
  <si>
    <t>084H 175/70 R14     DT30AZ  T     CEV0</t>
  </si>
  <si>
    <t xml:space="preserve">           0.770</t>
  </si>
  <si>
    <t>095V 215/60 R16      SPCZ   T     CHV0</t>
  </si>
  <si>
    <t xml:space="preserve">         50.000</t>
  </si>
  <si>
    <t xml:space="preserve">           3.000</t>
  </si>
  <si>
    <t>104V 235/55 R18   XLDTH1AZ  T     CEV0</t>
  </si>
  <si>
    <t xml:space="preserve">           0.640</t>
  </si>
  <si>
    <t xml:space="preserve">           0.600</t>
  </si>
  <si>
    <t>088H 185/65 R15     EL64Z   T     CEV0</t>
  </si>
  <si>
    <t>086H 185/65 R14      SPCZ   T     CHV0</t>
  </si>
  <si>
    <t xml:space="preserve">         66.000</t>
  </si>
  <si>
    <t xml:space="preserve">           4.620</t>
  </si>
  <si>
    <t xml:space="preserve">         35.000</t>
  </si>
  <si>
    <t xml:space="preserve">          1194.55</t>
  </si>
  <si>
    <t xml:space="preserve">         1194.55</t>
  </si>
  <si>
    <t xml:space="preserve">           1.750</t>
  </si>
  <si>
    <t xml:space="preserve">         28.000</t>
  </si>
  <si>
    <t xml:space="preserve">           1.960</t>
  </si>
  <si>
    <t xml:space="preserve">         63.000</t>
  </si>
  <si>
    <t xml:space="preserve">           1.700</t>
  </si>
  <si>
    <t>086V 185/55 R15   XLDT30Z   T     CEV0</t>
  </si>
  <si>
    <t xml:space="preserve">           0.540</t>
  </si>
  <si>
    <t xml:space="preserve">         40566.96</t>
  </si>
  <si>
    <t xml:space="preserve">        40566.96</t>
  </si>
  <si>
    <t xml:space="preserve">        110.000</t>
  </si>
  <si>
    <t>NZ</t>
  </si>
  <si>
    <t xml:space="preserve">         62.000</t>
  </si>
  <si>
    <t xml:space="preserve">           3.100</t>
  </si>
  <si>
    <t xml:space="preserve">         15.000</t>
  </si>
  <si>
    <t xml:space="preserve">           1.650</t>
  </si>
  <si>
    <t>105W 255/45 R20   XLAL011Z  T     CEV0</t>
  </si>
  <si>
    <t xml:space="preserve">        180.000</t>
  </si>
  <si>
    <t xml:space="preserve">          10.800</t>
  </si>
  <si>
    <t xml:space="preserve">         20.000</t>
  </si>
  <si>
    <t xml:space="preserve">           1.400</t>
  </si>
  <si>
    <t xml:space="preserve">         94.000</t>
  </si>
  <si>
    <t xml:space="preserve">           7.520</t>
  </si>
  <si>
    <t xml:space="preserve">           4.900</t>
  </si>
  <si>
    <t xml:space="preserve">           1.500</t>
  </si>
  <si>
    <t xml:space="preserve">           7.000</t>
  </si>
  <si>
    <t>093W 205/50 R17   XLDT30FZ  T     CEV0</t>
  </si>
  <si>
    <t>097W 235/45 R17   XLEL64AZ  T     CEV0</t>
  </si>
  <si>
    <t xml:space="preserve">         25.000</t>
  </si>
  <si>
    <t xml:space="preserve">           2.000</t>
  </si>
  <si>
    <t>098V 215/55 R17   XLEL64Z   T U6018DV0</t>
  </si>
  <si>
    <t xml:space="preserve">           2.700</t>
  </si>
  <si>
    <t xml:space="preserve">         70.000</t>
  </si>
  <si>
    <t xml:space="preserve">        168.000</t>
  </si>
  <si>
    <t xml:space="preserve">          15.120</t>
  </si>
  <si>
    <t xml:space="preserve">        166.000</t>
  </si>
  <si>
    <t xml:space="preserve">           0.800</t>
  </si>
  <si>
    <t>095W 235/40 R18   XLEL64AZ  T U50AA5V0</t>
  </si>
  <si>
    <t xml:space="preserve">           0.110</t>
  </si>
  <si>
    <t>106H 235/65 R18     DTH1AZ  T     CEV0</t>
  </si>
  <si>
    <t>082H 175/65 R14     BAR3Z   T     AH03</t>
  </si>
  <si>
    <t xml:space="preserve">           0.750</t>
  </si>
  <si>
    <t xml:space="preserve">         13.000</t>
  </si>
  <si>
    <t xml:space="preserve">           1.000</t>
  </si>
  <si>
    <t xml:space="preserve">        136.000</t>
  </si>
  <si>
    <t xml:space="preserve">          5622.24</t>
  </si>
  <si>
    <t xml:space="preserve">         5622.24</t>
  </si>
  <si>
    <t xml:space="preserve">           6.800</t>
  </si>
  <si>
    <t>084H 175/65 R15     EL64Z   T     CEV0</t>
  </si>
  <si>
    <t xml:space="preserve">         68.000</t>
  </si>
  <si>
    <t xml:space="preserve">           3.400</t>
  </si>
  <si>
    <t xml:space="preserve">        756.000</t>
  </si>
  <si>
    <t xml:space="preserve">        730296000</t>
  </si>
  <si>
    <t xml:space="preserve">          52.920</t>
  </si>
  <si>
    <t>089V 205/50 R17     T05ABZ  T 5   23V0</t>
  </si>
  <si>
    <t xml:space="preserve">        525.000</t>
  </si>
  <si>
    <t xml:space="preserve">        778050000</t>
  </si>
  <si>
    <t xml:space="preserve">          42.000</t>
  </si>
  <si>
    <t>101W 235/55 R19     AL011Z  T 5   E2V099</t>
  </si>
  <si>
    <t xml:space="preserve">        936.000</t>
  </si>
  <si>
    <t xml:space="preserve">        682344000</t>
  </si>
  <si>
    <t xml:space="preserve">          46.800</t>
  </si>
  <si>
    <t>084H 185/60 R15     EP15LZ  T 5   23V0</t>
  </si>
  <si>
    <t xml:space="preserve">           5.500</t>
  </si>
  <si>
    <t xml:space="preserve">        819.000</t>
  </si>
  <si>
    <t xml:space="preserve">        649467000</t>
  </si>
  <si>
    <t xml:space="preserve">          49.140</t>
  </si>
  <si>
    <t>089H 195/60 R16     EP15HZ  T 5   23V0</t>
  </si>
  <si>
    <t xml:space="preserve">        626325000</t>
  </si>
  <si>
    <t xml:space="preserve">          52.500</t>
  </si>
  <si>
    <t>103W 235/60 R18     AL01Z   T 5T01TDV098</t>
  </si>
  <si>
    <t xml:space="preserve">       1080.000</t>
  </si>
  <si>
    <t xml:space="preserve">         42508.80</t>
  </si>
  <si>
    <t xml:space="preserve">        42508.80</t>
  </si>
  <si>
    <t xml:space="preserve">          64.800</t>
  </si>
  <si>
    <t>091H 195/65 R15     FSASZ   T U5621TV0</t>
  </si>
  <si>
    <t xml:space="preserve">        560.000</t>
  </si>
  <si>
    <t xml:space="preserve">         48.000</t>
  </si>
  <si>
    <t xml:space="preserve">           3.360</t>
  </si>
  <si>
    <t>094T 205/65 R15     FSASZ   T U5621TV0</t>
  </si>
  <si>
    <t xml:space="preserve">        369.000</t>
  </si>
  <si>
    <t xml:space="preserve">          22.140</t>
  </si>
  <si>
    <t>098T 225/60 R16     FSASZ   T U5621TV0</t>
  </si>
  <si>
    <t xml:space="preserve">        450.000</t>
  </si>
  <si>
    <t xml:space="preserve">       1106550000</t>
  </si>
  <si>
    <t xml:space="preserve">          58.500</t>
  </si>
  <si>
    <t>110H 265/60 R18     684A6Z  T 8364W2V0</t>
  </si>
  <si>
    <t>095H 205/65 R16     EP15WZ  T 8381W6V090</t>
  </si>
  <si>
    <t xml:space="preserve">          2.000</t>
  </si>
  <si>
    <t>112S 265/65 R17     693BHZ  T 8365W2V0</t>
  </si>
  <si>
    <t xml:space="preserve">         46.000</t>
  </si>
  <si>
    <t xml:space="preserve">        170.000</t>
  </si>
  <si>
    <t xml:space="preserve">         40.000</t>
  </si>
  <si>
    <t>100W 245/45 R18   XLEA04FZ  T 5TW1WCV0</t>
  </si>
  <si>
    <t xml:space="preserve">        200.000</t>
  </si>
  <si>
    <t xml:space="preserve">          10.000</t>
  </si>
  <si>
    <t>084H 185/60 R15     NH2CZ   T     D0V0</t>
  </si>
  <si>
    <t xml:space="preserve">        867.000</t>
  </si>
  <si>
    <t xml:space="preserve">         37766.52</t>
  </si>
  <si>
    <t xml:space="preserve">        37766.52</t>
  </si>
  <si>
    <t xml:space="preserve">          60.690</t>
  </si>
  <si>
    <t>095V 215/60 R16     FSASZ   T U5621TV0</t>
  </si>
  <si>
    <t xml:space="preserve">          4.000</t>
  </si>
  <si>
    <t xml:space="preserve">           0.200</t>
  </si>
  <si>
    <t xml:space="preserve">         49.000</t>
  </si>
  <si>
    <t>107V 235/60 R18   XLDTH1AZ  T     CEV0</t>
  </si>
  <si>
    <t>092V 205/60 R16     DT30Z   T     CEV0</t>
  </si>
  <si>
    <t xml:space="preserve">           1.840</t>
  </si>
  <si>
    <t>101V 225/55 R17   XLSL20AZ  T     D0V0</t>
  </si>
  <si>
    <t xml:space="preserve">           4.500</t>
  </si>
  <si>
    <t xml:space="preserve">        695.000</t>
  </si>
  <si>
    <t>075V 165/55 R15     EA04FZ  T     D0V0</t>
  </si>
  <si>
    <t xml:space="preserve">        140.000</t>
  </si>
  <si>
    <t xml:space="preserve">         60.000</t>
  </si>
  <si>
    <t xml:space="preserve">           4.800</t>
  </si>
  <si>
    <t xml:space="preserve">        173.000</t>
  </si>
  <si>
    <t xml:space="preserve">        186.000</t>
  </si>
  <si>
    <t xml:space="preserve">           2.500</t>
  </si>
  <si>
    <t xml:space="preserve">        125.000</t>
  </si>
  <si>
    <t xml:space="preserve">          6660.00</t>
  </si>
  <si>
    <t xml:space="preserve">         6660.00</t>
  </si>
  <si>
    <t xml:space="preserve">           8.000</t>
  </si>
  <si>
    <t>094S 205/65 R15     SL10Z   T     D0V0</t>
  </si>
  <si>
    <t xml:space="preserve">          8097.00</t>
  </si>
  <si>
    <t xml:space="preserve">         8097.00</t>
  </si>
  <si>
    <t xml:space="preserve">          12.000</t>
  </si>
  <si>
    <t xml:space="preserve">          15.000</t>
  </si>
  <si>
    <t xml:space="preserve">        160.000</t>
  </si>
  <si>
    <t xml:space="preserve">          10.400</t>
  </si>
  <si>
    <t xml:space="preserve">        523.000</t>
  </si>
  <si>
    <t xml:space="preserve">        265.000</t>
  </si>
  <si>
    <t xml:space="preserve">          21.200</t>
  </si>
  <si>
    <t xml:space="preserve">        480.000</t>
  </si>
  <si>
    <t xml:space="preserve">         15560000</t>
  </si>
  <si>
    <t>075H 165/60 R14      150EZ  T     CEV0</t>
  </si>
  <si>
    <t xml:space="preserve">         31.000</t>
  </si>
  <si>
    <t xml:space="preserve">           1.980</t>
  </si>
  <si>
    <t xml:space="preserve">           2.160</t>
  </si>
  <si>
    <t xml:space="preserve">           1.100</t>
  </si>
  <si>
    <t>108V 235/65 R17   XLDTH1AZ  T     CEV0</t>
  </si>
  <si>
    <t xml:space="preserve">           1.260</t>
  </si>
  <si>
    <t xml:space="preserve">           0.720</t>
  </si>
  <si>
    <t xml:space="preserve">           2.520</t>
  </si>
  <si>
    <t xml:space="preserve">         47.000</t>
  </si>
  <si>
    <t xml:space="preserve">           0.140</t>
  </si>
  <si>
    <t xml:space="preserve">         14.000</t>
  </si>
  <si>
    <t xml:space="preserve">           0.350</t>
  </si>
  <si>
    <t xml:space="preserve">           123.36</t>
  </si>
  <si>
    <t xml:space="preserve">          123.36</t>
  </si>
  <si>
    <t xml:space="preserve">         55.000</t>
  </si>
  <si>
    <t xml:space="preserve">           1.170</t>
  </si>
  <si>
    <t xml:space="preserve">           4.200</t>
  </si>
  <si>
    <t xml:space="preserve">           0.700</t>
  </si>
  <si>
    <t xml:space="preserve">         29.000</t>
  </si>
  <si>
    <t>088H 195/60 R15      SPCZ   T     CHV0</t>
  </si>
  <si>
    <t xml:space="preserve">           0.160</t>
  </si>
  <si>
    <t xml:space="preserve">         44.000</t>
  </si>
  <si>
    <t xml:space="preserve">         42.000</t>
  </si>
  <si>
    <t xml:space="preserve">           1.610</t>
  </si>
  <si>
    <t>032</t>
  </si>
  <si>
    <t>033</t>
  </si>
  <si>
    <t xml:space="preserve">           0.360</t>
  </si>
  <si>
    <t>034</t>
  </si>
  <si>
    <t xml:space="preserve">           164.73</t>
  </si>
  <si>
    <t xml:space="preserve">          164.73</t>
  </si>
  <si>
    <t xml:space="preserve">           0.240</t>
  </si>
  <si>
    <t>035</t>
  </si>
  <si>
    <t xml:space="preserve">           3.200</t>
  </si>
  <si>
    <t>036</t>
  </si>
  <si>
    <t>037</t>
  </si>
  <si>
    <t xml:space="preserve">         73.000</t>
  </si>
  <si>
    <t xml:space="preserve">           5.110</t>
  </si>
  <si>
    <t xml:space="preserve">          1170.51</t>
  </si>
  <si>
    <t xml:space="preserve">         1170.51</t>
  </si>
  <si>
    <t xml:space="preserve">        215.000</t>
  </si>
  <si>
    <t xml:space="preserve">          17.200</t>
  </si>
  <si>
    <t xml:space="preserve">         36.000</t>
  </si>
  <si>
    <t xml:space="preserve">           2.030</t>
  </si>
  <si>
    <t xml:space="preserve">         93.000</t>
  </si>
  <si>
    <t xml:space="preserve">         64.000</t>
  </si>
  <si>
    <t xml:space="preserve">           5.760</t>
  </si>
  <si>
    <t xml:space="preserve">         37.000</t>
  </si>
  <si>
    <t xml:space="preserve">          1487.36</t>
  </si>
  <si>
    <t xml:space="preserve">         1487.36</t>
  </si>
  <si>
    <t xml:space="preserve">           0.280</t>
  </si>
  <si>
    <t xml:space="preserve">        159.000</t>
  </si>
  <si>
    <t xml:space="preserve">          11.130</t>
  </si>
  <si>
    <t xml:space="preserve">           470.40</t>
  </si>
  <si>
    <t xml:space="preserve">          470.40</t>
  </si>
  <si>
    <t xml:space="preserve">           4.920</t>
  </si>
  <si>
    <t xml:space="preserve">           2.250</t>
  </si>
  <si>
    <t xml:space="preserve">          12.600</t>
  </si>
  <si>
    <t xml:space="preserve">         56.000</t>
  </si>
  <si>
    <t xml:space="preserve">          1881.60</t>
  </si>
  <si>
    <t xml:space="preserve">         1881.60</t>
  </si>
  <si>
    <t xml:space="preserve">        127.000</t>
  </si>
  <si>
    <t xml:space="preserve">         58.000</t>
  </si>
  <si>
    <t xml:space="preserve">         22.000</t>
  </si>
  <si>
    <t xml:space="preserve">         39304.44</t>
  </si>
  <si>
    <t xml:space="preserve">        39304.44</t>
  </si>
  <si>
    <t xml:space="preserve">          48.384</t>
  </si>
  <si>
    <t>091V 205/55 R16     EL64Z   T  601ACV0</t>
  </si>
  <si>
    <t xml:space="preserve">         51.000</t>
  </si>
  <si>
    <t>094H 205/65 R15     EL64Z   T  601ACV0</t>
  </si>
  <si>
    <t xml:space="preserve">        320.000</t>
  </si>
  <si>
    <t xml:space="preserve">           500.49</t>
  </si>
  <si>
    <t xml:space="preserve">          500.49</t>
  </si>
  <si>
    <t xml:space="preserve">         78.000</t>
  </si>
  <si>
    <t xml:space="preserve">         52.000</t>
  </si>
  <si>
    <t xml:space="preserve">        123.000</t>
  </si>
  <si>
    <t xml:space="preserve">          1328.00</t>
  </si>
  <si>
    <t xml:space="preserve">         1328.00</t>
  </si>
  <si>
    <t xml:space="preserve">          1435.20</t>
  </si>
  <si>
    <t xml:space="preserve">         1435.20</t>
  </si>
  <si>
    <t xml:space="preserve">           2.336</t>
  </si>
  <si>
    <t xml:space="preserve">          1918.07</t>
  </si>
  <si>
    <t xml:space="preserve">         1918.07</t>
  </si>
  <si>
    <t xml:space="preserve">           3.290</t>
  </si>
  <si>
    <t xml:space="preserve">         43.000</t>
  </si>
  <si>
    <t xml:space="preserve">           3.240</t>
  </si>
  <si>
    <t xml:space="preserve">        627.000</t>
  </si>
  <si>
    <t xml:space="preserve">         37237.53</t>
  </si>
  <si>
    <t xml:space="preserve">        37237.53</t>
  </si>
  <si>
    <t xml:space="preserve">          50.160</t>
  </si>
  <si>
    <t xml:space="preserve">           3.500</t>
  </si>
  <si>
    <t xml:space="preserve">         41.000</t>
  </si>
  <si>
    <t xml:space="preserve">        134.000</t>
  </si>
  <si>
    <t xml:space="preserve">         53.000</t>
  </si>
  <si>
    <t xml:space="preserve">           3.710</t>
  </si>
  <si>
    <t xml:space="preserve">           568.48</t>
  </si>
  <si>
    <t xml:space="preserve">          568.48</t>
  </si>
  <si>
    <t xml:space="preserve">           9.000</t>
  </si>
  <si>
    <t xml:space="preserve">        270.000</t>
  </si>
  <si>
    <t xml:space="preserve">        190.000</t>
  </si>
  <si>
    <t xml:space="preserve">          6606.30</t>
  </si>
  <si>
    <t xml:space="preserve">         6606.30</t>
  </si>
  <si>
    <t xml:space="preserve">          11.400</t>
  </si>
  <si>
    <t xml:space="preserve">           1.440</t>
  </si>
  <si>
    <t>099T 235/55 R17     FSASZ   T U5621TV0</t>
  </si>
  <si>
    <t xml:space="preserve">          21.440</t>
  </si>
  <si>
    <t xml:space="preserve">        256.000</t>
  </si>
  <si>
    <t xml:space="preserve">          17.920</t>
  </si>
  <si>
    <t xml:space="preserve">           2.800</t>
  </si>
  <si>
    <t xml:space="preserve">        600.000</t>
  </si>
  <si>
    <t xml:space="preserve">          24.000</t>
  </si>
  <si>
    <t xml:space="preserve">         10404.00</t>
  </si>
  <si>
    <t xml:space="preserve">        10404.00</t>
  </si>
  <si>
    <t xml:space="preserve">           1.050</t>
  </si>
  <si>
    <t xml:space="preserve">         57.000</t>
  </si>
  <si>
    <t xml:space="preserve">           2.850</t>
  </si>
  <si>
    <t xml:space="preserve">         84.000</t>
  </si>
  <si>
    <t xml:space="preserve">        113.000</t>
  </si>
  <si>
    <t xml:space="preserve">           213.84</t>
  </si>
  <si>
    <t xml:space="preserve">          213.84</t>
  </si>
  <si>
    <t xml:space="preserve">          35.520</t>
  </si>
  <si>
    <t xml:space="preserve">          37.840</t>
  </si>
  <si>
    <t xml:space="preserve">        330.000</t>
  </si>
  <si>
    <t xml:space="preserve">         88.000</t>
  </si>
  <si>
    <t xml:space="preserve">        103.000</t>
  </si>
  <si>
    <t xml:space="preserve">           7.210</t>
  </si>
  <si>
    <t xml:space="preserve">         86.000</t>
  </si>
  <si>
    <t xml:space="preserve">          2811.12</t>
  </si>
  <si>
    <t xml:space="preserve">         2811.12</t>
  </si>
  <si>
    <t xml:space="preserve">         85.000</t>
  </si>
  <si>
    <t xml:space="preserve">        104.000</t>
  </si>
  <si>
    <t xml:space="preserve">           7.280</t>
  </si>
  <si>
    <t xml:space="preserve">          21.600</t>
  </si>
  <si>
    <t xml:space="preserve">              0</t>
  </si>
  <si>
    <t xml:space="preserve">               0</t>
  </si>
  <si>
    <t xml:space="preserve">          3497.50</t>
  </si>
  <si>
    <t xml:space="preserve">         3497.50</t>
  </si>
  <si>
    <t>038</t>
  </si>
  <si>
    <t>040</t>
  </si>
  <si>
    <t>042</t>
  </si>
  <si>
    <t>044</t>
  </si>
  <si>
    <t>046</t>
  </si>
  <si>
    <t>048</t>
  </si>
  <si>
    <t>050</t>
  </si>
  <si>
    <t xml:space="preserve">          171.00</t>
  </si>
  <si>
    <t>052</t>
  </si>
  <si>
    <t>054</t>
  </si>
  <si>
    <t>091V 205/55 R16     EL64Z   T U601A5V0</t>
  </si>
  <si>
    <t>056</t>
  </si>
  <si>
    <t>058</t>
  </si>
  <si>
    <t>060</t>
  </si>
  <si>
    <t>062</t>
  </si>
  <si>
    <t>064</t>
  </si>
  <si>
    <t>066</t>
  </si>
  <si>
    <t>068</t>
  </si>
  <si>
    <t>070</t>
  </si>
  <si>
    <t>072</t>
  </si>
  <si>
    <t>074</t>
  </si>
  <si>
    <t>076</t>
  </si>
  <si>
    <t>078</t>
  </si>
  <si>
    <t>080</t>
  </si>
  <si>
    <t>082</t>
  </si>
  <si>
    <t>084</t>
  </si>
  <si>
    <t>086</t>
  </si>
  <si>
    <t>088</t>
  </si>
  <si>
    <t>090</t>
  </si>
  <si>
    <t>092</t>
  </si>
  <si>
    <t>094</t>
  </si>
  <si>
    <t>096</t>
  </si>
  <si>
    <t>098</t>
  </si>
  <si>
    <t>100</t>
  </si>
  <si>
    <t>102</t>
  </si>
  <si>
    <t xml:space="preserve">            1.26</t>
  </si>
  <si>
    <t>104</t>
  </si>
  <si>
    <t>001</t>
  </si>
  <si>
    <t>039</t>
  </si>
  <si>
    <t>043</t>
  </si>
  <si>
    <t>049</t>
  </si>
  <si>
    <t>055</t>
  </si>
  <si>
    <t>057</t>
  </si>
  <si>
    <t>041</t>
  </si>
  <si>
    <t>045</t>
  </si>
  <si>
    <t>047</t>
  </si>
  <si>
    <t>051</t>
  </si>
  <si>
    <t>053</t>
  </si>
  <si>
    <t>061</t>
  </si>
  <si>
    <t>063</t>
  </si>
  <si>
    <t>065</t>
  </si>
  <si>
    <t>067</t>
  </si>
  <si>
    <t>071</t>
  </si>
  <si>
    <t>073</t>
  </si>
  <si>
    <t>075</t>
  </si>
  <si>
    <t>077</t>
  </si>
  <si>
    <t>081</t>
  </si>
  <si>
    <t>083</t>
  </si>
  <si>
    <t>089</t>
  </si>
  <si>
    <t>099</t>
  </si>
  <si>
    <t>103</t>
  </si>
  <si>
    <t>105</t>
  </si>
  <si>
    <t xml:space="preserve">           895.47</t>
  </si>
  <si>
    <t xml:space="preserve">          895.47</t>
  </si>
  <si>
    <t>642722021511</t>
  </si>
  <si>
    <t>SA</t>
  </si>
  <si>
    <t xml:space="preserve">          0.000</t>
  </si>
  <si>
    <t>AA</t>
  </si>
  <si>
    <t>AB</t>
  </si>
  <si>
    <t xml:space="preserve">                0</t>
  </si>
  <si>
    <t xml:space="preserve">           215.20</t>
  </si>
  <si>
    <t xml:space="preserve">          215.20</t>
  </si>
  <si>
    <t>642705013311</t>
  </si>
  <si>
    <t>642802011213</t>
  </si>
  <si>
    <t>Depreciation of Building &amp; Structures_Office</t>
  </si>
  <si>
    <t>642400011611</t>
  </si>
  <si>
    <t>Depreciation of Land leasing,</t>
  </si>
  <si>
    <t>642400071611</t>
  </si>
  <si>
    <t xml:space="preserve">           0.000</t>
  </si>
  <si>
    <t>AD</t>
  </si>
  <si>
    <t>642305111213</t>
  </si>
  <si>
    <t>642705993311</t>
  </si>
  <si>
    <t>642705023311</t>
  </si>
  <si>
    <t>Transfer 624161 to 624162\Companytrip</t>
  </si>
  <si>
    <t>642806121213</t>
  </si>
  <si>
    <t>SB</t>
  </si>
  <si>
    <t>JPY</t>
  </si>
  <si>
    <t xml:space="preserve">           -0.08</t>
  </si>
  <si>
    <t>DZ</t>
  </si>
  <si>
    <t xml:space="preserve">            0.06</t>
  </si>
  <si>
    <t xml:space="preserve">            0.39</t>
  </si>
  <si>
    <t>KZ</t>
  </si>
  <si>
    <t xml:space="preserve">           -1.29</t>
  </si>
  <si>
    <t xml:space="preserve">          -11.69</t>
  </si>
  <si>
    <t>FRG\ Pm't for Inv.6</t>
  </si>
  <si>
    <t xml:space="preserve">          -19.09</t>
  </si>
  <si>
    <t xml:space="preserve">           -7.96</t>
  </si>
  <si>
    <t xml:space="preserve">          -79.67</t>
  </si>
  <si>
    <t xml:space="preserve">           -1.36</t>
  </si>
  <si>
    <t xml:space="preserve">           -0.06</t>
  </si>
  <si>
    <t xml:space="preserve">           -0.17</t>
  </si>
  <si>
    <t xml:space="preserve">           -0.12</t>
  </si>
  <si>
    <t>642806221213</t>
  </si>
  <si>
    <t>DR</t>
  </si>
  <si>
    <t>642702211213</t>
  </si>
  <si>
    <t>642704121213</t>
  </si>
  <si>
    <t>642714021213</t>
  </si>
  <si>
    <t>KR</t>
  </si>
  <si>
    <t>642714011213</t>
  </si>
  <si>
    <t>831U</t>
  </si>
  <si>
    <t>64271103831U</t>
  </si>
  <si>
    <t xml:space="preserve">          -200000</t>
  </si>
  <si>
    <t>642722011511</t>
  </si>
  <si>
    <t xml:space="preserve">           200000</t>
  </si>
  <si>
    <t>64271101831U</t>
  </si>
  <si>
    <t xml:space="preserve">          1000000</t>
  </si>
  <si>
    <t>642707013221</t>
  </si>
  <si>
    <t xml:space="preserve">          2360848</t>
  </si>
  <si>
    <t xml:space="preserve">           97.39</t>
  </si>
  <si>
    <t>642701211611</t>
  </si>
  <si>
    <t>642810021213</t>
  </si>
  <si>
    <t>642712028312</t>
  </si>
  <si>
    <t>642712038312</t>
  </si>
  <si>
    <t xml:space="preserve">          2200.00</t>
  </si>
  <si>
    <t xml:space="preserve">         2200.00</t>
  </si>
  <si>
    <t>642101211000</t>
  </si>
  <si>
    <t xml:space="preserve">          2000.00</t>
  </si>
  <si>
    <t xml:space="preserve">         2000.00</t>
  </si>
  <si>
    <t xml:space="preserve">         10000000</t>
  </si>
  <si>
    <t>642709011611</t>
  </si>
  <si>
    <t>64271102831U</t>
  </si>
  <si>
    <t xml:space="preserve">         72000000</t>
  </si>
  <si>
    <t>642708011213</t>
  </si>
  <si>
    <t>642714033312</t>
  </si>
  <si>
    <t>642714031213</t>
  </si>
  <si>
    <t>642208061213</t>
  </si>
  <si>
    <t>331P</t>
  </si>
  <si>
    <t>64172401331P</t>
  </si>
  <si>
    <t>642804121213</t>
  </si>
  <si>
    <t xml:space="preserve">           510000</t>
  </si>
  <si>
    <t>642804221213</t>
  </si>
  <si>
    <t xml:space="preserve">          1530000</t>
  </si>
  <si>
    <t xml:space="preserve">          4672964</t>
  </si>
  <si>
    <t xml:space="preserve">          186.04</t>
  </si>
  <si>
    <t xml:space="preserve">          1250153</t>
  </si>
  <si>
    <t xml:space="preserve">           49.77</t>
  </si>
  <si>
    <t xml:space="preserve">            32580</t>
  </si>
  <si>
    <t xml:space="preserve">            1.30</t>
  </si>
  <si>
    <t xml:space="preserve">           284210</t>
  </si>
  <si>
    <t xml:space="preserve">           11.31</t>
  </si>
  <si>
    <t xml:space="preserve">           229527</t>
  </si>
  <si>
    <t xml:space="preserve">            9.14</t>
  </si>
  <si>
    <t xml:space="preserve">            7.96</t>
  </si>
  <si>
    <t>642303021213</t>
  </si>
  <si>
    <t>642104191211</t>
  </si>
  <si>
    <t>641717113312</t>
  </si>
  <si>
    <t xml:space="preserve">          109.00</t>
  </si>
  <si>
    <t xml:space="preserve">            60000</t>
  </si>
  <si>
    <t xml:space="preserve">            2.36</t>
  </si>
  <si>
    <t>642104211000</t>
  </si>
  <si>
    <t xml:space="preserve">           315715</t>
  </si>
  <si>
    <t xml:space="preserve">           222387</t>
  </si>
  <si>
    <t xml:space="preserve">          191.00</t>
  </si>
  <si>
    <t>642704111213</t>
  </si>
  <si>
    <t xml:space="preserve">           140400</t>
  </si>
  <si>
    <t>642704131213</t>
  </si>
  <si>
    <t xml:space="preserve">          2721600</t>
  </si>
  <si>
    <t xml:space="preserve">           371250</t>
  </si>
  <si>
    <t xml:space="preserve">           432000</t>
  </si>
  <si>
    <t xml:space="preserve">           11.34</t>
  </si>
  <si>
    <t>Exported fee\Sale\43005301</t>
  </si>
  <si>
    <t xml:space="preserve">          6420000</t>
  </si>
  <si>
    <t>Exported fee\Sale\43007301</t>
  </si>
  <si>
    <t xml:space="preserve">          3220000</t>
  </si>
  <si>
    <t>Exported fee\Sale\4314M</t>
  </si>
  <si>
    <t>Exported fee\Sale\4315J</t>
  </si>
  <si>
    <t xml:space="preserve">         12820000</t>
  </si>
  <si>
    <t>Exported fee\Sale\4316K</t>
  </si>
  <si>
    <t>Exported fee\Sale\43006302</t>
  </si>
  <si>
    <t>Exported fee\Sale\4317A</t>
  </si>
  <si>
    <t>Exported fee\Sale\4318L</t>
  </si>
  <si>
    <t xml:space="preserve">          9620000</t>
  </si>
  <si>
    <t>Exported fee\Sale\43007107</t>
  </si>
  <si>
    <t>Exported fee\Sale\43008107</t>
  </si>
  <si>
    <t>Exported fee\Sale\43012301</t>
  </si>
  <si>
    <t>Exported fee\Sale\4319U</t>
  </si>
  <si>
    <t>Exported fee\Sale\43013301</t>
  </si>
  <si>
    <t>Exported fee\Sale\4320G</t>
  </si>
  <si>
    <t>Exported fee\Sale\43007302</t>
  </si>
  <si>
    <t>Exported fee\Sale\4321K</t>
  </si>
  <si>
    <t>Exported fee\Sale\43008302</t>
  </si>
  <si>
    <t>Exported fee\Sale\4322Z</t>
  </si>
  <si>
    <t>Exported fee\Sale\4323L</t>
  </si>
  <si>
    <t>Exported fee\Sale\43009302</t>
  </si>
  <si>
    <t xml:space="preserve">         18020000</t>
  </si>
  <si>
    <t>Exported fee\Sale\43009107</t>
  </si>
  <si>
    <t>Exported fee\Sale\4324A</t>
  </si>
  <si>
    <t>Exported fee\Sale\43001222</t>
  </si>
  <si>
    <t>Exported fee\Sale\4325G</t>
  </si>
  <si>
    <t>Exported fee\Sale\44001107</t>
  </si>
  <si>
    <t xml:space="preserve">         10820000</t>
  </si>
  <si>
    <t>Exported fee\Sale\44002107</t>
  </si>
  <si>
    <t>Exported fee\Sale\44003107</t>
  </si>
  <si>
    <t>Exported fee\Sale\4401L</t>
  </si>
  <si>
    <t>Exported fee\Sale\4402U</t>
  </si>
  <si>
    <t>059</t>
  </si>
  <si>
    <t>Exported fee\Sale\4403K</t>
  </si>
  <si>
    <t>Exported fee\Sale\44001301</t>
  </si>
  <si>
    <t>Exported fee\Sale\44004107</t>
  </si>
  <si>
    <t>Exported fee\Sale\4404G</t>
  </si>
  <si>
    <t>Exported fee\Sale\44002301</t>
  </si>
  <si>
    <t>069</t>
  </si>
  <si>
    <t>Exported fee\Sale\44005107</t>
  </si>
  <si>
    <t>Exported fee\Sale\4405A</t>
  </si>
  <si>
    <t>Exported fee\Sale\4406U</t>
  </si>
  <si>
    <t>Exported fee\Sale\44001302</t>
  </si>
  <si>
    <t>Exported fee\Sale\4407U</t>
  </si>
  <si>
    <t>079</t>
  </si>
  <si>
    <t>Exported fee\Sale\4408J</t>
  </si>
  <si>
    <t>Exported fee\Sale\44003301</t>
  </si>
  <si>
    <t>Exported fee\Sale\4410L</t>
  </si>
  <si>
    <t>085</t>
  </si>
  <si>
    <t>Exported fee\Sale\44004301</t>
  </si>
  <si>
    <t>087</t>
  </si>
  <si>
    <t>Exported fee\Sale\4409Z</t>
  </si>
  <si>
    <t>Exported fee\Sale\44002302</t>
  </si>
  <si>
    <t>091</t>
  </si>
  <si>
    <t>Exported fee\Sale\44001722</t>
  </si>
  <si>
    <t>093</t>
  </si>
  <si>
    <t>Exported fee\Sale\4411A</t>
  </si>
  <si>
    <t>095</t>
  </si>
  <si>
    <t>Exported fee\Sale\44005301</t>
  </si>
  <si>
    <t>097</t>
  </si>
  <si>
    <t>Exported fee\Sale\4412G</t>
  </si>
  <si>
    <t>Exported fee\Sale\44003302</t>
  </si>
  <si>
    <t>101</t>
  </si>
  <si>
    <t>Exported fee\Sale\44004302</t>
  </si>
  <si>
    <t>Exported fee\Sale\44006301</t>
  </si>
  <si>
    <t>Exported fee\Sale\44006107</t>
  </si>
  <si>
    <t>107</t>
  </si>
  <si>
    <t>Exported fee\Sale\44008107</t>
  </si>
  <si>
    <t>109</t>
  </si>
  <si>
    <t>Exported fee\Sale\44007107</t>
  </si>
  <si>
    <t>111</t>
  </si>
  <si>
    <t>Exported fee\Sale\4413Y</t>
  </si>
  <si>
    <t>113</t>
  </si>
  <si>
    <t>Exported fee\Sale\44007301</t>
  </si>
  <si>
    <t>115</t>
  </si>
  <si>
    <t>Exported fee\Sale\44005302</t>
  </si>
  <si>
    <t>117</t>
  </si>
  <si>
    <t>Exported fee\Sale\44008301</t>
  </si>
  <si>
    <t>119</t>
  </si>
  <si>
    <t>Exported fee\Sale\4416J</t>
  </si>
  <si>
    <t xml:space="preserve">           500000</t>
  </si>
  <si>
    <t xml:space="preserve">          2000000</t>
  </si>
  <si>
    <t xml:space="preserve">          2500000</t>
  </si>
  <si>
    <t xml:space="preserve">          1500000</t>
  </si>
  <si>
    <t xml:space="preserve">          3500000</t>
  </si>
  <si>
    <t xml:space="preserve">         43500000</t>
  </si>
  <si>
    <t>642710011611</t>
  </si>
  <si>
    <t xml:space="preserve">            0.01</t>
  </si>
  <si>
    <t xml:space="preserve">            0.11</t>
  </si>
  <si>
    <t xml:space="preserve">            0.61</t>
  </si>
  <si>
    <t xml:space="preserve">               18</t>
  </si>
  <si>
    <t xml:space="preserve">            0.68</t>
  </si>
  <si>
    <t xml:space="preserve">            0.75</t>
  </si>
  <si>
    <t xml:space="preserve">            1.08</t>
  </si>
  <si>
    <t xml:space="preserve">            2.59</t>
  </si>
  <si>
    <t xml:space="preserve">            1.29</t>
  </si>
  <si>
    <t xml:space="preserve">            5.56</t>
  </si>
  <si>
    <t xml:space="preserve">            2.11</t>
  </si>
  <si>
    <t xml:space="preserve">            0.50</t>
  </si>
  <si>
    <t>121</t>
  </si>
  <si>
    <t>123</t>
  </si>
  <si>
    <t>125</t>
  </si>
  <si>
    <t>127</t>
  </si>
  <si>
    <t>129</t>
  </si>
  <si>
    <t>131</t>
  </si>
  <si>
    <t>133</t>
  </si>
  <si>
    <t>135</t>
  </si>
  <si>
    <t>137</t>
  </si>
  <si>
    <t>139</t>
  </si>
  <si>
    <t>141</t>
  </si>
  <si>
    <t xml:space="preserve">           300000</t>
  </si>
  <si>
    <t>145</t>
  </si>
  <si>
    <t>64120001331P</t>
  </si>
  <si>
    <t>147</t>
  </si>
  <si>
    <t>149</t>
  </si>
  <si>
    <t>151</t>
  </si>
  <si>
    <t>153</t>
  </si>
  <si>
    <t>155</t>
  </si>
  <si>
    <t>157</t>
  </si>
  <si>
    <t>159</t>
  </si>
  <si>
    <t>161</t>
  </si>
  <si>
    <t>163</t>
  </si>
  <si>
    <t xml:space="preserve">            0.45</t>
  </si>
  <si>
    <t>642301023311</t>
  </si>
  <si>
    <t>309</t>
  </si>
  <si>
    <t>313</t>
  </si>
  <si>
    <t xml:space="preserve">            0.02</t>
  </si>
  <si>
    <t>317</t>
  </si>
  <si>
    <t>321</t>
  </si>
  <si>
    <t>642804111213</t>
  </si>
  <si>
    <t>642704211213</t>
  </si>
  <si>
    <t xml:space="preserve">         31473650</t>
  </si>
  <si>
    <t>642104111211</t>
  </si>
  <si>
    <t xml:space="preserve">          1584518</t>
  </si>
  <si>
    <t xml:space="preserve">         16197565</t>
  </si>
  <si>
    <t xml:space="preserve">          5221833</t>
  </si>
  <si>
    <t xml:space="preserve">          3774071</t>
  </si>
  <si>
    <t xml:space="preserve">         42678963</t>
  </si>
  <si>
    <t xml:space="preserve">         21849720</t>
  </si>
  <si>
    <t xml:space="preserve">          1044984</t>
  </si>
  <si>
    <t xml:space="preserve">           41.60</t>
  </si>
  <si>
    <t xml:space="preserve">          1291256</t>
  </si>
  <si>
    <t xml:space="preserve">          1912350</t>
  </si>
  <si>
    <t xml:space="preserve">          5176962</t>
  </si>
  <si>
    <t xml:space="preserve">          1506969</t>
  </si>
  <si>
    <t>642101111211</t>
  </si>
  <si>
    <t>642101131211</t>
  </si>
  <si>
    <t>642101121211</t>
  </si>
  <si>
    <t>195</t>
  </si>
  <si>
    <t>197</t>
  </si>
  <si>
    <t>199</t>
  </si>
  <si>
    <t>201</t>
  </si>
  <si>
    <t>203</t>
  </si>
  <si>
    <t>261</t>
  </si>
  <si>
    <t>263</t>
  </si>
  <si>
    <t>265</t>
  </si>
  <si>
    <t>267</t>
  </si>
  <si>
    <t>269</t>
  </si>
  <si>
    <t>271</t>
  </si>
  <si>
    <t>273</t>
  </si>
  <si>
    <t>335</t>
  </si>
  <si>
    <t>642101141211</t>
  </si>
  <si>
    <t>337</t>
  </si>
  <si>
    <t>339</t>
  </si>
  <si>
    <t>341</t>
  </si>
  <si>
    <t>343</t>
  </si>
  <si>
    <t>345</t>
  </si>
  <si>
    <t>393</t>
  </si>
  <si>
    <t>642806111211</t>
  </si>
  <si>
    <t>642101311211</t>
  </si>
  <si>
    <t>642101341211</t>
  </si>
  <si>
    <t>642805111311</t>
  </si>
  <si>
    <t xml:space="preserve">            87.50</t>
  </si>
  <si>
    <t xml:space="preserve">           87.50</t>
  </si>
  <si>
    <t xml:space="preserve">           211.25</t>
  </si>
  <si>
    <t xml:space="preserve">          211.25</t>
  </si>
  <si>
    <t xml:space="preserve">           418.52</t>
  </si>
  <si>
    <t xml:space="preserve">          418.52</t>
  </si>
  <si>
    <t xml:space="preserve">           544.25</t>
  </si>
  <si>
    <t xml:space="preserve">          544.25</t>
  </si>
  <si>
    <t xml:space="preserve">           340.48</t>
  </si>
  <si>
    <t xml:space="preserve">          340.48</t>
  </si>
  <si>
    <t xml:space="preserve">          2129.61</t>
  </si>
  <si>
    <t xml:space="preserve">         2129.61</t>
  </si>
  <si>
    <t xml:space="preserve">          4161.81</t>
  </si>
  <si>
    <t xml:space="preserve">         4161.81</t>
  </si>
  <si>
    <t xml:space="preserve">          1603.33</t>
  </si>
  <si>
    <t xml:space="preserve">         1603.33</t>
  </si>
  <si>
    <t xml:space="preserve">          4586.76</t>
  </si>
  <si>
    <t xml:space="preserve">         4586.76</t>
  </si>
  <si>
    <t xml:space="preserve">          2376.67</t>
  </si>
  <si>
    <t xml:space="preserve">         2376.67</t>
  </si>
  <si>
    <t xml:space="preserve">          1008.63</t>
  </si>
  <si>
    <t xml:space="preserve">         1008.63</t>
  </si>
  <si>
    <t xml:space="preserve">          2299.82</t>
  </si>
  <si>
    <t xml:space="preserve">         2299.82</t>
  </si>
  <si>
    <t xml:space="preserve">            31.19</t>
  </si>
  <si>
    <t xml:space="preserve">           31.19</t>
  </si>
  <si>
    <t>642141011211</t>
  </si>
  <si>
    <t xml:space="preserve">         20727586</t>
  </si>
  <si>
    <t>642131011211</t>
  </si>
  <si>
    <t xml:space="preserve">          2542789</t>
  </si>
  <si>
    <t xml:space="preserve">         13725869</t>
  </si>
  <si>
    <t xml:space="preserve">          4577524</t>
  </si>
  <si>
    <t xml:space="preserve">          4617200</t>
  </si>
  <si>
    <t xml:space="preserve">          3337074</t>
  </si>
  <si>
    <t xml:space="preserve">         17329227</t>
  </si>
  <si>
    <t xml:space="preserve">          4441627</t>
  </si>
  <si>
    <t>642131211211</t>
  </si>
  <si>
    <t xml:space="preserve">           544884</t>
  </si>
  <si>
    <t xml:space="preserve">          2941258</t>
  </si>
  <si>
    <t xml:space="preserve">           980898</t>
  </si>
  <si>
    <t xml:space="preserve">           989400</t>
  </si>
  <si>
    <t xml:space="preserve">           715087</t>
  </si>
  <si>
    <t xml:space="preserve">          3713406</t>
  </si>
  <si>
    <t xml:space="preserve">           740272</t>
  </si>
  <si>
    <t>642133011211</t>
  </si>
  <si>
    <t xml:space="preserve">            90814</t>
  </si>
  <si>
    <t xml:space="preserve">           490210</t>
  </si>
  <si>
    <t xml:space="preserve">           163484</t>
  </si>
  <si>
    <t xml:space="preserve">           164900</t>
  </si>
  <si>
    <t xml:space="preserve">           119181</t>
  </si>
  <si>
    <t>165</t>
  </si>
  <si>
    <t>167</t>
  </si>
  <si>
    <t xml:space="preserve">           618901</t>
  </si>
  <si>
    <t>169</t>
  </si>
  <si>
    <t>229</t>
  </si>
  <si>
    <t xml:space="preserve">          4441625</t>
  </si>
  <si>
    <t>642140011211</t>
  </si>
  <si>
    <t>231</t>
  </si>
  <si>
    <t>233</t>
  </si>
  <si>
    <t>235</t>
  </si>
  <si>
    <t>237</t>
  </si>
  <si>
    <t>239</t>
  </si>
  <si>
    <t>241</t>
  </si>
  <si>
    <t>243</t>
  </si>
  <si>
    <t>245</t>
  </si>
  <si>
    <t>305</t>
  </si>
  <si>
    <t xml:space="preserve">          2053808</t>
  </si>
  <si>
    <t>642160011211</t>
  </si>
  <si>
    <t>307</t>
  </si>
  <si>
    <t xml:space="preserve">           181628</t>
  </si>
  <si>
    <t xml:space="preserve">          1143785</t>
  </si>
  <si>
    <t>311</t>
  </si>
  <si>
    <t xml:space="preserve">           326966</t>
  </si>
  <si>
    <t xml:space="preserve">           329800</t>
  </si>
  <si>
    <t>315</t>
  </si>
  <si>
    <t xml:space="preserve">           238363</t>
  </si>
  <si>
    <t>319</t>
  </si>
  <si>
    <t xml:space="preserve">          1254721</t>
  </si>
  <si>
    <t>381</t>
  </si>
  <si>
    <t xml:space="preserve">          2961083</t>
  </si>
  <si>
    <t>642120011211</t>
  </si>
  <si>
    <t>383</t>
  </si>
  <si>
    <t xml:space="preserve">           363256</t>
  </si>
  <si>
    <t>385</t>
  </si>
  <si>
    <t xml:space="preserve">          1960839</t>
  </si>
  <si>
    <t>387</t>
  </si>
  <si>
    <t xml:space="preserve">           653932</t>
  </si>
  <si>
    <t>389</t>
  </si>
  <si>
    <t xml:space="preserve">           659600</t>
  </si>
  <si>
    <t>391</t>
  </si>
  <si>
    <t xml:space="preserve">           476725</t>
  </si>
  <si>
    <t>395</t>
  </si>
  <si>
    <t xml:space="preserve">          2475603</t>
  </si>
  <si>
    <t>397</t>
  </si>
  <si>
    <t>642101241000</t>
  </si>
  <si>
    <t>143</t>
  </si>
  <si>
    <t>821100011611</t>
  </si>
  <si>
    <t xml:space="preserve">         -171.30</t>
  </si>
  <si>
    <t>601 GI for Delivery</t>
  </si>
  <si>
    <t>WL</t>
  </si>
  <si>
    <t xml:space="preserve">         30497.04</t>
  </si>
  <si>
    <t xml:space="preserve">        30497.04</t>
  </si>
  <si>
    <t xml:space="preserve">         29898.75</t>
  </si>
  <si>
    <t xml:space="preserve">        29898.75</t>
  </si>
  <si>
    <t xml:space="preserve">         33855.12</t>
  </si>
  <si>
    <t xml:space="preserve">        33855.12</t>
  </si>
  <si>
    <t xml:space="preserve">         29942.64</t>
  </si>
  <si>
    <t xml:space="preserve">        29942.64</t>
  </si>
  <si>
    <t xml:space="preserve">         29541.75</t>
  </si>
  <si>
    <t xml:space="preserve">        29541.75</t>
  </si>
  <si>
    <t xml:space="preserve">           418.90</t>
  </si>
  <si>
    <t xml:space="preserve">          418.90</t>
  </si>
  <si>
    <t xml:space="preserve">         35100.00</t>
  </si>
  <si>
    <t xml:space="preserve">        35100.00</t>
  </si>
  <si>
    <t xml:space="preserve">         39128.40</t>
  </si>
  <si>
    <t xml:space="preserve">        39128.40</t>
  </si>
  <si>
    <t xml:space="preserve">          1675.60</t>
  </si>
  <si>
    <t xml:space="preserve">         1675.60</t>
  </si>
  <si>
    <t xml:space="preserve">         34680.96</t>
  </si>
  <si>
    <t xml:space="preserve">        34680.96</t>
  </si>
  <si>
    <t xml:space="preserve">         34758.03</t>
  </si>
  <si>
    <t xml:space="preserve">        34758.03</t>
  </si>
  <si>
    <t xml:space="preserve">         32879.88</t>
  </si>
  <si>
    <t xml:space="preserve">        32879.88</t>
  </si>
  <si>
    <t xml:space="preserve">           502.00</t>
  </si>
  <si>
    <t xml:space="preserve">          502.00</t>
  </si>
  <si>
    <t xml:space="preserve">          1829.20</t>
  </si>
  <si>
    <t xml:space="preserve">         1829.20</t>
  </si>
  <si>
    <t xml:space="preserve">          1324.40</t>
  </si>
  <si>
    <t xml:space="preserve">         1324.40</t>
  </si>
  <si>
    <t xml:space="preserve">          380.93</t>
  </si>
  <si>
    <t xml:space="preserve">          2482.00</t>
  </si>
  <si>
    <t xml:space="preserve">         2482.00</t>
  </si>
  <si>
    <t xml:space="preserve">         34700.40</t>
  </si>
  <si>
    <t xml:space="preserve">        34700.40</t>
  </si>
  <si>
    <t xml:space="preserve">         15376.50</t>
  </si>
  <si>
    <t xml:space="preserve">        15376.50</t>
  </si>
  <si>
    <t xml:space="preserve">         37437.12</t>
  </si>
  <si>
    <t xml:space="preserve">        37437.12</t>
  </si>
  <si>
    <t xml:space="preserve">         39054.96</t>
  </si>
  <si>
    <t xml:space="preserve">        39054.96</t>
  </si>
  <si>
    <t xml:space="preserve">          7455.00</t>
  </si>
  <si>
    <t xml:space="preserve">         7455.00</t>
  </si>
  <si>
    <t xml:space="preserve">          1045.44</t>
  </si>
  <si>
    <t xml:space="preserve">         1045.44</t>
  </si>
  <si>
    <t xml:space="preserve">           109.84</t>
  </si>
  <si>
    <t xml:space="preserve">          109.84</t>
  </si>
  <si>
    <t>A15DPSR3BS</t>
  </si>
  <si>
    <t>A15DPSR5ZZ</t>
  </si>
  <si>
    <t>A15DPSR4ZZ</t>
  </si>
  <si>
    <t>A15DPSR5BS</t>
  </si>
  <si>
    <t>A15DPSR3FS</t>
  </si>
  <si>
    <t>A15DPSR2FS</t>
  </si>
  <si>
    <t>A15DPSR6DT</t>
  </si>
  <si>
    <t>A15DPSR3ZZ</t>
  </si>
  <si>
    <t>A15DPSR2DT</t>
  </si>
  <si>
    <t>A15DPSR2BS</t>
  </si>
  <si>
    <t>A15DPSR6BS</t>
  </si>
  <si>
    <t>A15DPSR4BS</t>
  </si>
  <si>
    <t>A15DPSR7DT</t>
  </si>
  <si>
    <t>A15DPSR5DT</t>
  </si>
  <si>
    <t>A15DPSR4DT</t>
  </si>
  <si>
    <t>A15DPSR4FS</t>
  </si>
  <si>
    <t>A15DPSR2ZZ</t>
  </si>
  <si>
    <t>A15DPSR3DT</t>
  </si>
  <si>
    <t xml:space="preserve">          8914.80</t>
  </si>
  <si>
    <t xml:space="preserve">         8914.80</t>
  </si>
  <si>
    <t xml:space="preserve">          6146.00</t>
  </si>
  <si>
    <t xml:space="preserve">         6146.00</t>
  </si>
  <si>
    <t xml:space="preserve">        696.000</t>
  </si>
  <si>
    <t xml:space="preserve">        337.000</t>
  </si>
  <si>
    <t xml:space="preserve">          3462.48</t>
  </si>
  <si>
    <t xml:space="preserve">         3462.48</t>
  </si>
  <si>
    <t xml:space="preserve">           190.44</t>
  </si>
  <si>
    <t xml:space="preserve">          190.44</t>
  </si>
  <si>
    <t xml:space="preserve">          2392.32</t>
  </si>
  <si>
    <t xml:space="preserve">         2392.32</t>
  </si>
  <si>
    <t xml:space="preserve">        308.000</t>
  </si>
  <si>
    <t xml:space="preserve">        261.000</t>
  </si>
  <si>
    <t xml:space="preserve">           594.24</t>
  </si>
  <si>
    <t xml:space="preserve">          594.24</t>
  </si>
  <si>
    <t xml:space="preserve">         14856.00</t>
  </si>
  <si>
    <t xml:space="preserve">        14856.00</t>
  </si>
  <si>
    <t xml:space="preserve">          9603.00</t>
  </si>
  <si>
    <t xml:space="preserve">         9603.00</t>
  </si>
  <si>
    <t xml:space="preserve">         28930.50</t>
  </si>
  <si>
    <t xml:space="preserve">        28930.50</t>
  </si>
  <si>
    <t xml:space="preserve">           573.20</t>
  </si>
  <si>
    <t xml:space="preserve">          573.20</t>
  </si>
  <si>
    <t xml:space="preserve">          2331.60</t>
  </si>
  <si>
    <t xml:space="preserve">         2331.60</t>
  </si>
  <si>
    <t xml:space="preserve">          1957.20</t>
  </si>
  <si>
    <t xml:space="preserve">         1957.20</t>
  </si>
  <si>
    <t xml:space="preserve">        366.000</t>
  </si>
  <si>
    <t xml:space="preserve">        575.000</t>
  </si>
  <si>
    <t xml:space="preserve">        400.000</t>
  </si>
  <si>
    <t xml:space="preserve">        339.000</t>
  </si>
  <si>
    <t xml:space="preserve">        516.000</t>
  </si>
  <si>
    <t xml:space="preserve">        285.000</t>
  </si>
  <si>
    <t xml:space="preserve">        810.000</t>
  </si>
  <si>
    <t>261 GI to Prod(Dirct)</t>
  </si>
  <si>
    <t>WA</t>
  </si>
  <si>
    <t xml:space="preserve">           24.04</t>
  </si>
  <si>
    <t xml:space="preserve">            15.05</t>
  </si>
  <si>
    <t xml:space="preserve">           15.05</t>
  </si>
  <si>
    <t xml:space="preserve">             6.30</t>
  </si>
  <si>
    <t xml:space="preserve">            6.30</t>
  </si>
  <si>
    <t xml:space="preserve">             6.87</t>
  </si>
  <si>
    <t xml:space="preserve">            6.87</t>
  </si>
  <si>
    <t xml:space="preserve">            6.91</t>
  </si>
  <si>
    <t xml:space="preserve">           14.22</t>
  </si>
  <si>
    <t>101 GR for acct. assgt.</t>
  </si>
  <si>
    <t>642811021213</t>
  </si>
  <si>
    <t>WE</t>
  </si>
  <si>
    <t>642303011213</t>
  </si>
  <si>
    <t>642810011213</t>
  </si>
  <si>
    <t xml:space="preserve">         10625000</t>
  </si>
  <si>
    <t xml:space="preserve">          2100000</t>
  </si>
  <si>
    <t xml:space="preserve">            0.31</t>
  </si>
  <si>
    <t>20240531</t>
  </si>
  <si>
    <t>20240525</t>
  </si>
  <si>
    <t>0090000308</t>
  </si>
  <si>
    <t>202405</t>
  </si>
  <si>
    <t xml:space="preserve">        496.000</t>
  </si>
  <si>
    <t xml:space="preserve">         13307.68</t>
  </si>
  <si>
    <t xml:space="preserve">        13307.68</t>
  </si>
  <si>
    <t xml:space="preserve">          19.840</t>
  </si>
  <si>
    <t xml:space="preserve">         96.000</t>
  </si>
  <si>
    <t xml:space="preserve">          2686.08</t>
  </si>
  <si>
    <t xml:space="preserve">         2686.08</t>
  </si>
  <si>
    <t xml:space="preserve">           3.840</t>
  </si>
  <si>
    <t xml:space="preserve">          5202.00</t>
  </si>
  <si>
    <t xml:space="preserve">         5202.00</t>
  </si>
  <si>
    <t xml:space="preserve">        658.000</t>
  </si>
  <si>
    <t xml:space="preserve">         17654.14</t>
  </si>
  <si>
    <t xml:space="preserve">        17654.14</t>
  </si>
  <si>
    <t xml:space="preserve">          26.320</t>
  </si>
  <si>
    <t>20240527</t>
  </si>
  <si>
    <t>0090000309</t>
  </si>
  <si>
    <t>20240529</t>
  </si>
  <si>
    <t>0090000310</t>
  </si>
  <si>
    <t xml:space="preserve">        976.000</t>
  </si>
  <si>
    <t xml:space="preserve">         26186.08</t>
  </si>
  <si>
    <t xml:space="preserve">        26186.08</t>
  </si>
  <si>
    <t xml:space="preserve">          39.040</t>
  </si>
  <si>
    <t xml:space="preserve">        536.000</t>
  </si>
  <si>
    <t xml:space="preserve">         14997.28</t>
  </si>
  <si>
    <t xml:space="preserve">        14997.28</t>
  </si>
  <si>
    <t>0090000311</t>
  </si>
  <si>
    <t xml:space="preserve">        924.000</t>
  </si>
  <si>
    <t xml:space="preserve">         32127.48</t>
  </si>
  <si>
    <t xml:space="preserve">        32127.48</t>
  </si>
  <si>
    <t xml:space="preserve">          55.440</t>
  </si>
  <si>
    <t>0090000312</t>
  </si>
  <si>
    <t xml:space="preserve">        120600000</t>
  </si>
  <si>
    <t xml:space="preserve">         4735.92</t>
  </si>
  <si>
    <t>099W 235/45 R19   XLAL01AZ  T 5   23VB99</t>
  </si>
  <si>
    <t xml:space="preserve">        185250000</t>
  </si>
  <si>
    <t xml:space="preserve">         7274.69</t>
  </si>
  <si>
    <t xml:space="preserve">        520.000</t>
  </si>
  <si>
    <t xml:space="preserve">        620360000</t>
  </si>
  <si>
    <t xml:space="preserve">        24361.28</t>
  </si>
  <si>
    <t xml:space="preserve">          52.000</t>
  </si>
  <si>
    <t xml:space="preserve">         83577000</t>
  </si>
  <si>
    <t xml:space="preserve">         3282.03</t>
  </si>
  <si>
    <t xml:space="preserve">           5.070</t>
  </si>
  <si>
    <t>0090000313</t>
  </si>
  <si>
    <t xml:space="preserve">        469.000</t>
  </si>
  <si>
    <t xml:space="preserve">        565614000</t>
  </si>
  <si>
    <t xml:space="preserve">        22211.44</t>
  </si>
  <si>
    <t xml:space="preserve">          42.210</t>
  </si>
  <si>
    <t xml:space="preserve">        25504.30</t>
  </si>
  <si>
    <t xml:space="preserve">        592800000</t>
  </si>
  <si>
    <t xml:space="preserve">        23279.01</t>
  </si>
  <si>
    <t xml:space="preserve">          32.000</t>
  </si>
  <si>
    <t xml:space="preserve">        30553.70</t>
  </si>
  <si>
    <t xml:space="preserve">          5965000</t>
  </si>
  <si>
    <t xml:space="preserve">          234.24</t>
  </si>
  <si>
    <t xml:space="preserve">        24595.53</t>
  </si>
  <si>
    <t xml:space="preserve">         14580000</t>
  </si>
  <si>
    <t xml:space="preserve">          572.55</t>
  </si>
  <si>
    <t xml:space="preserve">        681.000</t>
  </si>
  <si>
    <t xml:space="preserve">        856017000</t>
  </si>
  <si>
    <t xml:space="preserve">        33615.44</t>
  </si>
  <si>
    <t xml:space="preserve">          47.670</t>
  </si>
  <si>
    <t>20240530</t>
  </si>
  <si>
    <t>0090000314</t>
  </si>
  <si>
    <t xml:space="preserve">           691.57</t>
  </si>
  <si>
    <t xml:space="preserve">          691.57</t>
  </si>
  <si>
    <t xml:space="preserve">           1.210</t>
  </si>
  <si>
    <t xml:space="preserve">           399.12</t>
  </si>
  <si>
    <t xml:space="preserve">          399.12</t>
  </si>
  <si>
    <t xml:space="preserve">          1160.42</t>
  </si>
  <si>
    <t xml:space="preserve">         1160.42</t>
  </si>
  <si>
    <t xml:space="preserve">        149.000</t>
  </si>
  <si>
    <t xml:space="preserve">          7639.23</t>
  </si>
  <si>
    <t xml:space="preserve">         7639.23</t>
  </si>
  <si>
    <t xml:space="preserve">          10.430</t>
  </si>
  <si>
    <t xml:space="preserve">           748.80</t>
  </si>
  <si>
    <t xml:space="preserve">          748.80</t>
  </si>
  <si>
    <t xml:space="preserve">          1098.25</t>
  </si>
  <si>
    <t xml:space="preserve">         1098.25</t>
  </si>
  <si>
    <t xml:space="preserve">          1934.43</t>
  </si>
  <si>
    <t xml:space="preserve">         1934.43</t>
  </si>
  <si>
    <t xml:space="preserve">           2.550</t>
  </si>
  <si>
    <t xml:space="preserve">           494.46</t>
  </si>
  <si>
    <t xml:space="preserve">          494.46</t>
  </si>
  <si>
    <t xml:space="preserve">          1124.75</t>
  </si>
  <si>
    <t xml:space="preserve">         1124.75</t>
  </si>
  <si>
    <t xml:space="preserve">          7846.65</t>
  </si>
  <si>
    <t xml:space="preserve">         7846.65</t>
  </si>
  <si>
    <t xml:space="preserve">          3383.20</t>
  </si>
  <si>
    <t xml:space="preserve">         3383.20</t>
  </si>
  <si>
    <t xml:space="preserve">          1870.05</t>
  </si>
  <si>
    <t xml:space="preserve">         1870.05</t>
  </si>
  <si>
    <t xml:space="preserve">           698.88</t>
  </si>
  <si>
    <t xml:space="preserve">          698.88</t>
  </si>
  <si>
    <t xml:space="preserve">          1274.88</t>
  </si>
  <si>
    <t xml:space="preserve">         1274.88</t>
  </si>
  <si>
    <t>0090000315</t>
  </si>
  <si>
    <t xml:space="preserve">          1665.36</t>
  </si>
  <si>
    <t xml:space="preserve">         1665.36</t>
  </si>
  <si>
    <t xml:space="preserve">          1681.69</t>
  </si>
  <si>
    <t xml:space="preserve">         1681.69</t>
  </si>
  <si>
    <t xml:space="preserve">           2.650</t>
  </si>
  <si>
    <t xml:space="preserve">           169.16</t>
  </si>
  <si>
    <t xml:space="preserve">          169.16</t>
  </si>
  <si>
    <t xml:space="preserve">          9977.52</t>
  </si>
  <si>
    <t xml:space="preserve">         9977.52</t>
  </si>
  <si>
    <t xml:space="preserve">          13.440</t>
  </si>
  <si>
    <t xml:space="preserve">          4203.43</t>
  </si>
  <si>
    <t xml:space="preserve">         4203.43</t>
  </si>
  <si>
    <t xml:space="preserve">          1381.80</t>
  </si>
  <si>
    <t xml:space="preserve">         1381.80</t>
  </si>
  <si>
    <t xml:space="preserve">           794.22</t>
  </si>
  <si>
    <t xml:space="preserve">          794.22</t>
  </si>
  <si>
    <t xml:space="preserve">           235.06</t>
  </si>
  <si>
    <t xml:space="preserve">          235.06</t>
  </si>
  <si>
    <t xml:space="preserve">           166.40</t>
  </si>
  <si>
    <t xml:space="preserve">          166.40</t>
  </si>
  <si>
    <t xml:space="preserve">        111.000</t>
  </si>
  <si>
    <t xml:space="preserve">          5690.97</t>
  </si>
  <si>
    <t xml:space="preserve">         5690.97</t>
  </si>
  <si>
    <t xml:space="preserve">           7.770</t>
  </si>
  <si>
    <t xml:space="preserve">          1563.32</t>
  </si>
  <si>
    <t xml:space="preserve">         1563.32</t>
  </si>
  <si>
    <t xml:space="preserve">           2.420</t>
  </si>
  <si>
    <t xml:space="preserve">          1315.82</t>
  </si>
  <si>
    <t xml:space="preserve">         1315.82</t>
  </si>
  <si>
    <t xml:space="preserve">         81.000</t>
  </si>
  <si>
    <t xml:space="preserve">          3339.63</t>
  </si>
  <si>
    <t xml:space="preserve">         3339.63</t>
  </si>
  <si>
    <t xml:space="preserve">           4.050</t>
  </si>
  <si>
    <t xml:space="preserve">           222.92</t>
  </si>
  <si>
    <t xml:space="preserve">          222.92</t>
  </si>
  <si>
    <t xml:space="preserve">            63.46</t>
  </si>
  <si>
    <t xml:space="preserve">           63.46</t>
  </si>
  <si>
    <t xml:space="preserve">           0.100</t>
  </si>
  <si>
    <t>0090000316</t>
  </si>
  <si>
    <t xml:space="preserve">           188.61</t>
  </si>
  <si>
    <t xml:space="preserve">          188.61</t>
  </si>
  <si>
    <t xml:space="preserve">           0.330</t>
  </si>
  <si>
    <t xml:space="preserve">          1131.66</t>
  </si>
  <si>
    <t xml:space="preserve">         1131.66</t>
  </si>
  <si>
    <t xml:space="preserve">          4258.02</t>
  </si>
  <si>
    <t xml:space="preserve">         4258.02</t>
  </si>
  <si>
    <t xml:space="preserve">           5.150</t>
  </si>
  <si>
    <t xml:space="preserve">          5132.40</t>
  </si>
  <si>
    <t xml:space="preserve">         5132.40</t>
  </si>
  <si>
    <t xml:space="preserve">          1435.44</t>
  </si>
  <si>
    <t xml:space="preserve">         1435.44</t>
  </si>
  <si>
    <t xml:space="preserve">          1542.00</t>
  </si>
  <si>
    <t xml:space="preserve">         1542.00</t>
  </si>
  <si>
    <t xml:space="preserve">        274.000</t>
  </si>
  <si>
    <t xml:space="preserve">         14220.60</t>
  </si>
  <si>
    <t xml:space="preserve">        14220.60</t>
  </si>
  <si>
    <t xml:space="preserve">          19.180</t>
  </si>
  <si>
    <t xml:space="preserve">        126.000</t>
  </si>
  <si>
    <t xml:space="preserve">          6244.56</t>
  </si>
  <si>
    <t xml:space="preserve">         6244.56</t>
  </si>
  <si>
    <t xml:space="preserve">           8.820</t>
  </si>
  <si>
    <t xml:space="preserve">           111.46</t>
  </si>
  <si>
    <t xml:space="preserve">          111.46</t>
  </si>
  <si>
    <t xml:space="preserve">           0.180</t>
  </si>
  <si>
    <t xml:space="preserve">           786.24</t>
  </si>
  <si>
    <t xml:space="preserve">          786.24</t>
  </si>
  <si>
    <t xml:space="preserve">           224.95</t>
  </si>
  <si>
    <t xml:space="preserve">          224.95</t>
  </si>
  <si>
    <t>20240523</t>
  </si>
  <si>
    <t>0090000317</t>
  </si>
  <si>
    <t xml:space="preserve">        870.000</t>
  </si>
  <si>
    <t xml:space="preserve">         23342.10</t>
  </si>
  <si>
    <t xml:space="preserve">        23342.10</t>
  </si>
  <si>
    <t xml:space="preserve">          34.800</t>
  </si>
  <si>
    <t xml:space="preserve">        378.000</t>
  </si>
  <si>
    <t xml:space="preserve">         10576.44</t>
  </si>
  <si>
    <t xml:space="preserve">        10576.44</t>
  </si>
  <si>
    <t>0090000318</t>
  </si>
  <si>
    <t>20240518</t>
  </si>
  <si>
    <t>0090000319</t>
  </si>
  <si>
    <t xml:space="preserve">           155.24</t>
  </si>
  <si>
    <t xml:space="preserve">          155.24</t>
  </si>
  <si>
    <t xml:space="preserve">           0.268</t>
  </si>
  <si>
    <t xml:space="preserve">           132.12</t>
  </si>
  <si>
    <t xml:space="preserve">          132.12</t>
  </si>
  <si>
    <t xml:space="preserve">            49.29</t>
  </si>
  <si>
    <t xml:space="preserve">           49.29</t>
  </si>
  <si>
    <t xml:space="preserve">           0.088</t>
  </si>
  <si>
    <t xml:space="preserve">        703.000</t>
  </si>
  <si>
    <t xml:space="preserve">         37230.88</t>
  </si>
  <si>
    <t xml:space="preserve">        37230.88</t>
  </si>
  <si>
    <t xml:space="preserve">          65.379</t>
  </si>
  <si>
    <t>20240524</t>
  </si>
  <si>
    <t>0090000320</t>
  </si>
  <si>
    <t xml:space="preserve">           402.96</t>
  </si>
  <si>
    <t xml:space="preserve">          402.96</t>
  </si>
  <si>
    <t xml:space="preserve">          1706.07</t>
  </si>
  <si>
    <t xml:space="preserve">         1706.07</t>
  </si>
  <si>
    <t xml:space="preserve">           2.590</t>
  </si>
  <si>
    <t xml:space="preserve">           666.33</t>
  </si>
  <si>
    <t xml:space="preserve">          666.33</t>
  </si>
  <si>
    <t xml:space="preserve">          1593.26</t>
  </si>
  <si>
    <t xml:space="preserve">         1593.26</t>
  </si>
  <si>
    <t xml:space="preserve">           2.610</t>
  </si>
  <si>
    <t xml:space="preserve">           989.52</t>
  </si>
  <si>
    <t xml:space="preserve">          989.52</t>
  </si>
  <si>
    <t xml:space="preserve">          1043.00</t>
  </si>
  <si>
    <t xml:space="preserve">         1043.00</t>
  </si>
  <si>
    <t xml:space="preserve">          1570.45</t>
  </si>
  <si>
    <t xml:space="preserve">         1570.45</t>
  </si>
  <si>
    <t xml:space="preserve">           2.450</t>
  </si>
  <si>
    <t xml:space="preserve">          1532.09</t>
  </si>
  <si>
    <t xml:space="preserve">         1532.09</t>
  </si>
  <si>
    <t xml:space="preserve">           2.580</t>
  </si>
  <si>
    <t xml:space="preserve">          1531.71</t>
  </si>
  <si>
    <t xml:space="preserve">         1531.71</t>
  </si>
  <si>
    <t xml:space="preserve">           322.14</t>
  </si>
  <si>
    <t xml:space="preserve">          322.14</t>
  </si>
  <si>
    <t xml:space="preserve">         61.000</t>
  </si>
  <si>
    <t xml:space="preserve">          2313.73</t>
  </si>
  <si>
    <t xml:space="preserve">         2313.73</t>
  </si>
  <si>
    <t xml:space="preserve">           3.050</t>
  </si>
  <si>
    <t xml:space="preserve">           246.75</t>
  </si>
  <si>
    <t xml:space="preserve">          246.75</t>
  </si>
  <si>
    <t xml:space="preserve">          1660.80</t>
  </si>
  <si>
    <t xml:space="preserve">         1660.80</t>
  </si>
  <si>
    <t xml:space="preserve">           2.240</t>
  </si>
  <si>
    <t xml:space="preserve">        116.000</t>
  </si>
  <si>
    <t xml:space="preserve">          4825.60</t>
  </si>
  <si>
    <t xml:space="preserve">         4825.60</t>
  </si>
  <si>
    <t xml:space="preserve">           8.120</t>
  </si>
  <si>
    <t xml:space="preserve">          8075.64</t>
  </si>
  <si>
    <t xml:space="preserve">         8075.64</t>
  </si>
  <si>
    <t xml:space="preserve">          10.380</t>
  </si>
  <si>
    <t xml:space="preserve">           239.24</t>
  </si>
  <si>
    <t xml:space="preserve">          239.24</t>
  </si>
  <si>
    <t xml:space="preserve">          1913.60</t>
  </si>
  <si>
    <t xml:space="preserve">         1913.60</t>
  </si>
  <si>
    <t xml:space="preserve">           3.220</t>
  </si>
  <si>
    <t xml:space="preserve">          1102.85</t>
  </si>
  <si>
    <t xml:space="preserve">         1102.85</t>
  </si>
  <si>
    <t xml:space="preserve">           359.92</t>
  </si>
  <si>
    <t xml:space="preserve">          359.92</t>
  </si>
  <si>
    <t xml:space="preserve">          6511.29</t>
  </si>
  <si>
    <t xml:space="preserve">         6511.29</t>
  </si>
  <si>
    <t xml:space="preserve">           8.890</t>
  </si>
  <si>
    <t xml:space="preserve">         27190.77</t>
  </si>
  <si>
    <t xml:space="preserve">        27190.77</t>
  </si>
  <si>
    <t xml:space="preserve">          36.610</t>
  </si>
  <si>
    <t>0090000321</t>
  </si>
  <si>
    <t xml:space="preserve">        26782.73</t>
  </si>
  <si>
    <t xml:space="preserve">        26782.75</t>
  </si>
  <si>
    <t xml:space="preserve">        25492.29</t>
  </si>
  <si>
    <t xml:space="preserve">        28664.91</t>
  </si>
  <si>
    <t>0090000322</t>
  </si>
  <si>
    <t xml:space="preserve">           951.90</t>
  </si>
  <si>
    <t xml:space="preserve">          951.90</t>
  </si>
  <si>
    <t xml:space="preserve">            84.58</t>
  </si>
  <si>
    <t xml:space="preserve">           84.58</t>
  </si>
  <si>
    <t xml:space="preserve">           0.120</t>
  </si>
  <si>
    <t xml:space="preserve">           824.98</t>
  </si>
  <si>
    <t xml:space="preserve">          824.98</t>
  </si>
  <si>
    <t xml:space="preserve">          2242.50</t>
  </si>
  <si>
    <t xml:space="preserve">         2242.50</t>
  </si>
  <si>
    <t xml:space="preserve">           3.650</t>
  </si>
  <si>
    <t xml:space="preserve">          2020.27</t>
  </si>
  <si>
    <t xml:space="preserve">         2020.27</t>
  </si>
  <si>
    <t xml:space="preserve">          2615.55</t>
  </si>
  <si>
    <t xml:space="preserve">         2615.55</t>
  </si>
  <si>
    <t xml:space="preserve">        241.000</t>
  </si>
  <si>
    <t xml:space="preserve">         11249.88</t>
  </si>
  <si>
    <t xml:space="preserve">        11249.88</t>
  </si>
  <si>
    <t xml:space="preserve">          14.460</t>
  </si>
  <si>
    <t xml:space="preserve">           667.32</t>
  </si>
  <si>
    <t xml:space="preserve">          667.32</t>
  </si>
  <si>
    <t xml:space="preserve">          1848.60</t>
  </si>
  <si>
    <t xml:space="preserve">         1848.60</t>
  </si>
  <si>
    <t xml:space="preserve">          3114.00</t>
  </si>
  <si>
    <t xml:space="preserve">         3114.00</t>
  </si>
  <si>
    <t xml:space="preserve">        171.000</t>
  </si>
  <si>
    <t xml:space="preserve">          7693.29</t>
  </si>
  <si>
    <t xml:space="preserve">         7693.29</t>
  </si>
  <si>
    <t xml:space="preserve">          13.680</t>
  </si>
  <si>
    <t xml:space="preserve">         75.000</t>
  </si>
  <si>
    <t xml:space="preserve">          3845.25</t>
  </si>
  <si>
    <t xml:space="preserve">         3845.25</t>
  </si>
  <si>
    <t xml:space="preserve">           5.250</t>
  </si>
  <si>
    <t xml:space="preserve">          3944.72</t>
  </si>
  <si>
    <t xml:space="preserve">         3944.72</t>
  </si>
  <si>
    <t xml:space="preserve">           5.200</t>
  </si>
  <si>
    <t xml:space="preserve">           523.68</t>
  </si>
  <si>
    <t xml:space="preserve">          523.68</t>
  </si>
  <si>
    <t xml:space="preserve">          4432.75</t>
  </si>
  <si>
    <t xml:space="preserve">         4432.75</t>
  </si>
  <si>
    <t xml:space="preserve">           5.950</t>
  </si>
  <si>
    <t xml:space="preserve">          1337.00</t>
  </si>
  <si>
    <t xml:space="preserve">         1337.00</t>
  </si>
  <si>
    <t xml:space="preserve">          2391.75</t>
  </si>
  <si>
    <t xml:space="preserve">         2391.75</t>
  </si>
  <si>
    <t xml:space="preserve">           3.750</t>
  </si>
  <si>
    <t xml:space="preserve">          4805.98</t>
  </si>
  <si>
    <t xml:space="preserve">         4805.98</t>
  </si>
  <si>
    <t xml:space="preserve">           850.95</t>
  </si>
  <si>
    <t xml:space="preserve">          850.95</t>
  </si>
  <si>
    <t xml:space="preserve">           1.350</t>
  </si>
  <si>
    <t xml:space="preserve">        228.000</t>
  </si>
  <si>
    <t xml:space="preserve">         11361.24</t>
  </si>
  <si>
    <t xml:space="preserve">        11361.24</t>
  </si>
  <si>
    <t xml:space="preserve">           130.92</t>
  </si>
  <si>
    <t xml:space="preserve">          130.92</t>
  </si>
  <si>
    <t xml:space="preserve">          1141.72</t>
  </si>
  <si>
    <t xml:space="preserve">         1141.72</t>
  </si>
  <si>
    <t xml:space="preserve">           253.84</t>
  </si>
  <si>
    <t xml:space="preserve">          253.84</t>
  </si>
  <si>
    <t xml:space="preserve">            56.73</t>
  </si>
  <si>
    <t xml:space="preserve">           56.73</t>
  </si>
  <si>
    <t xml:space="preserve">           0.090</t>
  </si>
  <si>
    <t>0090000323</t>
  </si>
  <si>
    <t xml:space="preserve">         74.000</t>
  </si>
  <si>
    <t xml:space="preserve">          3651.90</t>
  </si>
  <si>
    <t xml:space="preserve">         3651.90</t>
  </si>
  <si>
    <t xml:space="preserve">           4.958</t>
  </si>
  <si>
    <t xml:space="preserve">            61.68</t>
  </si>
  <si>
    <t xml:space="preserve">           61.68</t>
  </si>
  <si>
    <t xml:space="preserve">         77.000</t>
  </si>
  <si>
    <t xml:space="preserve">          3256.33</t>
  </si>
  <si>
    <t xml:space="preserve">         3256.33</t>
  </si>
  <si>
    <t xml:space="preserve">          1855.35</t>
  </si>
  <si>
    <t xml:space="preserve">         1855.35</t>
  </si>
  <si>
    <t xml:space="preserve">           654.60</t>
  </si>
  <si>
    <t xml:space="preserve">          654.60</t>
  </si>
  <si>
    <t xml:space="preserve">          4172.00</t>
  </si>
  <si>
    <t xml:space="preserve">         4172.00</t>
  </si>
  <si>
    <t xml:space="preserve">        311.000</t>
  </si>
  <si>
    <t xml:space="preserve">         18470.29</t>
  </si>
  <si>
    <t xml:space="preserve">        18470.29</t>
  </si>
  <si>
    <t xml:space="preserve">          24.880</t>
  </si>
  <si>
    <t xml:space="preserve">          1890.51</t>
  </si>
  <si>
    <t xml:space="preserve">         1890.51</t>
  </si>
  <si>
    <t xml:space="preserve">           2.870</t>
  </si>
  <si>
    <t xml:space="preserve">           226.92</t>
  </si>
  <si>
    <t xml:space="preserve">          226.92</t>
  </si>
  <si>
    <t xml:space="preserve">           102.54</t>
  </si>
  <si>
    <t xml:space="preserve">          102.54</t>
  </si>
  <si>
    <t xml:space="preserve">          3602.55</t>
  </si>
  <si>
    <t xml:space="preserve">         3602.55</t>
  </si>
  <si>
    <t xml:space="preserve">          1649.96</t>
  </si>
  <si>
    <t xml:space="preserve">         1649.96</t>
  </si>
  <si>
    <t xml:space="preserve">           2.600</t>
  </si>
  <si>
    <t xml:space="preserve">           764.00</t>
  </si>
  <si>
    <t xml:space="preserve">          764.00</t>
  </si>
  <si>
    <t xml:space="preserve">           1.280</t>
  </si>
  <si>
    <t xml:space="preserve">           126.92</t>
  </si>
  <si>
    <t xml:space="preserve">          126.92</t>
  </si>
  <si>
    <t xml:space="preserve">        473.000</t>
  </si>
  <si>
    <t xml:space="preserve">         28091.47</t>
  </si>
  <si>
    <t xml:space="preserve">        28091.47</t>
  </si>
  <si>
    <t>0090000324</t>
  </si>
  <si>
    <t xml:space="preserve">            33.58</t>
  </si>
  <si>
    <t xml:space="preserve">           33.58</t>
  </si>
  <si>
    <t xml:space="preserve">           0.050</t>
  </si>
  <si>
    <t xml:space="preserve">           170.19</t>
  </si>
  <si>
    <t xml:space="preserve">          170.19</t>
  </si>
  <si>
    <t xml:space="preserve">           0.270</t>
  </si>
  <si>
    <t xml:space="preserve">        130.000</t>
  </si>
  <si>
    <t xml:space="preserve">          5072.60</t>
  </si>
  <si>
    <t xml:space="preserve">         5072.60</t>
  </si>
  <si>
    <t xml:space="preserve">           7.800</t>
  </si>
  <si>
    <t xml:space="preserve">          4442.20</t>
  </si>
  <si>
    <t xml:space="preserve">         4442.20</t>
  </si>
  <si>
    <t xml:space="preserve">          8790.40</t>
  </si>
  <si>
    <t xml:space="preserve">         8790.40</t>
  </si>
  <si>
    <t xml:space="preserve">          14.400</t>
  </si>
  <si>
    <t xml:space="preserve">          1588.44</t>
  </si>
  <si>
    <t xml:space="preserve">         1588.44</t>
  </si>
  <si>
    <t xml:space="preserve">          2081.96</t>
  </si>
  <si>
    <t xml:space="preserve">         2081.96</t>
  </si>
  <si>
    <t xml:space="preserve">            60.54</t>
  </si>
  <si>
    <t xml:space="preserve">           60.54</t>
  </si>
  <si>
    <t xml:space="preserve">          2515.10</t>
  </si>
  <si>
    <t xml:space="preserve">         2515.10</t>
  </si>
  <si>
    <t xml:space="preserve">          2150.19</t>
  </si>
  <si>
    <t xml:space="preserve">         2150.19</t>
  </si>
  <si>
    <t xml:space="preserve">          3454.50</t>
  </si>
  <si>
    <t xml:space="preserve">         3454.50</t>
  </si>
  <si>
    <t xml:space="preserve">        388.000</t>
  </si>
  <si>
    <t xml:space="preserve">         15329.88</t>
  </si>
  <si>
    <t xml:space="preserve">        15329.88</t>
  </si>
  <si>
    <t xml:space="preserve">          23.280</t>
  </si>
  <si>
    <t xml:space="preserve">          3827.84</t>
  </si>
  <si>
    <t xml:space="preserve">         3827.84</t>
  </si>
  <si>
    <t xml:space="preserve">         10932.60</t>
  </si>
  <si>
    <t xml:space="preserve">        10932.60</t>
  </si>
  <si>
    <t xml:space="preserve">          15.960</t>
  </si>
  <si>
    <t>0090000325</t>
  </si>
  <si>
    <t xml:space="preserve">           340.38</t>
  </si>
  <si>
    <t xml:space="preserve">          340.38</t>
  </si>
  <si>
    <t xml:space="preserve">          3740.10</t>
  </si>
  <si>
    <t xml:space="preserve">         3740.10</t>
  </si>
  <si>
    <t xml:space="preserve">           5.460</t>
  </si>
  <si>
    <t xml:space="preserve">          1668.92</t>
  </si>
  <si>
    <t xml:space="preserve">         1668.92</t>
  </si>
  <si>
    <t xml:space="preserve">           2.200</t>
  </si>
  <si>
    <t xml:space="preserve">        106.000</t>
  </si>
  <si>
    <t xml:space="preserve">          6339.86</t>
  </si>
  <si>
    <t xml:space="preserve">         6339.86</t>
  </si>
  <si>
    <t xml:space="preserve">           9.540</t>
  </si>
  <si>
    <t xml:space="preserve">          2842.40</t>
  </si>
  <si>
    <t xml:space="preserve">         2842.40</t>
  </si>
  <si>
    <t xml:space="preserve">           4.400</t>
  </si>
  <si>
    <t xml:space="preserve">          1248.06</t>
  </si>
  <si>
    <t xml:space="preserve">         1248.06</t>
  </si>
  <si>
    <t xml:space="preserve">          1178.70</t>
  </si>
  <si>
    <t xml:space="preserve">         1178.70</t>
  </si>
  <si>
    <t xml:space="preserve">           671.60</t>
  </si>
  <si>
    <t xml:space="preserve">          671.60</t>
  </si>
  <si>
    <t xml:space="preserve">          1701.96</t>
  </si>
  <si>
    <t xml:space="preserve">         1701.96</t>
  </si>
  <si>
    <t xml:space="preserve">           3.120</t>
  </si>
  <si>
    <t xml:space="preserve">           907.06</t>
  </si>
  <si>
    <t xml:space="preserve">          907.06</t>
  </si>
  <si>
    <t xml:space="preserve">           507.68</t>
  </si>
  <si>
    <t xml:space="preserve">          507.68</t>
  </si>
  <si>
    <t xml:space="preserve">          1129.70</t>
  </si>
  <si>
    <t xml:space="preserve">         1129.70</t>
  </si>
  <si>
    <t xml:space="preserve">        115.000</t>
  </si>
  <si>
    <t xml:space="preserve">          4543.65</t>
  </si>
  <si>
    <t xml:space="preserve">         4543.65</t>
  </si>
  <si>
    <t xml:space="preserve">           6.900</t>
  </si>
  <si>
    <t xml:space="preserve">          2747.00</t>
  </si>
  <si>
    <t xml:space="preserve">         2747.00</t>
  </si>
  <si>
    <t xml:space="preserve">          1996.80</t>
  </si>
  <si>
    <t xml:space="preserve">         1996.80</t>
  </si>
  <si>
    <t>0090000326</t>
  </si>
  <si>
    <t xml:space="preserve">        599.000</t>
  </si>
  <si>
    <t xml:space="preserve">         20827.23</t>
  </si>
  <si>
    <t xml:space="preserve">        20827.23</t>
  </si>
  <si>
    <t xml:space="preserve">          35.940</t>
  </si>
  <si>
    <t xml:space="preserve">          3319.77</t>
  </si>
  <si>
    <t xml:space="preserve">         3319.77</t>
  </si>
  <si>
    <t xml:space="preserve">           5.000</t>
  </si>
  <si>
    <t xml:space="preserve">          3917.20</t>
  </si>
  <si>
    <t xml:space="preserve">         3917.20</t>
  </si>
  <si>
    <t xml:space="preserve">       1372.000</t>
  </si>
  <si>
    <t xml:space="preserve">         38388.56</t>
  </si>
  <si>
    <t xml:space="preserve">        38388.56</t>
  </si>
  <si>
    <t xml:space="preserve">          54.880</t>
  </si>
  <si>
    <t>0090000327</t>
  </si>
  <si>
    <t xml:space="preserve">        181.000</t>
  </si>
  <si>
    <t xml:space="preserve">          6293.37</t>
  </si>
  <si>
    <t xml:space="preserve">         6293.37</t>
  </si>
  <si>
    <t xml:space="preserve">          10.860</t>
  </si>
  <si>
    <t xml:space="preserve">       1195.000</t>
  </si>
  <si>
    <t xml:space="preserve">         33436.10</t>
  </si>
  <si>
    <t xml:space="preserve">        33436.10</t>
  </si>
  <si>
    <t xml:space="preserve">          47.800</t>
  </si>
  <si>
    <t>0090000328</t>
  </si>
  <si>
    <t xml:space="preserve">        903.000</t>
  </si>
  <si>
    <t xml:space="preserve">         24227.49</t>
  </si>
  <si>
    <t xml:space="preserve">        24227.49</t>
  </si>
  <si>
    <t xml:space="preserve">          36.120</t>
  </si>
  <si>
    <t xml:space="preserve">        601.000</t>
  </si>
  <si>
    <t xml:space="preserve">         16815.98</t>
  </si>
  <si>
    <t xml:space="preserve">        16815.98</t>
  </si>
  <si>
    <t xml:space="preserve">          24.040</t>
  </si>
  <si>
    <t>0090000329</t>
  </si>
  <si>
    <t>0090000330</t>
  </si>
  <si>
    <t xml:space="preserve">        150.000</t>
  </si>
  <si>
    <t xml:space="preserve">          5215.50</t>
  </si>
  <si>
    <t xml:space="preserve">         5215.50</t>
  </si>
  <si>
    <t xml:space="preserve">        888.000</t>
  </si>
  <si>
    <t xml:space="preserve">         23825.04</t>
  </si>
  <si>
    <t xml:space="preserve">        23825.04</t>
  </si>
  <si>
    <t xml:space="preserve">          1665.00</t>
  </si>
  <si>
    <t xml:space="preserve">         1665.00</t>
  </si>
  <si>
    <t xml:space="preserve">          1538.90</t>
  </si>
  <si>
    <t xml:space="preserve">         1538.90</t>
  </si>
  <si>
    <t xml:space="preserve">           536.60</t>
  </si>
  <si>
    <t xml:space="preserve">          536.60</t>
  </si>
  <si>
    <t xml:space="preserve">       1445.000</t>
  </si>
  <si>
    <t xml:space="preserve">         40431.10</t>
  </si>
  <si>
    <t xml:space="preserve">        40431.10</t>
  </si>
  <si>
    <t xml:space="preserve">          57.800</t>
  </si>
  <si>
    <t xml:space="preserve">           520.20</t>
  </si>
  <si>
    <t xml:space="preserve">          520.20</t>
  </si>
  <si>
    <t>20240522</t>
  </si>
  <si>
    <t>0090000331</t>
  </si>
  <si>
    <t xml:space="preserve">          9074.97</t>
  </si>
  <si>
    <t xml:space="preserve">         9074.97</t>
  </si>
  <si>
    <t xml:space="preserve">          15.660</t>
  </si>
  <si>
    <t xml:space="preserve">         16689.60</t>
  </si>
  <si>
    <t xml:space="preserve">        16689.60</t>
  </si>
  <si>
    <t xml:space="preserve">          28.800</t>
  </si>
  <si>
    <t xml:space="preserve">          6248.00</t>
  </si>
  <si>
    <t xml:space="preserve">         6248.00</t>
  </si>
  <si>
    <t xml:space="preserve">          11.200</t>
  </si>
  <si>
    <t xml:space="preserve">        315.000</t>
  </si>
  <si>
    <t xml:space="preserve">          8501.85</t>
  </si>
  <si>
    <t xml:space="preserve">         8501.85</t>
  </si>
  <si>
    <t xml:space="preserve">       1120.000</t>
  </si>
  <si>
    <t xml:space="preserve">         30049.60</t>
  </si>
  <si>
    <t xml:space="preserve">        30049.60</t>
  </si>
  <si>
    <t xml:space="preserve">          44.800</t>
  </si>
  <si>
    <t>20240521</t>
  </si>
  <si>
    <t>0090000332</t>
  </si>
  <si>
    <t xml:space="preserve">        156.000</t>
  </si>
  <si>
    <t xml:space="preserve">        150696000</t>
  </si>
  <si>
    <t xml:space="preserve">         5918.23</t>
  </si>
  <si>
    <t xml:space="preserve">          10.920</t>
  </si>
  <si>
    <t>0090000333</t>
  </si>
  <si>
    <t xml:space="preserve">        579600000</t>
  </si>
  <si>
    <t xml:space="preserve">        22762.44</t>
  </si>
  <si>
    <t>0090000334</t>
  </si>
  <si>
    <t xml:space="preserve">         44346000</t>
  </si>
  <si>
    <t xml:space="preserve">         1741.58</t>
  </si>
  <si>
    <t xml:space="preserve">           2.280</t>
  </si>
  <si>
    <t xml:space="preserve">        171440000</t>
  </si>
  <si>
    <t xml:space="preserve">         6732.91</t>
  </si>
  <si>
    <t xml:space="preserve">         62240000</t>
  </si>
  <si>
    <t xml:space="preserve">         2444.33</t>
  </si>
  <si>
    <t xml:space="preserve">         72900000</t>
  </si>
  <si>
    <t xml:space="preserve">         2862.98</t>
  </si>
  <si>
    <t xml:space="preserve">        402240000</t>
  </si>
  <si>
    <t xml:space="preserve">        15797.04</t>
  </si>
  <si>
    <t xml:space="preserve">          22.400</t>
  </si>
  <si>
    <t xml:space="preserve">         38900000</t>
  </si>
  <si>
    <t xml:space="preserve">         1527.71</t>
  </si>
  <si>
    <t xml:space="preserve">        105.000</t>
  </si>
  <si>
    <t xml:space="preserve">        131985000</t>
  </si>
  <si>
    <t xml:space="preserve">         5183.40</t>
  </si>
  <si>
    <t xml:space="preserve">           7.350</t>
  </si>
  <si>
    <t>20240513</t>
  </si>
  <si>
    <t>0090000335</t>
  </si>
  <si>
    <t xml:space="preserve">        310.000</t>
  </si>
  <si>
    <t xml:space="preserve">         10778.70</t>
  </si>
  <si>
    <t xml:space="preserve">        10778.70</t>
  </si>
  <si>
    <t xml:space="preserve">          18.600</t>
  </si>
  <si>
    <t xml:space="preserve">           104.04</t>
  </si>
  <si>
    <t xml:space="preserve">          104.04</t>
  </si>
  <si>
    <t xml:space="preserve">        980.000</t>
  </si>
  <si>
    <t xml:space="preserve">         26293.40</t>
  </si>
  <si>
    <t xml:space="preserve">        26293.40</t>
  </si>
  <si>
    <t xml:space="preserve">          39.200</t>
  </si>
  <si>
    <t>0090000336</t>
  </si>
  <si>
    <t xml:space="preserve">        680.000</t>
  </si>
  <si>
    <t xml:space="preserve">         36012.80</t>
  </si>
  <si>
    <t xml:space="preserve">        36012.80</t>
  </si>
  <si>
    <t xml:space="preserve">          63.240</t>
  </si>
  <si>
    <t xml:space="preserve">          1541.40</t>
  </si>
  <si>
    <t xml:space="preserve">         1541.40</t>
  </si>
  <si>
    <t xml:space="preserve">          9468.60</t>
  </si>
  <si>
    <t xml:space="preserve">         9468.60</t>
  </si>
  <si>
    <t xml:space="preserve">         26938.20</t>
  </si>
  <si>
    <t xml:space="preserve">        26938.20</t>
  </si>
  <si>
    <t xml:space="preserve">          41.700</t>
  </si>
  <si>
    <t xml:space="preserve">        240.000</t>
  </si>
  <si>
    <t xml:space="preserve">         10569.60</t>
  </si>
  <si>
    <t xml:space="preserve">        10569.60</t>
  </si>
  <si>
    <t xml:space="preserve">          19.200</t>
  </si>
  <si>
    <t xml:space="preserve">          2957.40</t>
  </si>
  <si>
    <t xml:space="preserve">         2957.40</t>
  </si>
  <si>
    <t xml:space="preserve">           5.280</t>
  </si>
  <si>
    <t xml:space="preserve">        515.000</t>
  </si>
  <si>
    <t xml:space="preserve">         22433.40</t>
  </si>
  <si>
    <t xml:space="preserve">        22433.40</t>
  </si>
  <si>
    <t xml:space="preserve">          36.050</t>
  </si>
  <si>
    <t>0090000337</t>
  </si>
  <si>
    <t xml:space="preserve">           776.20</t>
  </si>
  <si>
    <t xml:space="preserve">          776.20</t>
  </si>
  <si>
    <t xml:space="preserve">           1.340</t>
  </si>
  <si>
    <t xml:space="preserve">           246.45</t>
  </si>
  <si>
    <t xml:space="preserve">          246.45</t>
  </si>
  <si>
    <t xml:space="preserve">           0.440</t>
  </si>
  <si>
    <t xml:space="preserve">        932.000</t>
  </si>
  <si>
    <t xml:space="preserve">         36124.32</t>
  </si>
  <si>
    <t xml:space="preserve">        36124.32</t>
  </si>
  <si>
    <t xml:space="preserve">          55.920</t>
  </si>
  <si>
    <t>0090000338</t>
  </si>
  <si>
    <t>0090000339</t>
  </si>
  <si>
    <t>20240515</t>
  </si>
  <si>
    <t>0090000340</t>
  </si>
  <si>
    <t xml:space="preserve">        28659.29</t>
  </si>
  <si>
    <t>0090000341</t>
  </si>
  <si>
    <t xml:space="preserve">        650.000</t>
  </si>
  <si>
    <t xml:space="preserve">         18187.00</t>
  </si>
  <si>
    <t xml:space="preserve">        18187.00</t>
  </si>
  <si>
    <t xml:space="preserve">          26.000</t>
  </si>
  <si>
    <t xml:space="preserve">        454.000</t>
  </si>
  <si>
    <t xml:space="preserve">         12180.82</t>
  </si>
  <si>
    <t xml:space="preserve">        12180.82</t>
  </si>
  <si>
    <t xml:space="preserve">          18.160</t>
  </si>
  <si>
    <t xml:space="preserve">        439.000</t>
  </si>
  <si>
    <t xml:space="preserve">         12283.22</t>
  </si>
  <si>
    <t xml:space="preserve">        12283.22</t>
  </si>
  <si>
    <t xml:space="preserve">          17.560</t>
  </si>
  <si>
    <t xml:space="preserve">         15427.25</t>
  </si>
  <si>
    <t xml:space="preserve">        15427.25</t>
  </si>
  <si>
    <t xml:space="preserve">          23.000</t>
  </si>
  <si>
    <t>0090000342</t>
  </si>
  <si>
    <t xml:space="preserve">         15024.80</t>
  </si>
  <si>
    <t xml:space="preserve">        15024.80</t>
  </si>
  <si>
    <t>20240514</t>
  </si>
  <si>
    <t>0090000343</t>
  </si>
  <si>
    <t xml:space="preserve">         17116000</t>
  </si>
  <si>
    <t xml:space="preserve">          671.68</t>
  </si>
  <si>
    <t xml:space="preserve">        263.000</t>
  </si>
  <si>
    <t xml:space="preserve">        330591000</t>
  </si>
  <si>
    <t xml:space="preserve">        12973.51</t>
  </si>
  <si>
    <t xml:space="preserve">          18.410</t>
  </si>
  <si>
    <t xml:space="preserve">          610.63</t>
  </si>
  <si>
    <t xml:space="preserve">         56133000</t>
  </si>
  <si>
    <t xml:space="preserve">         2202.85</t>
  </si>
  <si>
    <t xml:space="preserve">           3.850</t>
  </si>
  <si>
    <t xml:space="preserve">        203.000</t>
  </si>
  <si>
    <t xml:space="preserve">        255171000</t>
  </si>
  <si>
    <t xml:space="preserve">        10013.78</t>
  </si>
  <si>
    <t xml:space="preserve">          14.210</t>
  </si>
  <si>
    <t xml:space="preserve">         35685000</t>
  </si>
  <si>
    <t xml:space="preserve">         1400.40</t>
  </si>
  <si>
    <t xml:space="preserve">        102060000</t>
  </si>
  <si>
    <t xml:space="preserve">         4005.18</t>
  </si>
  <si>
    <t xml:space="preserve">         54460000</t>
  </si>
  <si>
    <t xml:space="preserve">         2137.20</t>
  </si>
  <si>
    <t>20240503</t>
  </si>
  <si>
    <t>0090000344</t>
  </si>
  <si>
    <t xml:space="preserve">          4471.14</t>
  </si>
  <si>
    <t xml:space="preserve">         4471.14</t>
  </si>
  <si>
    <t xml:space="preserve">           5.504</t>
  </si>
  <si>
    <t xml:space="preserve">          1727.25</t>
  </si>
  <si>
    <t xml:space="preserve">         1727.25</t>
  </si>
  <si>
    <t xml:space="preserve">           2.345</t>
  </si>
  <si>
    <t xml:space="preserve">          2678.76</t>
  </si>
  <si>
    <t xml:space="preserve">         2678.76</t>
  </si>
  <si>
    <t xml:space="preserve">         16012.92</t>
  </si>
  <si>
    <t xml:space="preserve">        16012.92</t>
  </si>
  <si>
    <t xml:space="preserve">          21.560</t>
  </si>
  <si>
    <t xml:space="preserve">          3536.00</t>
  </si>
  <si>
    <t xml:space="preserve">         3536.00</t>
  </si>
  <si>
    <t xml:space="preserve">           653.07</t>
  </si>
  <si>
    <t xml:space="preserve">          653.07</t>
  </si>
  <si>
    <t xml:space="preserve">           0.990</t>
  </si>
  <si>
    <t xml:space="preserve">            59.58</t>
  </si>
  <si>
    <t xml:space="preserve">           59.58</t>
  </si>
  <si>
    <t xml:space="preserve">           667.55</t>
  </si>
  <si>
    <t xml:space="preserve">          667.55</t>
  </si>
  <si>
    <t xml:space="preserve">          4106.08</t>
  </si>
  <si>
    <t xml:space="preserve">         4106.08</t>
  </si>
  <si>
    <t xml:space="preserve">           6.160</t>
  </si>
  <si>
    <t xml:space="preserve">         12183.48</t>
  </si>
  <si>
    <t xml:space="preserve">        12183.48</t>
  </si>
  <si>
    <t xml:space="preserve">          2053.25</t>
  </si>
  <si>
    <t xml:space="preserve">         2053.25</t>
  </si>
  <si>
    <t xml:space="preserve">           3.440</t>
  </si>
  <si>
    <t xml:space="preserve">          5083.87</t>
  </si>
  <si>
    <t xml:space="preserve">         5083.87</t>
  </si>
  <si>
    <t xml:space="preserve">           9.040</t>
  </si>
  <si>
    <t xml:space="preserve">          2162.01</t>
  </si>
  <si>
    <t xml:space="preserve">         2162.01</t>
  </si>
  <si>
    <t xml:space="preserve">          4299.36</t>
  </si>
  <si>
    <t xml:space="preserve">         4299.36</t>
  </si>
  <si>
    <t xml:space="preserve">          2307.48</t>
  </si>
  <si>
    <t xml:space="preserve">         2307.48</t>
  </si>
  <si>
    <t xml:space="preserve">           3.780</t>
  </si>
  <si>
    <t xml:space="preserve">          1500.51</t>
  </si>
  <si>
    <t xml:space="preserve">         1500.51</t>
  </si>
  <si>
    <t xml:space="preserve">            54.91</t>
  </si>
  <si>
    <t xml:space="preserve">           54.91</t>
  </si>
  <si>
    <t xml:space="preserve">          1480.71</t>
  </si>
  <si>
    <t xml:space="preserve">         1480.71</t>
  </si>
  <si>
    <t>20240511</t>
  </si>
  <si>
    <t>0090000345</t>
  </si>
  <si>
    <t xml:space="preserve">           475.95</t>
  </si>
  <si>
    <t xml:space="preserve">          475.95</t>
  </si>
  <si>
    <t xml:space="preserve">          3146.61</t>
  </si>
  <si>
    <t xml:space="preserve">         3146.61</t>
  </si>
  <si>
    <t xml:space="preserve">           4.770</t>
  </si>
  <si>
    <t xml:space="preserve">        231.000</t>
  </si>
  <si>
    <t xml:space="preserve">          9609.60</t>
  </si>
  <si>
    <t xml:space="preserve">         9609.60</t>
  </si>
  <si>
    <t xml:space="preserve">          16.170</t>
  </si>
  <si>
    <t xml:space="preserve">          2628.27</t>
  </si>
  <si>
    <t xml:space="preserve">         2628.27</t>
  </si>
  <si>
    <t xml:space="preserve">           3.990</t>
  </si>
  <si>
    <t xml:space="preserve">         13286.40</t>
  </si>
  <si>
    <t xml:space="preserve">        13286.40</t>
  </si>
  <si>
    <t xml:space="preserve">         83.000</t>
  </si>
  <si>
    <t xml:space="preserve">          3872.78</t>
  </si>
  <si>
    <t xml:space="preserve">         3872.78</t>
  </si>
  <si>
    <t xml:space="preserve">           5.810</t>
  </si>
  <si>
    <t xml:space="preserve">           577.22</t>
  </si>
  <si>
    <t xml:space="preserve">          577.22</t>
  </si>
  <si>
    <t xml:space="preserve">         15738.35</t>
  </si>
  <si>
    <t xml:space="preserve">        15738.35</t>
  </si>
  <si>
    <t xml:space="preserve">        122.000</t>
  </si>
  <si>
    <t xml:space="preserve">          4627.46</t>
  </si>
  <si>
    <t xml:space="preserve">         4627.46</t>
  </si>
  <si>
    <t xml:space="preserve">           6.100</t>
  </si>
  <si>
    <t xml:space="preserve">          2728.32</t>
  </si>
  <si>
    <t xml:space="preserve">         2728.32</t>
  </si>
  <si>
    <t xml:space="preserve">           4.640</t>
  </si>
  <si>
    <t xml:space="preserve">          1636.50</t>
  </si>
  <si>
    <t xml:space="preserve">         1636.50</t>
  </si>
  <si>
    <t xml:space="preserve">          1705.44</t>
  </si>
  <si>
    <t xml:space="preserve">         1705.44</t>
  </si>
  <si>
    <t xml:space="preserve">          3182.90</t>
  </si>
  <si>
    <t xml:space="preserve">         3182.90</t>
  </si>
  <si>
    <t>20240501</t>
  </si>
  <si>
    <t>0090000346</t>
  </si>
  <si>
    <t xml:space="preserve">         12145.50</t>
  </si>
  <si>
    <t xml:space="preserve">        12145.50</t>
  </si>
  <si>
    <t xml:space="preserve">         13908.00</t>
  </si>
  <si>
    <t xml:space="preserve">        13908.00</t>
  </si>
  <si>
    <t xml:space="preserve">         11787.03</t>
  </si>
  <si>
    <t xml:space="preserve">        11787.03</t>
  </si>
  <si>
    <t xml:space="preserve">          20.340</t>
  </si>
  <si>
    <t xml:space="preserve">         13844.28</t>
  </si>
  <si>
    <t xml:space="preserve">        13844.28</t>
  </si>
  <si>
    <t xml:space="preserve">          20.640</t>
  </si>
  <si>
    <t xml:space="preserve">          2350.32</t>
  </si>
  <si>
    <t xml:space="preserve">         2350.32</t>
  </si>
  <si>
    <t xml:space="preserve">          7692.15</t>
  </si>
  <si>
    <t xml:space="preserve">         7692.15</t>
  </si>
  <si>
    <t>0090000347</t>
  </si>
  <si>
    <t xml:space="preserve">          6954.00</t>
  </si>
  <si>
    <t xml:space="preserve">         6954.00</t>
  </si>
  <si>
    <t xml:space="preserve">         21732.30</t>
  </si>
  <si>
    <t xml:space="preserve">        21732.30</t>
  </si>
  <si>
    <t xml:space="preserve">          32.400</t>
  </si>
  <si>
    <t>20240505</t>
  </si>
  <si>
    <t>0090000348</t>
  </si>
  <si>
    <t xml:space="preserve">         22315.75</t>
  </si>
  <si>
    <t xml:space="preserve">        22315.75</t>
  </si>
  <si>
    <t xml:space="preserve">          38.525</t>
  </si>
  <si>
    <t xml:space="preserve">         15942.96</t>
  </si>
  <si>
    <t xml:space="preserve">        15942.96</t>
  </si>
  <si>
    <t xml:space="preserve">          25.620</t>
  </si>
  <si>
    <t>20240507</t>
  </si>
  <si>
    <t>0090000349</t>
  </si>
  <si>
    <t xml:space="preserve">           507.21</t>
  </si>
  <si>
    <t xml:space="preserve">          507.21</t>
  </si>
  <si>
    <t xml:space="preserve">           431.55</t>
  </si>
  <si>
    <t xml:space="preserve">          431.55</t>
  </si>
  <si>
    <t xml:space="preserve">         36185.04</t>
  </si>
  <si>
    <t xml:space="preserve">        36185.04</t>
  </si>
  <si>
    <t xml:space="preserve">          44.544</t>
  </si>
  <si>
    <t xml:space="preserve">           993.16</t>
  </si>
  <si>
    <t xml:space="preserve">          993.16</t>
  </si>
  <si>
    <t xml:space="preserve">          2270.10</t>
  </si>
  <si>
    <t xml:space="preserve">         2270.10</t>
  </si>
  <si>
    <t xml:space="preserve">           3.082</t>
  </si>
  <si>
    <t xml:space="preserve">           717.60</t>
  </si>
  <si>
    <t xml:space="preserve">          717.60</t>
  </si>
  <si>
    <t xml:space="preserve">           1.168</t>
  </si>
  <si>
    <t xml:space="preserve">          4229.06</t>
  </si>
  <si>
    <t xml:space="preserve">         4229.06</t>
  </si>
  <si>
    <t xml:space="preserve">          4001.36</t>
  </si>
  <si>
    <t xml:space="preserve">         4001.36</t>
  </si>
  <si>
    <t xml:space="preserve">          2850.72</t>
  </si>
  <si>
    <t xml:space="preserve">         2850.72</t>
  </si>
  <si>
    <t xml:space="preserve">         17520.63</t>
  </si>
  <si>
    <t xml:space="preserve">        17520.63</t>
  </si>
  <si>
    <t xml:space="preserve">          23.590</t>
  </si>
  <si>
    <t xml:space="preserve">           573.00</t>
  </si>
  <si>
    <t xml:space="preserve">          573.00</t>
  </si>
  <si>
    <t xml:space="preserve">           119.16</t>
  </si>
  <si>
    <t xml:space="preserve">          119.16</t>
  </si>
  <si>
    <t xml:space="preserve">           752.64</t>
  </si>
  <si>
    <t xml:space="preserve">          752.64</t>
  </si>
  <si>
    <t xml:space="preserve">          1266.72</t>
  </si>
  <si>
    <t xml:space="preserve">         1266.72</t>
  </si>
  <si>
    <t>0090000350</t>
  </si>
  <si>
    <t xml:space="preserve">        28689.69</t>
  </si>
  <si>
    <t>20240508</t>
  </si>
  <si>
    <t>0090000351</t>
  </si>
  <si>
    <t xml:space="preserve">        26799.59</t>
  </si>
  <si>
    <t xml:space="preserve">        26799.58</t>
  </si>
  <si>
    <t xml:space="preserve">         53946000</t>
  </si>
  <si>
    <t xml:space="preserve">         2118.77</t>
  </si>
  <si>
    <t xml:space="preserve">           3.700</t>
  </si>
  <si>
    <t xml:space="preserve">        25508.31</t>
  </si>
  <si>
    <t xml:space="preserve">        356850000</t>
  </si>
  <si>
    <t xml:space="preserve">        14015.55</t>
  </si>
  <si>
    <t xml:space="preserve">          27.000</t>
  </si>
  <si>
    <t xml:space="preserve">        707190000</t>
  </si>
  <si>
    <t xml:space="preserve">        27775.42</t>
  </si>
  <si>
    <t xml:space="preserve">          42.900</t>
  </si>
  <si>
    <t>0090000352</t>
  </si>
  <si>
    <t xml:space="preserve">        862.000</t>
  </si>
  <si>
    <t xml:space="preserve">        628398000</t>
  </si>
  <si>
    <t xml:space="preserve">        24680.80</t>
  </si>
  <si>
    <t xml:space="preserve">          43.100</t>
  </si>
  <si>
    <t xml:space="preserve">        292617000</t>
  </si>
  <si>
    <t xml:space="preserve">        11492.76</t>
  </si>
  <si>
    <t xml:space="preserve">        43460.59</t>
  </si>
  <si>
    <t xml:space="preserve">        174960000</t>
  </si>
  <si>
    <t xml:space="preserve">         6871.69</t>
  </si>
  <si>
    <t>20240519</t>
  </si>
  <si>
    <t>0090000353</t>
  </si>
  <si>
    <t xml:space="preserve">          3947.46</t>
  </si>
  <si>
    <t xml:space="preserve">         3947.46</t>
  </si>
  <si>
    <t xml:space="preserve">           5.940</t>
  </si>
  <si>
    <t xml:space="preserve">           758.60</t>
  </si>
  <si>
    <t xml:space="preserve">          758.60</t>
  </si>
  <si>
    <t xml:space="preserve">          4160.00</t>
  </si>
  <si>
    <t xml:space="preserve">         4160.00</t>
  </si>
  <si>
    <t xml:space="preserve">           412.30</t>
  </si>
  <si>
    <t xml:space="preserve">          412.30</t>
  </si>
  <si>
    <t xml:space="preserve">          3553.00</t>
  </si>
  <si>
    <t xml:space="preserve">         3553.00</t>
  </si>
  <si>
    <t xml:space="preserve">           461.10</t>
  </si>
  <si>
    <t xml:space="preserve">          461.10</t>
  </si>
  <si>
    <t xml:space="preserve">          2474.45</t>
  </si>
  <si>
    <t xml:space="preserve">         2474.45</t>
  </si>
  <si>
    <t xml:space="preserve">          1794.80</t>
  </si>
  <si>
    <t xml:space="preserve">         1794.80</t>
  </si>
  <si>
    <t xml:space="preserve">        290.000</t>
  </si>
  <si>
    <t xml:space="preserve">         12667.20</t>
  </si>
  <si>
    <t xml:space="preserve">        12667.20</t>
  </si>
  <si>
    <t xml:space="preserve">          20.300</t>
  </si>
  <si>
    <t>0090000354</t>
  </si>
  <si>
    <t xml:space="preserve">         43740000</t>
  </si>
  <si>
    <t xml:space="preserve">         1718.68</t>
  </si>
  <si>
    <t xml:space="preserve">        142740000</t>
  </si>
  <si>
    <t xml:space="preserve">         5608.64</t>
  </si>
  <si>
    <t xml:space="preserve">        400140000</t>
  </si>
  <si>
    <t xml:space="preserve">        15722.59</t>
  </si>
  <si>
    <t xml:space="preserve">        119300000</t>
  </si>
  <si>
    <t xml:space="preserve">         4687.62</t>
  </si>
  <si>
    <t xml:space="preserve">        555.000</t>
  </si>
  <si>
    <t xml:space="preserve">        669330000</t>
  </si>
  <si>
    <t xml:space="preserve">        26299.80</t>
  </si>
  <si>
    <t xml:space="preserve">          49.950</t>
  </si>
  <si>
    <t>20240517</t>
  </si>
  <si>
    <t>0090000355</t>
  </si>
  <si>
    <t xml:space="preserve">        210.000</t>
  </si>
  <si>
    <t xml:space="preserve">          7301.70</t>
  </si>
  <si>
    <t xml:space="preserve">         7301.70</t>
  </si>
  <si>
    <t xml:space="preserve">           965.88</t>
  </si>
  <si>
    <t xml:space="preserve">          965.88</t>
  </si>
  <si>
    <t xml:space="preserve">       1110.000</t>
  </si>
  <si>
    <t xml:space="preserve">         31057.80</t>
  </si>
  <si>
    <t xml:space="preserve">        31057.80</t>
  </si>
  <si>
    <t xml:space="preserve">          44.400</t>
  </si>
  <si>
    <t>0090000356</t>
  </si>
  <si>
    <t xml:space="preserve">        707.000</t>
  </si>
  <si>
    <t xml:space="preserve">         37442.72</t>
  </si>
  <si>
    <t xml:space="preserve">        37442.72</t>
  </si>
  <si>
    <t xml:space="preserve">          65.751</t>
  </si>
  <si>
    <t xml:space="preserve">            50.83</t>
  </si>
  <si>
    <t xml:space="preserve">           50.83</t>
  </si>
  <si>
    <t xml:space="preserve">           0.072</t>
  </si>
  <si>
    <t>092W 225/40 R18   XLFH50FZ  T UT41A9V0</t>
  </si>
  <si>
    <t xml:space="preserve">            66.02</t>
  </si>
  <si>
    <t xml:space="preserve">           66.02</t>
  </si>
  <si>
    <t>084T 175/65 R15     FSASZ   T U562A9V0</t>
  </si>
  <si>
    <t>20240520</t>
  </si>
  <si>
    <t>0090000357</t>
  </si>
  <si>
    <t>0090000358</t>
  </si>
  <si>
    <t xml:space="preserve">            -3.73</t>
  </si>
  <si>
    <t xml:space="preserve">           -3.73</t>
  </si>
  <si>
    <t>Additional Sales variance\ May'24\ PSP\ PSR0V79F</t>
  </si>
  <si>
    <t xml:space="preserve">            -8.72</t>
  </si>
  <si>
    <t xml:space="preserve">           -8.72</t>
  </si>
  <si>
    <t>Additional Sales variance\ May'24\ PSP\ PSR0V89F</t>
  </si>
  <si>
    <t xml:space="preserve">         -1154.80</t>
  </si>
  <si>
    <t xml:space="preserve">        -1154.80</t>
  </si>
  <si>
    <t>Additional Sales variance\ May'24\ PSP\ PSR0VF6F</t>
  </si>
  <si>
    <t xml:space="preserve">          -129.36</t>
  </si>
  <si>
    <t xml:space="preserve">         -129.36</t>
  </si>
  <si>
    <t>Additional Sales variance\ May'24\ PSP\ PSR0VG8F</t>
  </si>
  <si>
    <t xml:space="preserve">         14040.00</t>
  </si>
  <si>
    <t xml:space="preserve">        14040.00</t>
  </si>
  <si>
    <t>Additional Sales variance\ May'24\ PSP\ PSR0VH2F</t>
  </si>
  <si>
    <t xml:space="preserve">          6225.00</t>
  </si>
  <si>
    <t xml:space="preserve">         6225.00</t>
  </si>
  <si>
    <t>Additional Sales variance\ May'24\ PSP\ PSR0VH3F</t>
  </si>
  <si>
    <t xml:space="preserve">          7352.80</t>
  </si>
  <si>
    <t xml:space="preserve">         7352.80</t>
  </si>
  <si>
    <t>Additional Sales variance\ May'24\ PSP\ PSR0VH4F</t>
  </si>
  <si>
    <t xml:space="preserve">          -670.48</t>
  </si>
  <si>
    <t xml:space="preserve">         -670.48</t>
  </si>
  <si>
    <t>Additional Sales variance\ May'24\ PSP\ PSR0VH9F</t>
  </si>
  <si>
    <t xml:space="preserve">         -1179.92</t>
  </si>
  <si>
    <t xml:space="preserve">        -1179.92</t>
  </si>
  <si>
    <t>Additional Sales variance\ May'24\ PSP\ PSR0VJ5F</t>
  </si>
  <si>
    <t xml:space="preserve">          6078.70</t>
  </si>
  <si>
    <t xml:space="preserve">         6078.70</t>
  </si>
  <si>
    <t>Additional Sales variance\ May'24\ JREP\ PSR0V05B</t>
  </si>
  <si>
    <t xml:space="preserve">         31076.84</t>
  </si>
  <si>
    <t xml:space="preserve">        31076.84</t>
  </si>
  <si>
    <t>Additional Sales variance\ May'24\ JREP\ PSR0V229</t>
  </si>
  <si>
    <t xml:space="preserve">         26904.84</t>
  </si>
  <si>
    <t xml:space="preserve">        26904.84</t>
  </si>
  <si>
    <t>Additional Sales variance\ May'24\ JREP\ PSR0V234</t>
  </si>
  <si>
    <t xml:space="preserve">           624.00</t>
  </si>
  <si>
    <t xml:space="preserve">          624.00</t>
  </si>
  <si>
    <t>Additional Sales variance\ May'24\ JREP\ PSR0V240</t>
  </si>
  <si>
    <t xml:space="preserve">           691.47</t>
  </si>
  <si>
    <t xml:space="preserve">          691.47</t>
  </si>
  <si>
    <t>Additional Sales variance\ May'24\ JREP\ PSR0V01B</t>
  </si>
  <si>
    <t xml:space="preserve">           412.50</t>
  </si>
  <si>
    <t xml:space="preserve">          412.50</t>
  </si>
  <si>
    <t>Additional Sales variance\ May'24\ JREP\ PSR0V179</t>
  </si>
  <si>
    <t xml:space="preserve">          -187.20</t>
  </si>
  <si>
    <t xml:space="preserve">         -187.20</t>
  </si>
  <si>
    <t>Additional Sales variance\ May'24\ JREP\ PSR0V30B</t>
  </si>
  <si>
    <t xml:space="preserve">           829.98</t>
  </si>
  <si>
    <t xml:space="preserve">          829.98</t>
  </si>
  <si>
    <t>Additional Sales variance\ May'24\ JREP\ PSR0V27B</t>
  </si>
  <si>
    <t>0090000359</t>
  </si>
  <si>
    <t xml:space="preserve">           329.12</t>
  </si>
  <si>
    <t xml:space="preserve">          329.12</t>
  </si>
  <si>
    <t>Additional Sales variance\ May'24\ BSCAP\ PSR0V01P</t>
  </si>
  <si>
    <t xml:space="preserve">           484.77</t>
  </si>
  <si>
    <t xml:space="preserve">          484.77</t>
  </si>
  <si>
    <t>Additional Sales variance\ May'24\ BSCAP\ PSR0V01S</t>
  </si>
  <si>
    <t xml:space="preserve">           379.41</t>
  </si>
  <si>
    <t xml:space="preserve">          379.41</t>
  </si>
  <si>
    <t>Additional Sales variance\ May'24\ BSCAP\ PSR0V02P</t>
  </si>
  <si>
    <t xml:space="preserve">           502.14</t>
  </si>
  <si>
    <t xml:space="preserve">          502.14</t>
  </si>
  <si>
    <t>Additional Sales variance\ May'24\ BSCAP\ PSR0V03P</t>
  </si>
  <si>
    <t xml:space="preserve">           180.36</t>
  </si>
  <si>
    <t xml:space="preserve">          180.36</t>
  </si>
  <si>
    <t>Additional Sales variance\ May'24\ BSCAP\ PSR0V03S</t>
  </si>
  <si>
    <t xml:space="preserve">            75.97</t>
  </si>
  <si>
    <t xml:space="preserve">           75.97</t>
  </si>
  <si>
    <t>Additional Sales variance\ May'24\ BSCAP\ PSR0V04S</t>
  </si>
  <si>
    <t xml:space="preserve">           201.15</t>
  </si>
  <si>
    <t xml:space="preserve">          201.15</t>
  </si>
  <si>
    <t>Additional Sales variance\ May'24\ BSCAP\ PSR0V05P</t>
  </si>
  <si>
    <t xml:space="preserve">          1420.48</t>
  </si>
  <si>
    <t xml:space="preserve">         1420.48</t>
  </si>
  <si>
    <t>Additional Sales variance\ May'24\ BSCAP\ PSR0V05S</t>
  </si>
  <si>
    <t xml:space="preserve">           108.24</t>
  </si>
  <si>
    <t xml:space="preserve">          108.24</t>
  </si>
  <si>
    <t>Additional Sales variance\ May'24\ BSCAP\ PSR0V06P</t>
  </si>
  <si>
    <t xml:space="preserve">          1279.27</t>
  </si>
  <si>
    <t xml:space="preserve">         1279.27</t>
  </si>
  <si>
    <t>Additional Sales variance\ May'24\ BSCAP\ PSR0V07S</t>
  </si>
  <si>
    <t xml:space="preserve">            93.71</t>
  </si>
  <si>
    <t xml:space="preserve">           93.71</t>
  </si>
  <si>
    <t>Additional Sales variance\ May'24\ BSCAP\ PSR0V11D</t>
  </si>
  <si>
    <t xml:space="preserve">           190.50</t>
  </si>
  <si>
    <t xml:space="preserve">          190.50</t>
  </si>
  <si>
    <t>Additional Sales variance\ May'24\ BSCAP\ PSR0V11S</t>
  </si>
  <si>
    <t xml:space="preserve">           249.28</t>
  </si>
  <si>
    <t xml:space="preserve">          249.28</t>
  </si>
  <si>
    <t>Additional Sales variance\ May'24\ BSCAP\ PSR0V12D</t>
  </si>
  <si>
    <t xml:space="preserve">           227.25</t>
  </si>
  <si>
    <t xml:space="preserve">          227.25</t>
  </si>
  <si>
    <t>Additional Sales variance\ May'24\ BSCAP\ PSR0V13D</t>
  </si>
  <si>
    <t xml:space="preserve">          -100.74</t>
  </si>
  <si>
    <t xml:space="preserve">         -100.74</t>
  </si>
  <si>
    <t>Additional Sales variance\ May'24\ BSCAP\ PSR0V149</t>
  </si>
  <si>
    <t xml:space="preserve">             1.29</t>
  </si>
  <si>
    <t>Additional Sales variance\ May'24\ BSCAP\ PSR0V14D</t>
  </si>
  <si>
    <t xml:space="preserve">           239.88</t>
  </si>
  <si>
    <t xml:space="preserve">          239.88</t>
  </si>
  <si>
    <t>Additional Sales variance\ May'24\ BSCAP\ PSR0V15D</t>
  </si>
  <si>
    <t xml:space="preserve">            -7.88</t>
  </si>
  <si>
    <t xml:space="preserve">           -7.88</t>
  </si>
  <si>
    <t>Additional Sales variance\ May'24\ BSCAP\ PSR0V164</t>
  </si>
  <si>
    <t xml:space="preserve">            40.99</t>
  </si>
  <si>
    <t xml:space="preserve">           40.99</t>
  </si>
  <si>
    <t>Additional Sales variance\ May'24\ BSCAP\ PSR0V165</t>
  </si>
  <si>
    <t xml:space="preserve">             5.80</t>
  </si>
  <si>
    <t xml:space="preserve">            5.80</t>
  </si>
  <si>
    <t>Additional Sales variance\ May'24\ BSCAP\ PSR0V166</t>
  </si>
  <si>
    <t xml:space="preserve">           418.29</t>
  </si>
  <si>
    <t xml:space="preserve">          418.29</t>
  </si>
  <si>
    <t>Additional Sales variance\ May'24\ BSCAP\ PSR0V168</t>
  </si>
  <si>
    <t xml:space="preserve">           190.77</t>
  </si>
  <si>
    <t xml:space="preserve">          190.77</t>
  </si>
  <si>
    <t>Additional Sales variance\ May'24\ BSCAP\ PSR0V169</t>
  </si>
  <si>
    <t xml:space="preserve">           146.39</t>
  </si>
  <si>
    <t xml:space="preserve">          146.39</t>
  </si>
  <si>
    <t>Additional Sales variance\ May'24\ BSCAP\ PSR0V16D</t>
  </si>
  <si>
    <t xml:space="preserve">          -140.00</t>
  </si>
  <si>
    <t xml:space="preserve">         -140.00</t>
  </si>
  <si>
    <t>Additional Sales variance\ May'24\ BSCAP\ PSR0V170</t>
  </si>
  <si>
    <t xml:space="preserve">           389.91</t>
  </si>
  <si>
    <t xml:space="preserve">          389.91</t>
  </si>
  <si>
    <t>Additional Sales variance\ May'24\ BSCAP\ PSR0V173</t>
  </si>
  <si>
    <t xml:space="preserve">          -507.45</t>
  </si>
  <si>
    <t xml:space="preserve">         -507.45</t>
  </si>
  <si>
    <t>Additional Sales variance\ May'24\ BSCAP\ PSR0V174</t>
  </si>
  <si>
    <t xml:space="preserve">            -8.40</t>
  </si>
  <si>
    <t xml:space="preserve">           -8.40</t>
  </si>
  <si>
    <t>Additional Sales variance\ May'24\ BSCAP\ PSR0V17D</t>
  </si>
  <si>
    <t xml:space="preserve">          1899.99</t>
  </si>
  <si>
    <t xml:space="preserve">         1899.99</t>
  </si>
  <si>
    <t>Additional Sales variance\ May'24\ BSCAP\ PSR0V186</t>
  </si>
  <si>
    <t xml:space="preserve">            22.39</t>
  </si>
  <si>
    <t xml:space="preserve">           22.39</t>
  </si>
  <si>
    <t>Additional Sales variance\ May'24\ BSCAP\ PSR0V187</t>
  </si>
  <si>
    <t xml:space="preserve">           113.30</t>
  </si>
  <si>
    <t xml:space="preserve">          113.30</t>
  </si>
  <si>
    <t>Additional Sales variance\ May'24\ BSCAP\ PSR0V18D</t>
  </si>
  <si>
    <t xml:space="preserve">            71.65</t>
  </si>
  <si>
    <t xml:space="preserve">           71.65</t>
  </si>
  <si>
    <t>Additional Sales variance\ May'24\ BSCAP\ PSR0V193</t>
  </si>
  <si>
    <t xml:space="preserve">            17.61</t>
  </si>
  <si>
    <t xml:space="preserve">           17.61</t>
  </si>
  <si>
    <t>Additional Sales variance\ May'24\ BSCAP\ PSR0V19D</t>
  </si>
  <si>
    <t xml:space="preserve">           561.36</t>
  </si>
  <si>
    <t xml:space="preserve">          561.36</t>
  </si>
  <si>
    <t>Additional Sales variance\ May'24\ BSCAP\ PSR0V208</t>
  </si>
  <si>
    <t xml:space="preserve">           381.82</t>
  </si>
  <si>
    <t xml:space="preserve">          381.82</t>
  </si>
  <si>
    <t>Additional Sales variance\ May'24\ BSCAP\ PSR0V20D</t>
  </si>
  <si>
    <t xml:space="preserve">           161.18</t>
  </si>
  <si>
    <t xml:space="preserve">          161.18</t>
  </si>
  <si>
    <t>Additional Sales variance\ May'24\ BSCAP\ PSR0V213</t>
  </si>
  <si>
    <t xml:space="preserve">           147.99</t>
  </si>
  <si>
    <t xml:space="preserve">          147.99</t>
  </si>
  <si>
    <t>Additional Sales variance\ May'24\ BSCAP\ PSR0V21D</t>
  </si>
  <si>
    <t xml:space="preserve">           160.92</t>
  </si>
  <si>
    <t xml:space="preserve">          160.92</t>
  </si>
  <si>
    <t>Additional Sales variance\ May'24\ BSCAP\ PSR0V22D</t>
  </si>
  <si>
    <t xml:space="preserve">           103.14</t>
  </si>
  <si>
    <t xml:space="preserve">          103.14</t>
  </si>
  <si>
    <t>Additional Sales variance\ May'24\ BSCAP\ PSR0V23D</t>
  </si>
  <si>
    <t xml:space="preserve">           892.84</t>
  </si>
  <si>
    <t xml:space="preserve">          892.84</t>
  </si>
  <si>
    <t>Additional Sales variance\ May'24\ BSCAP\ PSR0V256</t>
  </si>
  <si>
    <t xml:space="preserve">            73.22</t>
  </si>
  <si>
    <t xml:space="preserve">           73.22</t>
  </si>
  <si>
    <t>Additional Sales variance\ May'24\ BSCAP\ PSR0V25S</t>
  </si>
  <si>
    <t xml:space="preserve">           751.80</t>
  </si>
  <si>
    <t xml:space="preserve">          751.80</t>
  </si>
  <si>
    <t>Additional Sales variance\ May'24\ BSCAP\ PSR0V265</t>
  </si>
  <si>
    <t xml:space="preserve">           655.79</t>
  </si>
  <si>
    <t xml:space="preserve">          655.79</t>
  </si>
  <si>
    <t>Additional Sales variance\ May'24\ BSCAP\ PSR0V267</t>
  </si>
  <si>
    <t xml:space="preserve">            70.69</t>
  </si>
  <si>
    <t xml:space="preserve">           70.69</t>
  </si>
  <si>
    <t>Additional Sales variance\ May'24\ BSCAP\ PSR0V29D</t>
  </si>
  <si>
    <t xml:space="preserve">            83.56</t>
  </si>
  <si>
    <t xml:space="preserve">           83.56</t>
  </si>
  <si>
    <t>Additional Sales variance\ May'24\ BSCAP\ PSR0V42D</t>
  </si>
  <si>
    <t xml:space="preserve">             4.41</t>
  </si>
  <si>
    <t xml:space="preserve">            4.41</t>
  </si>
  <si>
    <t>Additional Sales variance\ May'24\ BSCAP\ PSR0V43D</t>
  </si>
  <si>
    <t xml:space="preserve">           620.23</t>
  </si>
  <si>
    <t xml:space="preserve">          620.23</t>
  </si>
  <si>
    <t>Additional Sales variance\ May'24\ BSCAP\ PSR0V45D</t>
  </si>
  <si>
    <t xml:space="preserve">          1029.18</t>
  </si>
  <si>
    <t xml:space="preserve">         1029.18</t>
  </si>
  <si>
    <t>Additional Sales variance\ May'24\ BSCAP\ PSR0V46D</t>
  </si>
  <si>
    <t xml:space="preserve">          1245.59</t>
  </si>
  <si>
    <t xml:space="preserve">         1245.59</t>
  </si>
  <si>
    <t>Additional Sales variance\ May'24\ BSCAP\ PSR0V47D</t>
  </si>
  <si>
    <t xml:space="preserve">           760.76</t>
  </si>
  <si>
    <t xml:space="preserve">          760.76</t>
  </si>
  <si>
    <t>Additional Sales variance\ May'24\ BSCAP\ PSR0V48D</t>
  </si>
  <si>
    <t xml:space="preserve">           232.94</t>
  </si>
  <si>
    <t xml:space="preserve">          232.94</t>
  </si>
  <si>
    <t>Additional Sales variance\ May'24\ BSCAP\ PSR0V49D</t>
  </si>
  <si>
    <t xml:space="preserve">           264.18</t>
  </si>
  <si>
    <t xml:space="preserve">          264.18</t>
  </si>
  <si>
    <t>Additional Sales variance\ May'24\ BSCAP\ PSR0V50D</t>
  </si>
  <si>
    <t xml:space="preserve">           551.33</t>
  </si>
  <si>
    <t xml:space="preserve">          551.33</t>
  </si>
  <si>
    <t>Additional Sales variance\ May'24\ BSCAP\ PSR0V51D</t>
  </si>
  <si>
    <t xml:space="preserve">            -4.54</t>
  </si>
  <si>
    <t xml:space="preserve">           -4.54</t>
  </si>
  <si>
    <t>Additional Sales variance\ May'24\ BSCAP\ PSR0V52D</t>
  </si>
  <si>
    <t>0100000954</t>
  </si>
  <si>
    <t xml:space="preserve">        113793.28</t>
  </si>
  <si>
    <t xml:space="preserve">       113793.28</t>
  </si>
  <si>
    <t>Reclassify Accr. EDP_IT\Jan=&gt;Apr.2024</t>
  </si>
  <si>
    <t>642722031511</t>
  </si>
  <si>
    <t xml:space="preserve">       -113793.28</t>
  </si>
  <si>
    <t xml:space="preserve">      -113793.28</t>
  </si>
  <si>
    <t>0100000956</t>
  </si>
  <si>
    <t xml:space="preserve">           739.73</t>
  </si>
  <si>
    <t xml:space="preserve">          739.73</t>
  </si>
  <si>
    <t>Write down Demolition May.24\ B000047000010018</t>
  </si>
  <si>
    <t>0100000957</t>
  </si>
  <si>
    <t>IAR for FA from Jul.23 to Jun.24_May.2024</t>
  </si>
  <si>
    <t>0100000958</t>
  </si>
  <si>
    <t xml:space="preserve">             1.08</t>
  </si>
  <si>
    <t>0100001008</t>
  </si>
  <si>
    <t xml:space="preserve">          2552.23</t>
  </si>
  <si>
    <t xml:space="preserve">         2552.23</t>
  </si>
  <si>
    <t>Selling \Thermocouple (1 pcs)\Inv AG-24-0005\Brisa</t>
  </si>
  <si>
    <t>0100001009</t>
  </si>
  <si>
    <t>Allocate SAP enterprise support fee May.24</t>
  </si>
  <si>
    <t>0100001023</t>
  </si>
  <si>
    <t xml:space="preserve">             0.16</t>
  </si>
  <si>
    <t xml:space="preserve">            0.16</t>
  </si>
  <si>
    <t>Adj MMA-MA\ May.24</t>
  </si>
  <si>
    <t>0100001039</t>
  </si>
  <si>
    <t xml:space="preserve">           594.00</t>
  </si>
  <si>
    <t xml:space="preserve">          594.00</t>
  </si>
  <si>
    <t xml:space="preserve">           270.00</t>
  </si>
  <si>
    <t xml:space="preserve">          270.00</t>
  </si>
  <si>
    <t>0100001041</t>
  </si>
  <si>
    <t xml:space="preserve">          -594.00</t>
  </si>
  <si>
    <t xml:space="preserve">         -594.00</t>
  </si>
  <si>
    <t xml:space="preserve">          -270.00</t>
  </si>
  <si>
    <t xml:space="preserve">         -270.00</t>
  </si>
  <si>
    <t>0100001042</t>
  </si>
  <si>
    <t>0100001044</t>
  </si>
  <si>
    <t xml:space="preserve">           -0.05</t>
  </si>
  <si>
    <t>FRG\ Thue FCT\ BSJ\ PS 25.04.2024\Inv.1640-2024-6</t>
  </si>
  <si>
    <t>0100001045</t>
  </si>
  <si>
    <t xml:space="preserve">           -1.56</t>
  </si>
  <si>
    <t>FRG\ Pmt FCT\ BSJ\ PS 24.04.2024\Inv.3292-240131-0</t>
  </si>
  <si>
    <t>0100001046</t>
  </si>
  <si>
    <t xml:space="preserve">          -12.54</t>
  </si>
  <si>
    <t>FRG\ Pmt FCT\ BPE\ PS 22.04.2024\Inv.XI23-95160C</t>
  </si>
  <si>
    <t>0100001047</t>
  </si>
  <si>
    <t xml:space="preserve">          -65.66</t>
  </si>
  <si>
    <t>FRG\ Pmt FCT\BSW\PS 09.04.2024\Inv.23-3-0001</t>
  </si>
  <si>
    <t>0100001048</t>
  </si>
  <si>
    <t xml:space="preserve">           -8.29</t>
  </si>
  <si>
    <t>FRG\ Pmt FCT\Monsoon\Inv.MCI-RECS-BTMV-2023-02</t>
  </si>
  <si>
    <t>0100001049</t>
  </si>
  <si>
    <t xml:space="preserve">         -107.06</t>
  </si>
  <si>
    <t>FRG\ Pmt FCT\ NHV\ PS 01.04.2024\Inv.NHV231395SVRE</t>
  </si>
  <si>
    <t>0100001050</t>
  </si>
  <si>
    <t xml:space="preserve">          -15.34</t>
  </si>
  <si>
    <t>FRG\ Pmt FCT\SBC\ PS 01.04.2024\Inv.SBC-SH240126-0</t>
  </si>
  <si>
    <t>0100001051</t>
  </si>
  <si>
    <t xml:space="preserve">         -200.99</t>
  </si>
  <si>
    <t>FRG\ Pm't PIT Apprentice\ Mar.24</t>
  </si>
  <si>
    <t>0100001052</t>
  </si>
  <si>
    <t xml:space="preserve">         -564.63</t>
  </si>
  <si>
    <t>FRG\ Pm't PIT Non-resident\ Apr.24</t>
  </si>
  <si>
    <t>0100001053</t>
  </si>
  <si>
    <t xml:space="preserve">         -129.00</t>
  </si>
  <si>
    <t>FRG\ Pm't for Inv.Union fee Apr.24</t>
  </si>
  <si>
    <t>0100001054</t>
  </si>
  <si>
    <t xml:space="preserve">          129.00</t>
  </si>
  <si>
    <t>0100001056</t>
  </si>
  <si>
    <t xml:space="preserve">          -22.53</t>
  </si>
  <si>
    <t>0100001058</t>
  </si>
  <si>
    <t xml:space="preserve">           337.18</t>
  </si>
  <si>
    <t xml:space="preserve">          337.18</t>
  </si>
  <si>
    <t>IAR Ins. for stock (01.07.23 to 30.06.24)_May.24</t>
  </si>
  <si>
    <t>0100001061</t>
  </si>
  <si>
    <t xml:space="preserve">           -1.13</t>
  </si>
  <si>
    <t>FRG\ Refund salary 10.5</t>
  </si>
  <si>
    <t>0100001062</t>
  </si>
  <si>
    <t xml:space="preserve">           -2.08</t>
  </si>
  <si>
    <t>FRG\ Payment refund salary 24 May 2024</t>
  </si>
  <si>
    <t>0100001063</t>
  </si>
  <si>
    <t xml:space="preserve">           148.00</t>
  </si>
  <si>
    <t xml:space="preserve">          148.00</t>
  </si>
  <si>
    <t>Allocation\Cargo Insurance-annual\May.24\MSIG Ins</t>
  </si>
  <si>
    <t>0100001064</t>
  </si>
  <si>
    <t xml:space="preserve">        -4766.59</t>
  </si>
  <si>
    <t>FRG\ Pmt salary for employees Apr.24</t>
  </si>
  <si>
    <t>0100001065</t>
  </si>
  <si>
    <t>0100001066</t>
  </si>
  <si>
    <t xml:space="preserve">         -973.48</t>
  </si>
  <si>
    <t>FRG\ Pension Insurance payable May.24</t>
  </si>
  <si>
    <t xml:space="preserve">         -173.54</t>
  </si>
  <si>
    <t>FRG\ Health Insurance payable May.24</t>
  </si>
  <si>
    <t>FRG\ Unemployment Insurance May.24</t>
  </si>
  <si>
    <t>0100001070</t>
  </si>
  <si>
    <t xml:space="preserve">          3454495</t>
  </si>
  <si>
    <t xml:space="preserve">          136.79</t>
  </si>
  <si>
    <t>Reclassify\Taxi PhThiNhan\May.2024\Inv.164&amp;166</t>
  </si>
  <si>
    <t>642805113312</t>
  </si>
  <si>
    <t xml:space="preserve">         -3454495</t>
  </si>
  <si>
    <t xml:space="preserve">         -136.79</t>
  </si>
  <si>
    <t>642805113212</t>
  </si>
  <si>
    <t>1200000161</t>
  </si>
  <si>
    <t xml:space="preserve">           17.86</t>
  </si>
  <si>
    <t>FRl\ Pmt for Tax Environment \ CDs No.106295801510</t>
  </si>
  <si>
    <t>1200000162</t>
  </si>
  <si>
    <t xml:space="preserve">          -17.86</t>
  </si>
  <si>
    <t>1200000163</t>
  </si>
  <si>
    <t>FRG\ Pmt for Bonus of Introduce of Apr.24</t>
  </si>
  <si>
    <t>1200000164</t>
  </si>
  <si>
    <t xml:space="preserve">         -564.51</t>
  </si>
  <si>
    <t>FRG\ Payment SEQCD bonus of Apr.24</t>
  </si>
  <si>
    <t>1200000165</t>
  </si>
  <si>
    <t xml:space="preserve">           -8.02</t>
  </si>
  <si>
    <t>FRG\ Pmt for reward of engagement bonus Apr.24</t>
  </si>
  <si>
    <t>1200000166</t>
  </si>
  <si>
    <t xml:space="preserve">           -1.80</t>
  </si>
  <si>
    <t>FRG\ Payment reward of kaizen Apr.24</t>
  </si>
  <si>
    <t>1200000167</t>
  </si>
  <si>
    <t xml:space="preserve">         -113.95</t>
  </si>
  <si>
    <t>FRG\ Payment welfare benefit of Apr.24</t>
  </si>
  <si>
    <t>1200000168</t>
  </si>
  <si>
    <t xml:space="preserve">           -4.98</t>
  </si>
  <si>
    <t>FRG\ Pmt for salary apprentice Apr.2024</t>
  </si>
  <si>
    <t>1200000170</t>
  </si>
  <si>
    <t xml:space="preserve">           -2.54</t>
  </si>
  <si>
    <t>FRG\ Pmt extension visa fee for Shimada\ PT Huyen</t>
  </si>
  <si>
    <t>1200000171</t>
  </si>
  <si>
    <t xml:space="preserve">          -14.00</t>
  </si>
  <si>
    <t>FRG\ Pmt for prize of BTMV got talent\ PT Huyen</t>
  </si>
  <si>
    <t>1200000172</t>
  </si>
  <si>
    <t xml:space="preserve">            1.11</t>
  </si>
  <si>
    <t>FRL\ MSIG pays labor accident Ins\ HD Giang</t>
  </si>
  <si>
    <t>1200000173</t>
  </si>
  <si>
    <t xml:space="preserve">           -0.03</t>
  </si>
  <si>
    <t>FRG\ Pmtcondole family of Huong 3982\ NN Giang</t>
  </si>
  <si>
    <t>1200000181</t>
  </si>
  <si>
    <t xml:space="preserve">          -13.84</t>
  </si>
  <si>
    <t>FRG\ SERVICE AS INV.4606-20231215-6</t>
  </si>
  <si>
    <t>1200000182</t>
  </si>
  <si>
    <t xml:space="preserve">         -283.40</t>
  </si>
  <si>
    <t>FRG\ INV.1491-BTMV-23-141,1491-BTMV-23-101</t>
  </si>
  <si>
    <t>1200000183</t>
  </si>
  <si>
    <t xml:space="preserve">          -95.94</t>
  </si>
  <si>
    <t>FRG\ PAYMENT FOR INV.8893-BTMV240401</t>
  </si>
  <si>
    <t>1200000186</t>
  </si>
  <si>
    <t>FRL\ Tax Environment \ CDs No.106295801510</t>
  </si>
  <si>
    <t>1200000188</t>
  </si>
  <si>
    <t>RFL\ Rec. HI fee\ Employees\Quit job\ May.24</t>
  </si>
  <si>
    <t>20240502</t>
  </si>
  <si>
    <t>1400000076</t>
  </si>
  <si>
    <t xml:space="preserve">         -1051.31</t>
  </si>
  <si>
    <t xml:space="preserve">        -1051.31</t>
  </si>
  <si>
    <t>Receive\Reward by use packing box\Goodpack\ Mar.24</t>
  </si>
  <si>
    <t>1400000077</t>
  </si>
  <si>
    <t xml:space="preserve">              -23</t>
  </si>
  <si>
    <t xml:space="preserve">           -0.15</t>
  </si>
  <si>
    <t>Received Interset JPY\ Miz\ Apr.24</t>
  </si>
  <si>
    <t>1400000078</t>
  </si>
  <si>
    <t xml:space="preserve">          -508334</t>
  </si>
  <si>
    <t xml:space="preserve">          -19.97</t>
  </si>
  <si>
    <t>Received Interset MIZ\ VND\ Apr.24</t>
  </si>
  <si>
    <t>1400000083</t>
  </si>
  <si>
    <t xml:space="preserve">             -779</t>
  </si>
  <si>
    <t xml:space="preserve">           -5.03</t>
  </si>
  <si>
    <t>Received Interset JPY\ Mufg\ Apr.24</t>
  </si>
  <si>
    <t>1400000084</t>
  </si>
  <si>
    <t xml:space="preserve">            -8250</t>
  </si>
  <si>
    <t xml:space="preserve">           -0.32</t>
  </si>
  <si>
    <t>Receive for Interest\VND\MUFG\ Apr.24</t>
  </si>
  <si>
    <t>1400000085</t>
  </si>
  <si>
    <t xml:space="preserve">        22597.82</t>
  </si>
  <si>
    <t>FRL\ Received Shipment May.24\ BSTVN</t>
  </si>
  <si>
    <t>1400000086</t>
  </si>
  <si>
    <t xml:space="preserve">            0.67</t>
  </si>
  <si>
    <t>FRL\ Meal expenses/Apr.24/Vuong Thi Ngat.</t>
  </si>
  <si>
    <t>1400000087</t>
  </si>
  <si>
    <t>FRL\ Receive Refund for 3311 TRC fee \PT Huyen</t>
  </si>
  <si>
    <t>1400000088</t>
  </si>
  <si>
    <t xml:space="preserve">         -2558883</t>
  </si>
  <si>
    <t xml:space="preserve">         -100.44</t>
  </si>
  <si>
    <t>Received for Interest \VND\VCB\ May.2024</t>
  </si>
  <si>
    <t>1400000090</t>
  </si>
  <si>
    <t xml:space="preserve">            1.65</t>
  </si>
  <si>
    <t>FRl\ Receive Scrap sales\ An Sinh\ Inv.526</t>
  </si>
  <si>
    <t>THB</t>
  </si>
  <si>
    <t>1500000888</t>
  </si>
  <si>
    <t xml:space="preserve">             0.00</t>
  </si>
  <si>
    <t xml:space="preserve">           38.93</t>
  </si>
  <si>
    <t>FRL\ PMT FOR GOODS ASINV.24TBSC-T399VN/01</t>
  </si>
  <si>
    <t>1500000916</t>
  </si>
  <si>
    <t xml:space="preserve">         -218.41</t>
  </si>
  <si>
    <t>FRG\ PAYMENT FOR INV.X432430A-23KB</t>
  </si>
  <si>
    <t>1500000917</t>
  </si>
  <si>
    <t xml:space="preserve">        -2797.06</t>
  </si>
  <si>
    <t>FRG\ PMT FOR INV.4530006122,45300061 23-1</t>
  </si>
  <si>
    <t>1500000918</t>
  </si>
  <si>
    <t xml:space="preserve">          -21.10</t>
  </si>
  <si>
    <t>FRG\ PAYMENT FOR INV.8457100521</t>
  </si>
  <si>
    <t>1500000931</t>
  </si>
  <si>
    <t xml:space="preserve">          -14.92</t>
  </si>
  <si>
    <t>FRG\ PMT FOR INV.BTMV-240408-1</t>
  </si>
  <si>
    <t>1500000932</t>
  </si>
  <si>
    <t xml:space="preserve">         -188.88</t>
  </si>
  <si>
    <t>1500000933</t>
  </si>
  <si>
    <t xml:space="preserve">          -10.52</t>
  </si>
  <si>
    <t>FRG\ PAYMENT FOR INV. 4004729229</t>
  </si>
  <si>
    <t>1500000934</t>
  </si>
  <si>
    <t xml:space="preserve">           -8.85</t>
  </si>
  <si>
    <t>1500000935</t>
  </si>
  <si>
    <t xml:space="preserve">         -165.83</t>
  </si>
  <si>
    <t>FRG\ PMT FOR INV.T-3232</t>
  </si>
  <si>
    <t>1500000937</t>
  </si>
  <si>
    <t xml:space="preserve">         -142.23</t>
  </si>
  <si>
    <t>FRG\ Pmt for Electric fee 21.04.24 - 30.04.24</t>
  </si>
  <si>
    <t>1500000938</t>
  </si>
  <si>
    <t xml:space="preserve">           -1.12</t>
  </si>
  <si>
    <t>FRG\ Pmt for daily allowance\ Biz in HCM\ DV Dung</t>
  </si>
  <si>
    <t>1500000939</t>
  </si>
  <si>
    <t xml:space="preserve">           -0.68</t>
  </si>
  <si>
    <t>FRG\ Pmt for 3311 working permit fee\ PT Huyen</t>
  </si>
  <si>
    <t>1500000940</t>
  </si>
  <si>
    <t>FRG\ Pmt health exam \Shimda working permit\ Huyen</t>
  </si>
  <si>
    <t>1500000941</t>
  </si>
  <si>
    <t>FRG\ Add pmt for welcome BSJ members party\ TC Tu</t>
  </si>
  <si>
    <t>20240510</t>
  </si>
  <si>
    <t>1500000942</t>
  </si>
  <si>
    <t xml:space="preserve">           -0.30</t>
  </si>
  <si>
    <t>FRG\ Pmt for daily allowance\ Biz in HP\ DT Hiep</t>
  </si>
  <si>
    <t>1500000949</t>
  </si>
  <si>
    <t xml:space="preserve">         -248.78</t>
  </si>
  <si>
    <t>FRG\ Pmt for Electric fee 1.5 - 10.5\ Bridgestone</t>
  </si>
  <si>
    <t>1500000951</t>
  </si>
  <si>
    <t xml:space="preserve">           -5.97</t>
  </si>
  <si>
    <t>FRG\ Pmt for allowance\ Biz in China\ VV Anh</t>
  </si>
  <si>
    <t>1500000952</t>
  </si>
  <si>
    <t>FRG\ Pmt for allowance\ Biz in China\ VD The</t>
  </si>
  <si>
    <t>1500000953</t>
  </si>
  <si>
    <t xml:space="preserve">           -0.01</t>
  </si>
  <si>
    <t>FRG\ Add pmt China visa fee\ HTN Anh</t>
  </si>
  <si>
    <t>1500000962</t>
  </si>
  <si>
    <t xml:space="preserve">         -330.75</t>
  </si>
  <si>
    <t>FRG\ Bridgestone payment for Inv.238\ Servo</t>
  </si>
  <si>
    <t>1500000963</t>
  </si>
  <si>
    <t xml:space="preserve">           -0.44</t>
  </si>
  <si>
    <t>FRG\Pmt medicine expense for N.Shiina</t>
  </si>
  <si>
    <t>1500000964</t>
  </si>
  <si>
    <t xml:space="preserve">           -3.86</t>
  </si>
  <si>
    <t>FRG\ Pmt medicine &amp; exam. fee for family's Nagura</t>
  </si>
  <si>
    <t>1500000965</t>
  </si>
  <si>
    <t xml:space="preserve">         -370.80</t>
  </si>
  <si>
    <t>FRG\ Pmt for Electric fee 11.05.24 - 20.05.24</t>
  </si>
  <si>
    <t>1500000968</t>
  </si>
  <si>
    <t xml:space="preserve">           -8.51</t>
  </si>
  <si>
    <t>FRG\ Pm't for Inv.345</t>
  </si>
  <si>
    <t>1500000969</t>
  </si>
  <si>
    <t xml:space="preserve">          -75.51</t>
  </si>
  <si>
    <t>FRG\ Pm't for Inv.344, 95</t>
  </si>
  <si>
    <t>1500000970</t>
  </si>
  <si>
    <t xml:space="preserve">         -533.97</t>
  </si>
  <si>
    <t>FRG\ Pm't for Inv.66,67, 100101, 66&amp;67, 132133</t>
  </si>
  <si>
    <t>1500000971</t>
  </si>
  <si>
    <t xml:space="preserve">          -24.39</t>
  </si>
  <si>
    <t>FRG\ Pm't for Inv.00000111</t>
  </si>
  <si>
    <t>1500000972</t>
  </si>
  <si>
    <t xml:space="preserve">          -42.63</t>
  </si>
  <si>
    <t>FRG\ Pm't for Inv.12, 13, 9</t>
  </si>
  <si>
    <t>1500000973</t>
  </si>
  <si>
    <t xml:space="preserve">         -188.87</t>
  </si>
  <si>
    <t>FRG\ Pm't for Inv.00000189</t>
  </si>
  <si>
    <t>1500000974</t>
  </si>
  <si>
    <t xml:space="preserve">           -0.78</t>
  </si>
  <si>
    <t>FRG\Pm't for Inv.00000023, 00000024</t>
  </si>
  <si>
    <t>1500000975</t>
  </si>
  <si>
    <t xml:space="preserve">         -270.82</t>
  </si>
  <si>
    <t>FRG\ Pm't for Inv.36, 00000045, 00000037, 46</t>
  </si>
  <si>
    <t>1500000976</t>
  </si>
  <si>
    <t xml:space="preserve">          -59.88</t>
  </si>
  <si>
    <t>FRG\ Pm't for Inv.142, 198, 199</t>
  </si>
  <si>
    <t>1500000977</t>
  </si>
  <si>
    <t xml:space="preserve">          -27.83</t>
  </si>
  <si>
    <t>FRG\ Pm't for Inv.3205</t>
  </si>
  <si>
    <t>1500000978</t>
  </si>
  <si>
    <t xml:space="preserve">          -11.24</t>
  </si>
  <si>
    <t>FRG\Pm't for Inv.2302, 00003360, 00003320, 0000328</t>
  </si>
  <si>
    <t>1500000979</t>
  </si>
  <si>
    <t xml:space="preserve">          -10.85</t>
  </si>
  <si>
    <t>FRG\Pm't for Inv.175</t>
  </si>
  <si>
    <t>1500000980</t>
  </si>
  <si>
    <t xml:space="preserve">          -15.57</t>
  </si>
  <si>
    <t>FRG\ Pm't for Inv.00000053</t>
  </si>
  <si>
    <t>1500000981</t>
  </si>
  <si>
    <t xml:space="preserve">          -27.39</t>
  </si>
  <si>
    <t>1500000982</t>
  </si>
  <si>
    <t xml:space="preserve">           -5.46</t>
  </si>
  <si>
    <t>FRG\ Pm't for Inv.00001326</t>
  </si>
  <si>
    <t>1500000983</t>
  </si>
  <si>
    <t xml:space="preserve">          -11.32</t>
  </si>
  <si>
    <t>FRG\ Pm't for Inv.00002458, 00002393</t>
  </si>
  <si>
    <t>1500000984</t>
  </si>
  <si>
    <t xml:space="preserve">          -24.78</t>
  </si>
  <si>
    <t>FRG\ Pm't for Inv.1688</t>
  </si>
  <si>
    <t>1500000985</t>
  </si>
  <si>
    <t xml:space="preserve">         -107.74</t>
  </si>
  <si>
    <t>FRG\ Pm't for Inv.00000199, 00000214, 00000255</t>
  </si>
  <si>
    <t>1500000986</t>
  </si>
  <si>
    <t xml:space="preserve">         -216.19</t>
  </si>
  <si>
    <t>FRG\ Pm't for Inv.160, 177</t>
  </si>
  <si>
    <t>1500000987</t>
  </si>
  <si>
    <t>FRG\ Pm't for Inv.22</t>
  </si>
  <si>
    <t>1500000988</t>
  </si>
  <si>
    <t xml:space="preserve">         -123.05</t>
  </si>
  <si>
    <t>FRG\ Pm't for Inv.22, 26, 27</t>
  </si>
  <si>
    <t>1500000989</t>
  </si>
  <si>
    <t>FRG\ Pm't for Inv.176</t>
  </si>
  <si>
    <t>1500000990</t>
  </si>
  <si>
    <t xml:space="preserve">          -18.66</t>
  </si>
  <si>
    <t>FRG\ Pm't for Inv.00001866</t>
  </si>
  <si>
    <t>1500000991</t>
  </si>
  <si>
    <t xml:space="preserve">         -351.10</t>
  </si>
  <si>
    <t>FRG\ Pm't for Inv.00000089, 00000102, 00000081</t>
  </si>
  <si>
    <t>1500000992</t>
  </si>
  <si>
    <t xml:space="preserve">          -86.58</t>
  </si>
  <si>
    <t>FRG\ Pm't for Inv.00000042, 00000038</t>
  </si>
  <si>
    <t>1500000993</t>
  </si>
  <si>
    <t xml:space="preserve">          -12.42</t>
  </si>
  <si>
    <t>FRG\ Pm't for Inv.00002311</t>
  </si>
  <si>
    <t>1500000994</t>
  </si>
  <si>
    <t xml:space="preserve">           -2.56</t>
  </si>
  <si>
    <t>FRG\ Pm't for Inv.1917</t>
  </si>
  <si>
    <t>1500000995</t>
  </si>
  <si>
    <t xml:space="preserve">           -4.91</t>
  </si>
  <si>
    <t>FRG\ Pm't for Inv.24, 25, 27</t>
  </si>
  <si>
    <t>1500000996</t>
  </si>
  <si>
    <t xml:space="preserve">          -37.42</t>
  </si>
  <si>
    <t>FRG\ Pm't for Inv.00004202</t>
  </si>
  <si>
    <t>1500000997</t>
  </si>
  <si>
    <t xml:space="preserve">         -101.48</t>
  </si>
  <si>
    <t>FRG\ Pm't for Inv.00000203</t>
  </si>
  <si>
    <t>1500000998</t>
  </si>
  <si>
    <t xml:space="preserve">          -32.15</t>
  </si>
  <si>
    <t>FRG\ Pm't for Inv.00000060</t>
  </si>
  <si>
    <t>1500000999</t>
  </si>
  <si>
    <t>FRG\ Pm't for Inv.00000486</t>
  </si>
  <si>
    <t>1500001000</t>
  </si>
  <si>
    <t xml:space="preserve">           -4.67</t>
  </si>
  <si>
    <t>FRG\ Pm't for Inv.00002939</t>
  </si>
  <si>
    <t>1500001001</t>
  </si>
  <si>
    <t xml:space="preserve">         -584.17</t>
  </si>
  <si>
    <t>FRG\ Pm't for Inv.3783</t>
  </si>
  <si>
    <t>1500001002</t>
  </si>
  <si>
    <t xml:space="preserve">         -298.89</t>
  </si>
  <si>
    <t>FRG\ Pm't for Inv.151, INV.APR.2024</t>
  </si>
  <si>
    <t>1500001003</t>
  </si>
  <si>
    <t xml:space="preserve">           -1.33</t>
  </si>
  <si>
    <t>FRG\ Pm't for Inv. INV.APR.2024, 143,</t>
  </si>
  <si>
    <t>1500001004</t>
  </si>
  <si>
    <t xml:space="preserve">         -273.30</t>
  </si>
  <si>
    <t>FRG\ Pm't for Inv.151, INV.APR.2024, 144</t>
  </si>
  <si>
    <t>1500001005</t>
  </si>
  <si>
    <t xml:space="preserve">          -20.02</t>
  </si>
  <si>
    <t>1500001006</t>
  </si>
  <si>
    <t xml:space="preserve">          -35.61</t>
  </si>
  <si>
    <t>FRG\ Pm't for Inv. INV.APR.2024</t>
  </si>
  <si>
    <t>1500001007</t>
  </si>
  <si>
    <t xml:space="preserve">           -0.20</t>
  </si>
  <si>
    <t>FRG\ Pm't for Inv.00000048</t>
  </si>
  <si>
    <t>1500001008</t>
  </si>
  <si>
    <t xml:space="preserve">           -0.21</t>
  </si>
  <si>
    <t>1500001009</t>
  </si>
  <si>
    <t xml:space="preserve">           -5.58</t>
  </si>
  <si>
    <t>1500001010</t>
  </si>
  <si>
    <t>FRG\ Pm't for Inv.20901</t>
  </si>
  <si>
    <t>1500001011</t>
  </si>
  <si>
    <t xml:space="preserve">           -8.57</t>
  </si>
  <si>
    <t>1500001012</t>
  </si>
  <si>
    <t xml:space="preserve">         -139.71</t>
  </si>
  <si>
    <t>FRG\ Pm't for Inv.136</t>
  </si>
  <si>
    <t>1500001013</t>
  </si>
  <si>
    <t xml:space="preserve">          -64.15</t>
  </si>
  <si>
    <t>FRG\ Pm't for Inv.136, 131</t>
  </si>
  <si>
    <t>1500001014</t>
  </si>
  <si>
    <t xml:space="preserve">          -93.40</t>
  </si>
  <si>
    <t>FRG\ Pm't for Inv.962</t>
  </si>
  <si>
    <t>1500001015</t>
  </si>
  <si>
    <t xml:space="preserve">           -9.26</t>
  </si>
  <si>
    <t>FRG\ Pm't for Inv.11742</t>
  </si>
  <si>
    <t>1500001016</t>
  </si>
  <si>
    <t xml:space="preserve">          -12.03</t>
  </si>
  <si>
    <t>FRG\ Pm't for Inv.53</t>
  </si>
  <si>
    <t>1500001017</t>
  </si>
  <si>
    <t xml:space="preserve">           -6.49</t>
  </si>
  <si>
    <t>FRG\ Pm't for Inv.00000751</t>
  </si>
  <si>
    <t>1500001018</t>
  </si>
  <si>
    <t xml:space="preserve">        -1520.24</t>
  </si>
  <si>
    <t>FRG\ Pm't for Inv.795</t>
  </si>
  <si>
    <t>1500001019</t>
  </si>
  <si>
    <t xml:space="preserve">          -25.62</t>
  </si>
  <si>
    <t>FRG\ Pm't for Inv.185</t>
  </si>
  <si>
    <t>1500001020</t>
  </si>
  <si>
    <t xml:space="preserve">         -103.92</t>
  </si>
  <si>
    <t>FRG\ Pm't for Inv.920/975, 1057</t>
  </si>
  <si>
    <t>1500001021</t>
  </si>
  <si>
    <t xml:space="preserve">         -141.80</t>
  </si>
  <si>
    <t>FRG\ Pm't for Inv.149</t>
  </si>
  <si>
    <t>1500001022</t>
  </si>
  <si>
    <t xml:space="preserve">          -67.04</t>
  </si>
  <si>
    <t>FRG\ Pm't for Inv.54</t>
  </si>
  <si>
    <t>1500001023</t>
  </si>
  <si>
    <t xml:space="preserve">         -110.34</t>
  </si>
  <si>
    <t>FRG\ Pm't for Inv.65</t>
  </si>
  <si>
    <t>1500001024</t>
  </si>
  <si>
    <t xml:space="preserve">         -141.59</t>
  </si>
  <si>
    <t>FRG\ Pm't for Inv.265</t>
  </si>
  <si>
    <t>1500001025</t>
  </si>
  <si>
    <t xml:space="preserve">           -0.57</t>
  </si>
  <si>
    <t>FRG\ Pm't for Inv.639</t>
  </si>
  <si>
    <t>1500001026</t>
  </si>
  <si>
    <t xml:space="preserve">          -11.57</t>
  </si>
  <si>
    <t>FRG\ Pm't for Inv.243</t>
  </si>
  <si>
    <t>1500001027</t>
  </si>
  <si>
    <t xml:space="preserve">         -276.00</t>
  </si>
  <si>
    <t>FRG\ Pm't for Inv.306</t>
  </si>
  <si>
    <t>1500001028</t>
  </si>
  <si>
    <t xml:space="preserve">           -6.31</t>
  </si>
  <si>
    <t>FRG\ Pm't for Inv.1389,1390,1391</t>
  </si>
  <si>
    <t>1500001029</t>
  </si>
  <si>
    <t xml:space="preserve">           -6.30</t>
  </si>
  <si>
    <t>FRG\ Pm't for Inv.2225-2229, 2238</t>
  </si>
  <si>
    <t>1500001030</t>
  </si>
  <si>
    <t xml:space="preserve">          -22.91</t>
  </si>
  <si>
    <t>FRG\ Pm't for Inv.10, 11</t>
  </si>
  <si>
    <t>1500001031</t>
  </si>
  <si>
    <t>FRG\ Pm't for Inv.00005202</t>
  </si>
  <si>
    <t>1500001032</t>
  </si>
  <si>
    <t xml:space="preserve">         -661.09</t>
  </si>
  <si>
    <t>FRG\ Pm't for Inv.135, APR.24,  APR.24</t>
  </si>
  <si>
    <t>1500001033</t>
  </si>
  <si>
    <t xml:space="preserve">           -2.82</t>
  </si>
  <si>
    <t>FRG\ Pm't for Inv.00000413</t>
  </si>
  <si>
    <t>1500001034</t>
  </si>
  <si>
    <t xml:space="preserve">           -5.42</t>
  </si>
  <si>
    <t>FRG\ Pm't for Inv.8</t>
  </si>
  <si>
    <t>1500001035</t>
  </si>
  <si>
    <t xml:space="preserve">          -10.77</t>
  </si>
  <si>
    <t>FRG\ Pm't for Inv.16</t>
  </si>
  <si>
    <t>1500001036</t>
  </si>
  <si>
    <t xml:space="preserve">           -2.06</t>
  </si>
  <si>
    <t>FRG\ Pm't for Inv.100</t>
  </si>
  <si>
    <t>1500001037</t>
  </si>
  <si>
    <t xml:space="preserve">          -11.61</t>
  </si>
  <si>
    <t>FRG\ Pm't for Inv.56</t>
  </si>
  <si>
    <t>1500001038</t>
  </si>
  <si>
    <t>FRG\ Pm't for Inv.3362,3334,3363</t>
  </si>
  <si>
    <t>1500001039</t>
  </si>
  <si>
    <t xml:space="preserve">          -57.08</t>
  </si>
  <si>
    <t>FRG\ Pm't for Inv.79, 83, 84, 78, 80, 86, 91</t>
  </si>
  <si>
    <t>1500001040</t>
  </si>
  <si>
    <t xml:space="preserve">           -7.04</t>
  </si>
  <si>
    <t>FRG\ Pm't for Inv.767</t>
  </si>
  <si>
    <t>1500001041</t>
  </si>
  <si>
    <t xml:space="preserve">           -6.62</t>
  </si>
  <si>
    <t>FRG\ Pm't for Inv.00002574</t>
  </si>
  <si>
    <t>1500001042</t>
  </si>
  <si>
    <t xml:space="preserve">          -58.81</t>
  </si>
  <si>
    <t>FRG\ Pm't for Inv.2714, 3119</t>
  </si>
  <si>
    <t>1500001043</t>
  </si>
  <si>
    <t xml:space="preserve">         -602.55</t>
  </si>
  <si>
    <t>FRG\ Pm't for Inv.AP-24-0992, 70</t>
  </si>
  <si>
    <t>1500001044</t>
  </si>
  <si>
    <t xml:space="preserve">         -876.05</t>
  </si>
  <si>
    <t>FRG\ Pm't for Inv.76</t>
  </si>
  <si>
    <t>1500001045</t>
  </si>
  <si>
    <t xml:space="preserve">         -117.57</t>
  </si>
  <si>
    <t>FRG\ Pm't for Inv.2557, 2556</t>
  </si>
  <si>
    <t>1500001046</t>
  </si>
  <si>
    <t xml:space="preserve">          -26.09</t>
  </si>
  <si>
    <t>FRG\ Pm't for Inv.3200</t>
  </si>
  <si>
    <t>1500001047</t>
  </si>
  <si>
    <t xml:space="preserve">           -5.36</t>
  </si>
  <si>
    <t>FRG\ Pm't for Inv.373</t>
  </si>
  <si>
    <t>1500001048</t>
  </si>
  <si>
    <t xml:space="preserve">          -47.02</t>
  </si>
  <si>
    <t>FRG\ Pm't for Inv.00000014</t>
  </si>
  <si>
    <t>1500001049</t>
  </si>
  <si>
    <t xml:space="preserve">         -506.31</t>
  </si>
  <si>
    <t>FRG\ Pm't for Inv.00000008, 00000007</t>
  </si>
  <si>
    <t>1500001050</t>
  </si>
  <si>
    <t xml:space="preserve">          -19.60</t>
  </si>
  <si>
    <t>FRG\ Pm't for Inv.00000118</t>
  </si>
  <si>
    <t>1500001051</t>
  </si>
  <si>
    <t xml:space="preserve">          -43.01</t>
  </si>
  <si>
    <t>FRG\ Pm't for Inv.00000796</t>
  </si>
  <si>
    <t>1500001052</t>
  </si>
  <si>
    <t xml:space="preserve">          -33.96</t>
  </si>
  <si>
    <t>FRG\ Pm't for Inv.44</t>
  </si>
  <si>
    <t>1500001053</t>
  </si>
  <si>
    <t xml:space="preserve">          -24.83</t>
  </si>
  <si>
    <t>FRG\ Bridgestone Pm't for Inv.APR.24</t>
  </si>
  <si>
    <t>1500001054</t>
  </si>
  <si>
    <t>FRL\ Pm't for Inv.00002295, 002341,3948</t>
  </si>
  <si>
    <t>1500001055</t>
  </si>
  <si>
    <t xml:space="preserve">           -2.11</t>
  </si>
  <si>
    <t>FRG\ Pm't for Inv.00009331</t>
  </si>
  <si>
    <t>1500001056</t>
  </si>
  <si>
    <t xml:space="preserve">           -0.66</t>
  </si>
  <si>
    <t>1500001057</t>
  </si>
  <si>
    <t xml:space="preserve">         -139.93</t>
  </si>
  <si>
    <t>FRG\ Pm't for Inv.383</t>
  </si>
  <si>
    <t>1500001058</t>
  </si>
  <si>
    <t xml:space="preserve">           -4.59</t>
  </si>
  <si>
    <t>FRG\ Pm't for Inv.00000809</t>
  </si>
  <si>
    <t>1500001059</t>
  </si>
  <si>
    <t xml:space="preserve">          -14.08</t>
  </si>
  <si>
    <t>FRG\ Pm't for Inv.313</t>
  </si>
  <si>
    <t>1500001060</t>
  </si>
  <si>
    <t xml:space="preserve">          -23.33</t>
  </si>
  <si>
    <t>FRG\ Pm't for Inv.1287</t>
  </si>
  <si>
    <t>1500001061</t>
  </si>
  <si>
    <t xml:space="preserve">          -31.53</t>
  </si>
  <si>
    <t>FRG\ Pm't for Inv.00000171</t>
  </si>
  <si>
    <t>1500001062</t>
  </si>
  <si>
    <t>FRG\ Pm't for Inv.2208, 2209</t>
  </si>
  <si>
    <t>1500001065</t>
  </si>
  <si>
    <t xml:space="preserve">          -70.31</t>
  </si>
  <si>
    <t>FRG\ Pm't for Inv.May.24</t>
  </si>
  <si>
    <t>1500001066</t>
  </si>
  <si>
    <t xml:space="preserve">           -1.68</t>
  </si>
  <si>
    <t>1500001067</t>
  </si>
  <si>
    <t xml:space="preserve">          -34.35</t>
  </si>
  <si>
    <t>FRG\ Pm't for Inv.00000376</t>
  </si>
  <si>
    <t>1500001070</t>
  </si>
  <si>
    <t>FRG\ Pmt condole family of DV Lich 3785\ NN Vinh</t>
  </si>
  <si>
    <t>1500001071</t>
  </si>
  <si>
    <t>FRG\ Pmt daily all\ UEMS workshop\ DV Ngoc</t>
  </si>
  <si>
    <t>1500001072</t>
  </si>
  <si>
    <t>FRG\ Pmt daily all\ UEMS workshop\ NP Qui</t>
  </si>
  <si>
    <t>1500001075</t>
  </si>
  <si>
    <t xml:space="preserve">         -464.10</t>
  </si>
  <si>
    <t>FRG\PMT  INV. 1791-BTMV2404-1, DEBIT.1791-BTMV2404</t>
  </si>
  <si>
    <t>1500001076</t>
  </si>
  <si>
    <t xml:space="preserve">         -315.28</t>
  </si>
  <si>
    <t>1800000080</t>
  </si>
  <si>
    <t xml:space="preserve">       -204026.11</t>
  </si>
  <si>
    <t xml:space="preserve">      -204026.11</t>
  </si>
  <si>
    <t>Selling K1S Tooling 20'\Inv.4500438279\BTMV-202408</t>
  </si>
  <si>
    <t>BSWX</t>
  </si>
  <si>
    <t>1800000086</t>
  </si>
  <si>
    <t xml:space="preserve">            -8.31</t>
  </si>
  <si>
    <t xml:space="preserve">           -8.31</t>
  </si>
  <si>
    <t>Rec. Utility \ May.24 \ Nobuharu Shiina</t>
  </si>
  <si>
    <t xml:space="preserve">           -13.66</t>
  </si>
  <si>
    <t xml:space="preserve">          -13.66</t>
  </si>
  <si>
    <t>Rec. Utility \ May.24 \Agata Hiroyuki</t>
  </si>
  <si>
    <t>1800000088</t>
  </si>
  <si>
    <t xml:space="preserve">         -2827.03</t>
  </si>
  <si>
    <t xml:space="preserve">        -2827.03</t>
  </si>
  <si>
    <t>1800000089</t>
  </si>
  <si>
    <t xml:space="preserve">          -150000</t>
  </si>
  <si>
    <t xml:space="preserve">           -5.94</t>
  </si>
  <si>
    <t>Taxi for employee\Personal\ NTLAnh\May.24</t>
  </si>
  <si>
    <t>1900000630</t>
  </si>
  <si>
    <t xml:space="preserve">         -4672964</t>
  </si>
  <si>
    <t xml:space="preserve">         -186.04</t>
  </si>
  <si>
    <t>Rev acc Mobile chrg\ Admin\  Apr.24</t>
  </si>
  <si>
    <t xml:space="preserve">         -1250153</t>
  </si>
  <si>
    <t xml:space="preserve">          -49.77</t>
  </si>
  <si>
    <t xml:space="preserve">           -32580</t>
  </si>
  <si>
    <t xml:space="preserve">           -1.30</t>
  </si>
  <si>
    <t xml:space="preserve">          -284210</t>
  </si>
  <si>
    <t xml:space="preserve">          -11.31</t>
  </si>
  <si>
    <t>Rev acc Telephone charge\ Admin\  Apr.24</t>
  </si>
  <si>
    <t xml:space="preserve">          -229527</t>
  </si>
  <si>
    <t xml:space="preserve">           -9.14</t>
  </si>
  <si>
    <t>Rev acc Data communication\  Apr.24\ Adm</t>
  </si>
  <si>
    <t>Rev acc Mobile for ATT Wan\  Apr.24\ Adm</t>
  </si>
  <si>
    <t>1900000631</t>
  </si>
  <si>
    <t>Actual  Mobile chrg\ Admin\  Apr.24</t>
  </si>
  <si>
    <t>Actual  Telephone charge\ Admin\  Apr.24</t>
  </si>
  <si>
    <t>Actual  Data communication\  Apr.24\ Adm</t>
  </si>
  <si>
    <t>Actual  Mobile for ATT Wan\  Apr.24\ Adm</t>
  </si>
  <si>
    <t>1900000634</t>
  </si>
  <si>
    <t xml:space="preserve">         53212130</t>
  </si>
  <si>
    <t xml:space="preserve">         2107.41</t>
  </si>
  <si>
    <t>Apart.rental\Room 105-204\ Agata\ May.24\2192</t>
  </si>
  <si>
    <t>1900000636</t>
  </si>
  <si>
    <t xml:space="preserve">         12184522</t>
  </si>
  <si>
    <t xml:space="preserve">          483.82</t>
  </si>
  <si>
    <t>Electric\ 01.05.24-10.05.24\ Adm\ Inv.238912</t>
  </si>
  <si>
    <t>1900000640</t>
  </si>
  <si>
    <t>Accrual\9902CM-Lansweeper\May.2024</t>
  </si>
  <si>
    <t>627722031511</t>
  </si>
  <si>
    <t>Accrual\9049CM-IT Security\May.2024</t>
  </si>
  <si>
    <t>Accrual\9027CM-MS Global (Down)\May.2024</t>
  </si>
  <si>
    <t>Accrual\9030CM- Firewall (Phase1)\May.2024</t>
  </si>
  <si>
    <t>Accrual\9027CM-MS Global Service\May.2024</t>
  </si>
  <si>
    <t>Accrual\9031CM-ServiceNow\May.2024</t>
  </si>
  <si>
    <t>Accrual\9033CM-SAP ECC 6 Support\May.2024</t>
  </si>
  <si>
    <t>Accrual\WAN Fee\May.2024</t>
  </si>
  <si>
    <t>Accrual\9047CM-CFIN/MDG/BPC\May.2024</t>
  </si>
  <si>
    <t>Accrual\HRIS SuccessFactor Maint \May.2024</t>
  </si>
  <si>
    <t>Accrual\9048CM-Cloud Computing\May.2024</t>
  </si>
  <si>
    <t>Accrual\9049CM-IT Security (Cyber)\May.2024</t>
  </si>
  <si>
    <t>Accrual\9902CM-Webex\May.2024</t>
  </si>
  <si>
    <t>1900000641</t>
  </si>
  <si>
    <t xml:space="preserve">         15183368</t>
  </si>
  <si>
    <t xml:space="preserve">          601.01</t>
  </si>
  <si>
    <t>Electric\ 10.05.24-20.05.24\ Adm\ Inv.244037</t>
  </si>
  <si>
    <t>20240528</t>
  </si>
  <si>
    <t>1900000643</t>
  </si>
  <si>
    <t xml:space="preserve">          4000000</t>
  </si>
  <si>
    <t xml:space="preserve">          158.22</t>
  </si>
  <si>
    <t>Job fair in Maritime University\08.06.24\Adm\Inv28</t>
  </si>
  <si>
    <t>642801311212</t>
  </si>
  <si>
    <t>1900000647</t>
  </si>
  <si>
    <t xml:space="preserve">           645624</t>
  </si>
  <si>
    <t xml:space="preserve">           25.54</t>
  </si>
  <si>
    <t>Fee garbage collection\ May.24\ Adm\Inv.14867</t>
  </si>
  <si>
    <t>1900000649</t>
  </si>
  <si>
    <t xml:space="preserve">           781200</t>
  </si>
  <si>
    <t xml:space="preserve">           30.94</t>
  </si>
  <si>
    <t>Cleaning sludge from Febtic tank\Adm\ May.24\ 74</t>
  </si>
  <si>
    <t>1900000650</t>
  </si>
  <si>
    <t xml:space="preserve">          6322733</t>
  </si>
  <si>
    <t xml:space="preserve">          251.72</t>
  </si>
  <si>
    <t>Exported fee\Sale\36010301</t>
  </si>
  <si>
    <t xml:space="preserve">          3173294</t>
  </si>
  <si>
    <t xml:space="preserve">          126.34</t>
  </si>
  <si>
    <t>Exported fee\Sale\36006302</t>
  </si>
  <si>
    <t>Exported fee\Sale\36011301</t>
  </si>
  <si>
    <t>Exported fee\Sale\3622L</t>
  </si>
  <si>
    <t>Exported fee\Sale\3621Z</t>
  </si>
  <si>
    <t>Exported fee\Sale\3624J</t>
  </si>
  <si>
    <t>1900000651</t>
  </si>
  <si>
    <t xml:space="preserve">         -6322733</t>
  </si>
  <si>
    <t xml:space="preserve">         -251.72</t>
  </si>
  <si>
    <t xml:space="preserve">         -3173294</t>
  </si>
  <si>
    <t xml:space="preserve">         -126.34</t>
  </si>
  <si>
    <t>1900000654</t>
  </si>
  <si>
    <t xml:space="preserve">           104000</t>
  </si>
  <si>
    <t xml:space="preserve">            4.12</t>
  </si>
  <si>
    <t>Certify docs fee IRC,ERC for Solar\1546\ NTT Trang</t>
  </si>
  <si>
    <t>642799991311</t>
  </si>
  <si>
    <t>1900000657</t>
  </si>
  <si>
    <t xml:space="preserve">          396.04</t>
  </si>
  <si>
    <t>Tax consultancy\ May.24\ Inv.1065</t>
  </si>
  <si>
    <t>1900000660</t>
  </si>
  <si>
    <t xml:space="preserve">          4635703</t>
  </si>
  <si>
    <t xml:space="preserve">          183.46</t>
  </si>
  <si>
    <t>Waste water treatment\ May.24\Adm\Inv.1241</t>
  </si>
  <si>
    <t>1900000662</t>
  </si>
  <si>
    <t xml:space="preserve">          3152218</t>
  </si>
  <si>
    <t xml:space="preserve">          124.69</t>
  </si>
  <si>
    <t>Water charge\May.24\Adm\Inv.1117</t>
  </si>
  <si>
    <t>1900000663</t>
  </si>
  <si>
    <t xml:space="preserve">          157.85</t>
  </si>
  <si>
    <t>Daily all.\ Biz in Ha Noi\ 11.5-18.5.24\ DMH Van</t>
  </si>
  <si>
    <t xml:space="preserve">         11787930</t>
  </si>
  <si>
    <t xml:space="preserve">          465.19</t>
  </si>
  <si>
    <t>Hotel fee\ Biz in Ha Noi\ 11.5-18.5.24\ DMH Van</t>
  </si>
  <si>
    <t>1900000664</t>
  </si>
  <si>
    <t>Daily all.\ Biz in Ha Noi\ 11.5-18.5.24\ NTT Trang</t>
  </si>
  <si>
    <t>Hotel fee\ Biz in Ha Noi\ 11.5-18.5.24\ NTT Trang</t>
  </si>
  <si>
    <t>1900000665</t>
  </si>
  <si>
    <t xml:space="preserve">         2851.03</t>
  </si>
  <si>
    <t>Security fee\ May.24\Adm\Inv.345</t>
  </si>
  <si>
    <t>1900000666</t>
  </si>
  <si>
    <t xml:space="preserve">          3157579</t>
  </si>
  <si>
    <t xml:space="preserve">          125.03</t>
  </si>
  <si>
    <t>Hygiene service\ May.24\ Adm\ Inv.233</t>
  </si>
  <si>
    <t>1900000667</t>
  </si>
  <si>
    <t>Salary of Jpnese in VN\ May.24\ H. Agata</t>
  </si>
  <si>
    <t>Salary of Jpnese in VN\ May.24\ N.Shiina</t>
  </si>
  <si>
    <t>1900000668</t>
  </si>
  <si>
    <t>IZ service charge\ May.24\ Adm\ Inv.1097</t>
  </si>
  <si>
    <t>1900000669</t>
  </si>
  <si>
    <t xml:space="preserve">           288875</t>
  </si>
  <si>
    <t>Express service\LOG\ May.24\Inv.4398</t>
  </si>
  <si>
    <t>1900000670</t>
  </si>
  <si>
    <t xml:space="preserve">         -2041.61</t>
  </si>
  <si>
    <t xml:space="preserve">        -2041.61</t>
  </si>
  <si>
    <t>Rev acc\ Bonus of Jpese\ Apr.24\ N.Shiina</t>
  </si>
  <si>
    <t xml:space="preserve">         -1438.09</t>
  </si>
  <si>
    <t xml:space="preserve">        -1438.09</t>
  </si>
  <si>
    <t>Rev acc\ Bonus of Jpese\ Apr.24\ H.H.Agata</t>
  </si>
  <si>
    <t xml:space="preserve">         -5507.66</t>
  </si>
  <si>
    <t xml:space="preserve">        -5507.66</t>
  </si>
  <si>
    <t>Rev acc\ Salary &amp; allo. of JP \ Apr.24\ N.Shiina</t>
  </si>
  <si>
    <t xml:space="preserve">         -2858.97</t>
  </si>
  <si>
    <t xml:space="preserve">        -2858.97</t>
  </si>
  <si>
    <t>Rev acc\ Salary &amp; allo. of JP \ Apr.24\ H.Agata</t>
  </si>
  <si>
    <t>1900000671</t>
  </si>
  <si>
    <t xml:space="preserve">         2026.54</t>
  </si>
  <si>
    <t>Bonus of Jpese\ Apr.24\ N.Shiina</t>
  </si>
  <si>
    <t xml:space="preserve">         1427.48</t>
  </si>
  <si>
    <t>Bonus of Jpese\ Apr.24\ H.Agata</t>
  </si>
  <si>
    <t xml:space="preserve">           891121</t>
  </si>
  <si>
    <t xml:space="preserve">         5720.02</t>
  </si>
  <si>
    <t>Salary &amp; allowance of Jpese\ Apr.24\ N.Shiina</t>
  </si>
  <si>
    <t xml:space="preserve">           485614</t>
  </si>
  <si>
    <t xml:space="preserve">         3117.11</t>
  </si>
  <si>
    <t>Salary &amp; allowance of Jpese\ Apr.24\  H.Agata</t>
  </si>
  <si>
    <t>1900000672</t>
  </si>
  <si>
    <t xml:space="preserve">          2026.54</t>
  </si>
  <si>
    <t>Acc. Bonus of Jpese\ May.24\ N.Shiina</t>
  </si>
  <si>
    <t xml:space="preserve">          1427.48</t>
  </si>
  <si>
    <t>Acc. Bonus of Jpese\ May.24\ H.Agata</t>
  </si>
  <si>
    <t xml:space="preserve">          5720.02</t>
  </si>
  <si>
    <t>Acc. Salary &amp; allo. of JP\ May.24\ N.Shiina</t>
  </si>
  <si>
    <t xml:space="preserve">          3117.11</t>
  </si>
  <si>
    <t>Acc. Salary &amp; allo. of JP\ May.24\ H.Agata</t>
  </si>
  <si>
    <t>1900000673</t>
  </si>
  <si>
    <t xml:space="preserve">          1717320</t>
  </si>
  <si>
    <t xml:space="preserve">           68.00</t>
  </si>
  <si>
    <t>Drinking water 19l\ Adm\ May.24\ Inv.323</t>
  </si>
  <si>
    <t xml:space="preserve">          1100000</t>
  </si>
  <si>
    <t xml:space="preserve">           43.56</t>
  </si>
  <si>
    <t>Drinking\ FPWH &amp; office oper.\ May.24\ Inv.323</t>
  </si>
  <si>
    <t>1900000675</t>
  </si>
  <si>
    <t>Parking lot\Bikes\Tien Lang\ Adm\ May.24\ Inv.10</t>
  </si>
  <si>
    <t>1900000676</t>
  </si>
  <si>
    <t xml:space="preserve">           14.69</t>
  </si>
  <si>
    <t>Parking\Bikes\Duong Kinh\Adm\ May.24\Inv.129</t>
  </si>
  <si>
    <t>1900000677</t>
  </si>
  <si>
    <t xml:space="preserve">          3056400</t>
  </si>
  <si>
    <t xml:space="preserve">          121.03</t>
  </si>
  <si>
    <t>Printing fee\May.24\Adm\Seri:AC78041000001\2830</t>
  </si>
  <si>
    <t>1900000679</t>
  </si>
  <si>
    <t xml:space="preserve">           419149</t>
  </si>
  <si>
    <t xml:space="preserve">           16.58</t>
  </si>
  <si>
    <t>Printing\ Adm\ May.24\ Inv.1741</t>
  </si>
  <si>
    <t>1900000680</t>
  </si>
  <si>
    <t xml:space="preserve">          107.72</t>
  </si>
  <si>
    <t>Parking\Bikes\Dong Nam A\Adm\ May.24\Inv.19</t>
  </si>
  <si>
    <t>1900000681</t>
  </si>
  <si>
    <t xml:space="preserve">          2332800</t>
  </si>
  <si>
    <t xml:space="preserve">           92.33</t>
  </si>
  <si>
    <t>Parking lot\Bikes\Toa An\Adm\ May.24\Inv.67</t>
  </si>
  <si>
    <t>1900000682</t>
  </si>
  <si>
    <t xml:space="preserve">           17.11</t>
  </si>
  <si>
    <t>Parking lot\Bikes\ Nui Deo\ Adm\ May.24</t>
  </si>
  <si>
    <t>1900000683</t>
  </si>
  <si>
    <t xml:space="preserve">            28720</t>
  </si>
  <si>
    <t xml:space="preserve">            1.14</t>
  </si>
  <si>
    <t>Add\ Log Export\ WN04 1720kg\ AG-24-0004\ TBSC</t>
  </si>
  <si>
    <t>1900000684</t>
  </si>
  <si>
    <t xml:space="preserve">         19760609</t>
  </si>
  <si>
    <t xml:space="preserve">          782.47</t>
  </si>
  <si>
    <t>Electric\ 20.05.24-31.05.24\ Adm\ Inv.298477</t>
  </si>
  <si>
    <t>1900000685</t>
  </si>
  <si>
    <t xml:space="preserve">          3342537</t>
  </si>
  <si>
    <t xml:space="preserve">          132.36</t>
  </si>
  <si>
    <t>Management fee of substation 110KV\May.24\Adm\185</t>
  </si>
  <si>
    <t>1900000686</t>
  </si>
  <si>
    <t xml:space="preserve">           11.88</t>
  </si>
  <si>
    <t>Exported fee\Revision of provision CDS\43001222</t>
  </si>
  <si>
    <t>Exported fee\Revision of provision CDS\4321K</t>
  </si>
  <si>
    <t>Exported fee\Revision of provision CDS\4322Z</t>
  </si>
  <si>
    <t>Exported fee\Revision of provision CDS\4324A</t>
  </si>
  <si>
    <t>Exported fee\Revision of provision CDS\4325G</t>
  </si>
  <si>
    <t>Exported fee\Revision of provision CDS\43009107</t>
  </si>
  <si>
    <t>Exported fee\Revision of provision CDS\43005301</t>
  </si>
  <si>
    <t>Exported fee\Revision of provision CDS\43012301</t>
  </si>
  <si>
    <t>Exported fee\Revision of provision CDS\43009302</t>
  </si>
  <si>
    <t>Exported fee\Revision of provision CDS\44001107</t>
  </si>
  <si>
    <t>Exported fee\Revision of provision CDS\44002107</t>
  </si>
  <si>
    <t>Exported fee\Revision of provision CDS\44003107</t>
  </si>
  <si>
    <t>Exported fee\Revision of provision CDS\44004107</t>
  </si>
  <si>
    <t>Exported fee\Revision of provision CDS\44005107</t>
  </si>
  <si>
    <t>Exported fee\Revision of provision CDS\44006107</t>
  </si>
  <si>
    <t>Exported fee\Revision of provision CDS\44007107</t>
  </si>
  <si>
    <t>Exported fee\Revision of provision CDS\44008107</t>
  </si>
  <si>
    <t>Exported fee\Revision of provision CDS\4401L</t>
  </si>
  <si>
    <t>Exported fee\Revision of provision CDS\4402U</t>
  </si>
  <si>
    <t>Exported fee\Revision of provision CDS\4403K</t>
  </si>
  <si>
    <t>Exported fee\Revision of provision CDS\4404G</t>
  </si>
  <si>
    <t>Exported fee\Revision of provision CDS\4405A</t>
  </si>
  <si>
    <t>Exported fee\Revision of provision CDS\4406U</t>
  </si>
  <si>
    <t>Exported fee\Revision of provision CDS\4407U</t>
  </si>
  <si>
    <t>Exported fee\Revision of provision CDS\4408J</t>
  </si>
  <si>
    <t>Exported fee\Revision of provision CDS\4409Z</t>
  </si>
  <si>
    <t>Exported fee\Revision of provision CDS\4410L</t>
  </si>
  <si>
    <t>Exported fee\Revision of provision CDS\4411A</t>
  </si>
  <si>
    <t>Exported fee\Revision of provision CDS\4412G</t>
  </si>
  <si>
    <t>Exported fee\Revision of provision CDS\4413Y</t>
  </si>
  <si>
    <t>Exported fee\Revision of provision CDS\4414L</t>
  </si>
  <si>
    <t>Exported fee\Revision of provision CDS\4415L</t>
  </si>
  <si>
    <t>Exported fee\Revision of provision CDS\4416J</t>
  </si>
  <si>
    <t>Exported fee\Revision of provision CDS\4417U</t>
  </si>
  <si>
    <t>Exported fee\Revision of provision CDS\4418S</t>
  </si>
  <si>
    <t>Exported fee\Revision of provision CDS\4419B</t>
  </si>
  <si>
    <t>Exported fee\Revision of provision CDS\4421G</t>
  </si>
  <si>
    <t>Exported fee\Revision of provision CDS\4423A</t>
  </si>
  <si>
    <t>Exported fee\Revision of provision CDS\44001722</t>
  </si>
  <si>
    <t>Exported fee\Revision of provision CDS\44001301</t>
  </si>
  <si>
    <t>Exported fee\Revision of provision CDS\44002301</t>
  </si>
  <si>
    <t>Exported fee\Revision of provision CDS\44003301</t>
  </si>
  <si>
    <t>Exported fee\Revision of provision CDS\44004301</t>
  </si>
  <si>
    <t>Exported fee\Revision of provision CDS\44005301</t>
  </si>
  <si>
    <t>Exported fee\Revision of provision CDS\44006301</t>
  </si>
  <si>
    <t>Exported fee\Revision of provision CDS\44007301</t>
  </si>
  <si>
    <t>Exported fee\Revision of provision CDS\44008301</t>
  </si>
  <si>
    <t>Exported fee\Revision of provision CDS\44009301</t>
  </si>
  <si>
    <t>Exported fee\Revision of provision CDS\44011301</t>
  </si>
  <si>
    <t>Exported fee\Revision of provision CDS\44012301</t>
  </si>
  <si>
    <t>Exported fee\Revision of provision CDS\44001302</t>
  </si>
  <si>
    <t>Exported fee\Revision of provision CDS\44002302</t>
  </si>
  <si>
    <t>Exported fee\Revision of provision CDS\44003302</t>
  </si>
  <si>
    <t>Exported fee\Revision of provision CDS\44004302</t>
  </si>
  <si>
    <t>Exported fee\Revision of provision CDS\44005302</t>
  </si>
  <si>
    <t>Exported fee\Revision of provision CDS\44006302</t>
  </si>
  <si>
    <t>Exported fee\Revision of provision CDS\44007302</t>
  </si>
  <si>
    <t>Exported fee\Revision of provision CDS\44008302</t>
  </si>
  <si>
    <t>1900000688</t>
  </si>
  <si>
    <t xml:space="preserve">           59.40</t>
  </si>
  <si>
    <t xml:space="preserve">           39.60</t>
  </si>
  <si>
    <t xml:space="preserve">           19.80</t>
  </si>
  <si>
    <t xml:space="preserve">           79.20</t>
  </si>
  <si>
    <t>Exported Air\Uncurved rubber\Inv-24-0043</t>
  </si>
  <si>
    <t xml:space="preserve">           98.99</t>
  </si>
  <si>
    <t>Exported Air\Test tire\Inv-24-0044</t>
  </si>
  <si>
    <t>Exported Air\Test tire\Inv-24-0056</t>
  </si>
  <si>
    <t xml:space="preserve">          3000000</t>
  </si>
  <si>
    <t xml:space="preserve">          118.79</t>
  </si>
  <si>
    <t>1900000689</t>
  </si>
  <si>
    <t xml:space="preserve">          254.22</t>
  </si>
  <si>
    <t xml:space="preserve">          127.50</t>
  </si>
  <si>
    <t xml:space="preserve">          428.45</t>
  </si>
  <si>
    <t xml:space="preserve">          507.64</t>
  </si>
  <si>
    <t xml:space="preserve">          713.55</t>
  </si>
  <si>
    <t xml:space="preserve">         14420000</t>
  </si>
  <si>
    <t xml:space="preserve">          571.00</t>
  </si>
  <si>
    <t xml:space="preserve">         21620000</t>
  </si>
  <si>
    <t xml:space="preserve">          856.10</t>
  </si>
  <si>
    <t xml:space="preserve">          7220000</t>
  </si>
  <si>
    <t xml:space="preserve">          285.90</t>
  </si>
  <si>
    <t>1900000690</t>
  </si>
  <si>
    <t xml:space="preserve">          4302303</t>
  </si>
  <si>
    <t xml:space="preserve">          168.89</t>
  </si>
  <si>
    <t>Exported fee\Sale\44007211</t>
  </si>
  <si>
    <t xml:space="preserve">          1120856</t>
  </si>
  <si>
    <t xml:space="preserve">           44.00</t>
  </si>
  <si>
    <t>Exported fee\Sale\45001211</t>
  </si>
  <si>
    <t xml:space="preserve">          3770152</t>
  </si>
  <si>
    <t>Exported fee\Sale\45002211</t>
  </si>
  <si>
    <t>Exported fee\Sale\45003211</t>
  </si>
  <si>
    <t xml:space="preserve">          7814911</t>
  </si>
  <si>
    <t xml:space="preserve">          306.78</t>
  </si>
  <si>
    <t>Exported fee\Sale\45004211</t>
  </si>
  <si>
    <t>Exported fee\Sale\45005211</t>
  </si>
  <si>
    <t>Exported fee\Sale\45006211</t>
  </si>
  <si>
    <t>Exported fee\Sale\45007211</t>
  </si>
  <si>
    <t xml:space="preserve">          2776665</t>
  </si>
  <si>
    <t>Exported fee\Sale\45008211</t>
  </si>
  <si>
    <t>1900000691</t>
  </si>
  <si>
    <t>1900000692</t>
  </si>
  <si>
    <t xml:space="preserve">           326025</t>
  </si>
  <si>
    <t xml:space="preserve">           12.91</t>
  </si>
  <si>
    <t>Express service\Log\Domes\  May.24\Inv.824</t>
  </si>
  <si>
    <t xml:space="preserve">           133650</t>
  </si>
  <si>
    <t xml:space="preserve">            5.29</t>
  </si>
  <si>
    <t>Express service\GA\Adm\Domes\  May.24\Inv.824</t>
  </si>
  <si>
    <t>1900000693</t>
  </si>
  <si>
    <t xml:space="preserve">         35890920</t>
  </si>
  <si>
    <t xml:space="preserve">         1419.90</t>
  </si>
  <si>
    <t>Daily meal\ Adm\ May.2024\Inv.396</t>
  </si>
  <si>
    <t xml:space="preserve">           439200</t>
  </si>
  <si>
    <t xml:space="preserve">           17.38</t>
  </si>
  <si>
    <t>Test meal\ Adm\ May.24\ Inv.396</t>
  </si>
  <si>
    <t xml:space="preserve">          2178000</t>
  </si>
  <si>
    <t xml:space="preserve">           86.17</t>
  </si>
  <si>
    <t>Utility for meal\FPWH &amp; office oper.\May.24</t>
  </si>
  <si>
    <t xml:space="preserve">           20.18</t>
  </si>
  <si>
    <t>Daily meal\ JP\Shiina\May.24\ Inv.396</t>
  </si>
  <si>
    <t xml:space="preserve">           480000</t>
  </si>
  <si>
    <t xml:space="preserve">           18.99</t>
  </si>
  <si>
    <t>Daily meal\ JP\Agata\May.24\ Inv.396</t>
  </si>
  <si>
    <t xml:space="preserve">           60.53</t>
  </si>
  <si>
    <t>Daily meal\ JP\PRO\May.24\ Inv.396</t>
  </si>
  <si>
    <t>1900000694</t>
  </si>
  <si>
    <t xml:space="preserve">          7050000</t>
  </si>
  <si>
    <t xml:space="preserve">          286.35</t>
  </si>
  <si>
    <t>Shuttle bus fee\ Agata's child\2023-2024\224</t>
  </si>
  <si>
    <t xml:space="preserve">        227950000</t>
  </si>
  <si>
    <t xml:space="preserve">         9258.73</t>
  </si>
  <si>
    <t>School expenses \ Agata's child\2023-2024\210</t>
  </si>
  <si>
    <t>1900000695</t>
  </si>
  <si>
    <t xml:space="preserve">           607096</t>
  </si>
  <si>
    <t>Freight charge\Export\Doc\May.24</t>
  </si>
  <si>
    <t xml:space="preserve">           597720</t>
  </si>
  <si>
    <t xml:space="preserve">           23.67</t>
  </si>
  <si>
    <t>642714031212</t>
  </si>
  <si>
    <t>1900000697</t>
  </si>
  <si>
    <t xml:space="preserve">       1075524232</t>
  </si>
  <si>
    <t xml:space="preserve">        42588.28</t>
  </si>
  <si>
    <t>FGWH &amp; Office operation\ May.24\ Inv.5204</t>
  </si>
  <si>
    <t>1900000700</t>
  </si>
  <si>
    <t xml:space="preserve">            40000</t>
  </si>
  <si>
    <t xml:space="preserve">            1.58</t>
  </si>
  <si>
    <t>Other welfare benefit\ Adm\ May.24</t>
  </si>
  <si>
    <t>1900000701</t>
  </si>
  <si>
    <t xml:space="preserve">         61933260</t>
  </si>
  <si>
    <t xml:space="preserve">         2452.41</t>
  </si>
  <si>
    <t>Bus fee\  May.24\ Adm\ Inv.181</t>
  </si>
  <si>
    <t xml:space="preserve">         41513490</t>
  </si>
  <si>
    <t xml:space="preserve">         1643.84</t>
  </si>
  <si>
    <t>Bus\FPWH &amp; office oper.\  May.24\Inv.181</t>
  </si>
  <si>
    <t>1900000703</t>
  </si>
  <si>
    <t xml:space="preserve">         22220000</t>
  </si>
  <si>
    <t xml:space="preserve">          873.02</t>
  </si>
  <si>
    <t>Air ticket\ Annual heath check\ N.Shiina\ Inv.2927</t>
  </si>
  <si>
    <t>642803211213</t>
  </si>
  <si>
    <t>1900000706</t>
  </si>
  <si>
    <t xml:space="preserve">          6821000</t>
  </si>
  <si>
    <t xml:space="preserve">          268.00</t>
  </si>
  <si>
    <t>Air ticket\ Biz in Thailand\10-13.6\ NTT Hanh\2931</t>
  </si>
  <si>
    <t>642805123311</t>
  </si>
  <si>
    <t>1900000709</t>
  </si>
  <si>
    <t xml:space="preserve">         30750000</t>
  </si>
  <si>
    <t xml:space="preserve">         1221.01</t>
  </si>
  <si>
    <t>Membership fee 2024\JCCI\ 01.4.2024-31.12.2024</t>
  </si>
  <si>
    <t>642808011213</t>
  </si>
  <si>
    <t>1900000710</t>
  </si>
  <si>
    <t xml:space="preserve">         1721.75</t>
  </si>
  <si>
    <t>Apart. rental\Room 2705\Shiina\ May.24\ Inv.29</t>
  </si>
  <si>
    <t>1900000712</t>
  </si>
  <si>
    <t xml:space="preserve">          4866871</t>
  </si>
  <si>
    <t xml:space="preserve">          4357251</t>
  </si>
  <si>
    <t xml:space="preserve">          8714502</t>
  </si>
  <si>
    <t xml:space="preserve">          342.00</t>
  </si>
  <si>
    <t>1900000714</t>
  </si>
  <si>
    <t xml:space="preserve">         51172880</t>
  </si>
  <si>
    <t xml:space="preserve">         2026.33</t>
  </si>
  <si>
    <t>Car rental\Shiina\Daily working\29A-118.68\May.24</t>
  </si>
  <si>
    <t xml:space="preserve">          2751214</t>
  </si>
  <si>
    <t xml:space="preserve">          108.94</t>
  </si>
  <si>
    <t>Car rental\Shiina\Golf\29A-118.68\May.24</t>
  </si>
  <si>
    <t>1900000715</t>
  </si>
  <si>
    <t xml:space="preserve">           907200</t>
  </si>
  <si>
    <t xml:space="preserve">           35.92</t>
  </si>
  <si>
    <t>Car rental\Shiina\Golf\15A-480.57\May.24</t>
  </si>
  <si>
    <t xml:space="preserve">           833234</t>
  </si>
  <si>
    <t xml:space="preserve">           32.99</t>
  </si>
  <si>
    <t>Car rental\Emp\Adm\Daily working\15A-480.57\May.24</t>
  </si>
  <si>
    <t>1900000716</t>
  </si>
  <si>
    <t xml:space="preserve">         18107914</t>
  </si>
  <si>
    <t xml:space="preserve">          717.03</t>
  </si>
  <si>
    <t>Car rental\Agata\Daily working\15A-469.62\May.24</t>
  </si>
  <si>
    <t xml:space="preserve">           771120</t>
  </si>
  <si>
    <t xml:space="preserve">           30.53</t>
  </si>
  <si>
    <t>Car rental\Shiina\Golf\15A-469.62\May.24</t>
  </si>
  <si>
    <t xml:space="preserve">           888934</t>
  </si>
  <si>
    <t xml:space="preserve">           35.20</t>
  </si>
  <si>
    <t>Car rental\Emp\Adm\Daily working\15A-469.62\May.24</t>
  </si>
  <si>
    <t>1900000717</t>
  </si>
  <si>
    <t xml:space="preserve">          1385100</t>
  </si>
  <si>
    <t xml:space="preserve">           54.85</t>
  </si>
  <si>
    <t>Car rental\Shiina\Golf,LU Soccer\15A-439.88\May.24</t>
  </si>
  <si>
    <t xml:space="preserve">           855306</t>
  </si>
  <si>
    <t xml:space="preserve">           33.87</t>
  </si>
  <si>
    <t>Car rental\Emp\Adm\Daily working\15A-439.88\May.24</t>
  </si>
  <si>
    <t>1900000718</t>
  </si>
  <si>
    <t xml:space="preserve">           840645</t>
  </si>
  <si>
    <t xml:space="preserve">           33.29</t>
  </si>
  <si>
    <t>Car rental\Emp\Adm\Daily working\15A-454.18\May.24</t>
  </si>
  <si>
    <t>1900000725</t>
  </si>
  <si>
    <t xml:space="preserve">            11711</t>
  </si>
  <si>
    <t xml:space="preserve">            0.46</t>
  </si>
  <si>
    <t>Imported fee\Inv200\4560004115</t>
  </si>
  <si>
    <t xml:space="preserve">            10578</t>
  </si>
  <si>
    <t xml:space="preserve">            0.42</t>
  </si>
  <si>
    <t xml:space="preserve">            13328</t>
  </si>
  <si>
    <t xml:space="preserve">            0.53</t>
  </si>
  <si>
    <t xml:space="preserve">            12032</t>
  </si>
  <si>
    <t xml:space="preserve">            0.48</t>
  </si>
  <si>
    <t xml:space="preserve">            11001</t>
  </si>
  <si>
    <t xml:space="preserve">            0.44</t>
  </si>
  <si>
    <t xml:space="preserve">            23816</t>
  </si>
  <si>
    <t xml:space="preserve">            0.94</t>
  </si>
  <si>
    <t xml:space="preserve">            12514</t>
  </si>
  <si>
    <t xml:space="preserve">            31734</t>
  </si>
  <si>
    <t xml:space="preserve">            12270</t>
  </si>
  <si>
    <t xml:space="preserve">            0.49</t>
  </si>
  <si>
    <t xml:space="preserve">            20892</t>
  </si>
  <si>
    <t xml:space="preserve">            0.83</t>
  </si>
  <si>
    <t xml:space="preserve">             9797</t>
  </si>
  <si>
    <t>Imported fee\Inv153\4560004094</t>
  </si>
  <si>
    <t xml:space="preserve">            14303</t>
  </si>
  <si>
    <t xml:space="preserve">            0.57</t>
  </si>
  <si>
    <t xml:space="preserve">            13263</t>
  </si>
  <si>
    <t xml:space="preserve">            14695</t>
  </si>
  <si>
    <t xml:space="preserve">            0.58</t>
  </si>
  <si>
    <t xml:space="preserve">            32917</t>
  </si>
  <si>
    <t xml:space="preserve">            11053</t>
  </si>
  <si>
    <t xml:space="preserve">            15479</t>
  </si>
  <si>
    <t xml:space="preserve">            13520</t>
  </si>
  <si>
    <t xml:space="preserve">            0.54</t>
  </si>
  <si>
    <t xml:space="preserve">            11462</t>
  </si>
  <si>
    <t xml:space="preserve">            13814</t>
  </si>
  <si>
    <t xml:space="preserve">            0.55</t>
  </si>
  <si>
    <t xml:space="preserve">            12736</t>
  </si>
  <si>
    <t xml:space="preserve">            26778</t>
  </si>
  <si>
    <t xml:space="preserve">            1.06</t>
  </si>
  <si>
    <t xml:space="preserve">            11364</t>
  </si>
  <si>
    <t xml:space="preserve">            19593</t>
  </si>
  <si>
    <t xml:space="preserve">            0.78</t>
  </si>
  <si>
    <t xml:space="preserve">             4742</t>
  </si>
  <si>
    <t xml:space="preserve">            0.19</t>
  </si>
  <si>
    <t>Imported fee\Inv00000374\4560004117</t>
  </si>
  <si>
    <t xml:space="preserve">             4738</t>
  </si>
  <si>
    <t xml:space="preserve">             2085</t>
  </si>
  <si>
    <t xml:space="preserve">            0.08</t>
  </si>
  <si>
    <t xml:space="preserve">             7771</t>
  </si>
  <si>
    <t xml:space="preserve">            37540</t>
  </si>
  <si>
    <t xml:space="preserve">            1.49</t>
  </si>
  <si>
    <t xml:space="preserve">           112325</t>
  </si>
  <si>
    <t xml:space="preserve">            4.45</t>
  </si>
  <si>
    <t xml:space="preserve">            88677</t>
  </si>
  <si>
    <t xml:space="preserve">            3.51</t>
  </si>
  <si>
    <t xml:space="preserve">            28956</t>
  </si>
  <si>
    <t xml:space="preserve">            1.15</t>
  </si>
  <si>
    <t xml:space="preserve">            65428</t>
  </si>
  <si>
    <t>Imported fee\Inv00000667\4560004116</t>
  </si>
  <si>
    <t xml:space="preserve">           142750</t>
  </si>
  <si>
    <t xml:space="preserve">            5.65</t>
  </si>
  <si>
    <t xml:space="preserve">           111822</t>
  </si>
  <si>
    <t xml:space="preserve">            4.43</t>
  </si>
  <si>
    <t xml:space="preserve">           276667</t>
  </si>
  <si>
    <t xml:space="preserve">           10.96</t>
  </si>
  <si>
    <t>Imported fee\Inv38\4510008644</t>
  </si>
  <si>
    <t>642706011213</t>
  </si>
  <si>
    <t xml:space="preserve">            43333</t>
  </si>
  <si>
    <t xml:space="preserve">            1.72</t>
  </si>
  <si>
    <t>1900000729</t>
  </si>
  <si>
    <t xml:space="preserve">          -656.12</t>
  </si>
  <si>
    <t xml:space="preserve">         -656.12</t>
  </si>
  <si>
    <t>Rev\Accrual\Revise provision CDS\Jupiter\Apr.24</t>
  </si>
  <si>
    <t xml:space="preserve">         -4392.40</t>
  </si>
  <si>
    <t xml:space="preserve">        -4392.40</t>
  </si>
  <si>
    <t>Rev\Accrual\Inland transportation\Jupiter\Apr.24</t>
  </si>
  <si>
    <t>1900000730</t>
  </si>
  <si>
    <t xml:space="preserve">          -171.30</t>
  </si>
  <si>
    <t>Rev\Accrual\Inland transportation\Yusen\Apr.24</t>
  </si>
  <si>
    <t>1900000731</t>
  </si>
  <si>
    <t xml:space="preserve">          4653404</t>
  </si>
  <si>
    <t xml:space="preserve">          184.26</t>
  </si>
  <si>
    <t>Acc Mobile chrg\ Admin\  May.24</t>
  </si>
  <si>
    <t xml:space="preserve">          1434570</t>
  </si>
  <si>
    <t xml:space="preserve">           56.81</t>
  </si>
  <si>
    <t xml:space="preserve">            30492</t>
  </si>
  <si>
    <t xml:space="preserve">            1.21</t>
  </si>
  <si>
    <t xml:space="preserve">           359179</t>
  </si>
  <si>
    <t>Acc Telephone charge\ Admin\  May.24</t>
  </si>
  <si>
    <t xml:space="preserve">           185997</t>
  </si>
  <si>
    <t xml:space="preserve">            7.37</t>
  </si>
  <si>
    <t>Acc Data communication\  May.24\ Adm</t>
  </si>
  <si>
    <t xml:space="preserve">            7.92</t>
  </si>
  <si>
    <t>Acc Mobile for ATT Wan\  May.24\ Adm</t>
  </si>
  <si>
    <t>1900000732</t>
  </si>
  <si>
    <t xml:space="preserve">          1700000</t>
  </si>
  <si>
    <t xml:space="preserve">           67.33</t>
  </si>
  <si>
    <t>Logistic fee\Selling Thermocouple\ Inv AG-24-005</t>
  </si>
  <si>
    <t>1900000733</t>
  </si>
  <si>
    <t xml:space="preserve">          4272912</t>
  </si>
  <si>
    <t xml:space="preserve">          167.83</t>
  </si>
  <si>
    <t>Dinner party for guest BSJ39\ Adm\ HTN Anh</t>
  </si>
  <si>
    <t>1900000734</t>
  </si>
  <si>
    <t xml:space="preserve">          2481840</t>
  </si>
  <si>
    <t xml:space="preserve">           97.48</t>
  </si>
  <si>
    <t>Special meal\Guest GBS39 &amp; BSJ8894\ CH Anh</t>
  </si>
  <si>
    <t>1900000738</t>
  </si>
  <si>
    <t xml:space="preserve">         14237721</t>
  </si>
  <si>
    <t xml:space="preserve">          563.78</t>
  </si>
  <si>
    <t>Basic salary\ App.\ 3311- Pur\ May.24</t>
  </si>
  <si>
    <t xml:space="preserve">          1304219</t>
  </si>
  <si>
    <t xml:space="preserve">           51.64</t>
  </si>
  <si>
    <t>OT\  App.\ 3311-Pur\ May.24</t>
  </si>
  <si>
    <t>1900000740</t>
  </si>
  <si>
    <t xml:space="preserve">         14667987</t>
  </si>
  <si>
    <t xml:space="preserve">          580.82</t>
  </si>
  <si>
    <t>Taxi for local employees\ Adm\ May.24\Inv.164&amp;165</t>
  </si>
  <si>
    <t xml:space="preserve">          3098336</t>
  </si>
  <si>
    <t xml:space="preserve">          122.69</t>
  </si>
  <si>
    <t>Biz in HN\NgTThienTrang\May.2024\Inv.164&amp;166</t>
  </si>
  <si>
    <t>Biz in TN\PhThiNhan\May.2024\Inv.164&amp;166</t>
  </si>
  <si>
    <t>1900000743</t>
  </si>
  <si>
    <t xml:space="preserve">          3092720</t>
  </si>
  <si>
    <t xml:space="preserve">          122.33</t>
  </si>
  <si>
    <t>Taxi fee\ Adm\ 26.04-25.05.2024\ Inv.503</t>
  </si>
  <si>
    <t>1900000744</t>
  </si>
  <si>
    <t xml:space="preserve">         1246.28</t>
  </si>
  <si>
    <t>Acc bonus\ NS\ 1211-HR\ May.2024</t>
  </si>
  <si>
    <t xml:space="preserve">           62.74</t>
  </si>
  <si>
    <t>Acc bonus\ NS\ 1212-REC\ May.2024</t>
  </si>
  <si>
    <t xml:space="preserve">          641.39</t>
  </si>
  <si>
    <t>Acc bonus\ NS\ 1213-ADM\ May.2024</t>
  </si>
  <si>
    <t xml:space="preserve">          206.77</t>
  </si>
  <si>
    <t>Acc bonus\ NS\ 1311-Legal\ May.2024</t>
  </si>
  <si>
    <t xml:space="preserve">          149.44</t>
  </si>
  <si>
    <t>Acc bonus\ NS\ 1312-Legal\ May.2024</t>
  </si>
  <si>
    <t xml:space="preserve">         1689.99</t>
  </si>
  <si>
    <t>Acc bonus\ NS\ 3311-PUR\ May.2024</t>
  </si>
  <si>
    <t xml:space="preserve">          865.20</t>
  </si>
  <si>
    <t>Acc bonus\ NS\ 3312-LOG\ May.2024</t>
  </si>
  <si>
    <t xml:space="preserve">         54251518</t>
  </si>
  <si>
    <t xml:space="preserve">         2148.23</t>
  </si>
  <si>
    <t>Acc bonus\ NS\ 1611-ACC\ May.2024</t>
  </si>
  <si>
    <t xml:space="preserve">           41.38</t>
  </si>
  <si>
    <t>Acc bonus O,T\ NS\ 1211-HR\ May.2024</t>
  </si>
  <si>
    <t xml:space="preserve">           51.13</t>
  </si>
  <si>
    <t>Acc bonus O,T\ NS\ 1212-REC\ May.2024</t>
  </si>
  <si>
    <t xml:space="preserve">           75.72</t>
  </si>
  <si>
    <t>Acc bonus O,T\ NS\ 1213-ADM\ May.2024</t>
  </si>
  <si>
    <t xml:space="preserve">          205.00</t>
  </si>
  <si>
    <t>Acc bonus O,T\ NS\ 1213-Clinic\ May.2024</t>
  </si>
  <si>
    <t xml:space="preserve">           59.67</t>
  </si>
  <si>
    <t>Acc bonus O,T\ NS\ 3311-PUR\ May.2024</t>
  </si>
  <si>
    <t>1900000745</t>
  </si>
  <si>
    <t xml:space="preserve">          820.76</t>
  </si>
  <si>
    <t>Social Ins.\ NS\ 1211-HR\ May.2024</t>
  </si>
  <si>
    <t xml:space="preserve">          100.69</t>
  </si>
  <si>
    <t>Social Ins.\ NS\ 1212-REC\ May.2024</t>
  </si>
  <si>
    <t xml:space="preserve">          543.51</t>
  </si>
  <si>
    <t>Social Ins.\ NS\ 1213-ADM\ May.2024</t>
  </si>
  <si>
    <t xml:space="preserve">          181.26</t>
  </si>
  <si>
    <t>Social Ins.\ NS\ 1213-Clinic\ May.2024</t>
  </si>
  <si>
    <t xml:space="preserve">          182.83</t>
  </si>
  <si>
    <t>Social Ins.\ NS\ 1311-Legal\ May.2024</t>
  </si>
  <si>
    <t xml:space="preserve">          132.14</t>
  </si>
  <si>
    <t>Social Ins.\ NS\ 1312-Legal\ May.2024</t>
  </si>
  <si>
    <t xml:space="preserve">         27743783</t>
  </si>
  <si>
    <t xml:space="preserve">         1098.59</t>
  </si>
  <si>
    <t>Social Ins.\ NS\ 3311-PUR\ May.2024</t>
  </si>
  <si>
    <t xml:space="preserve">          686.20</t>
  </si>
  <si>
    <t>Social Ins.\ NS\ 3312-LOG\ May.2024</t>
  </si>
  <si>
    <t xml:space="preserve">         36244761</t>
  </si>
  <si>
    <t xml:space="preserve">         1435.21</t>
  </si>
  <si>
    <t>Social Ins.\ NS\ 1611-ACC\ May.2024</t>
  </si>
  <si>
    <t xml:space="preserve">          175.88</t>
  </si>
  <si>
    <t>Illness Ins.\ NS\ 1211-HR\ May.2024</t>
  </si>
  <si>
    <t xml:space="preserve">           21.58</t>
  </si>
  <si>
    <t>Illness Ins.\ NS\ 1212-REC\ May.2024</t>
  </si>
  <si>
    <t xml:space="preserve">          116.47</t>
  </si>
  <si>
    <t>Illness Ins.\ NS\ 1213-ADM\ May.2024</t>
  </si>
  <si>
    <t xml:space="preserve">           38.84</t>
  </si>
  <si>
    <t>Illness Ins.\ NS\ 1213-Clinic\ May.2024</t>
  </si>
  <si>
    <t xml:space="preserve">           39.18</t>
  </si>
  <si>
    <t>Illness Ins.\ NS\ 1311-Legal\ May.2024</t>
  </si>
  <si>
    <t xml:space="preserve">           28.32</t>
  </si>
  <si>
    <t>Illness Ins.\ NS\ 1312-Legal\ May.2024</t>
  </si>
  <si>
    <t xml:space="preserve">          5945100</t>
  </si>
  <si>
    <t xml:space="preserve">          235.41</t>
  </si>
  <si>
    <t>Illness Ins.\ NS\ 3311-PUR\ May.2024</t>
  </si>
  <si>
    <t xml:space="preserve">          147.04</t>
  </si>
  <si>
    <t>Illness Ins.\ NS\ 3312-LOG\ May.2024</t>
  </si>
  <si>
    <t xml:space="preserve">          7766738</t>
  </si>
  <si>
    <t xml:space="preserve">          307.54</t>
  </si>
  <si>
    <t>Illness Ins.\ NS\ 1611-ACC\ May.2024</t>
  </si>
  <si>
    <t xml:space="preserve">           29.31</t>
  </si>
  <si>
    <t>Occ. Acc Ins.\ NS\ 1211-HR\ May.2024</t>
  </si>
  <si>
    <t xml:space="preserve">            3.60</t>
  </si>
  <si>
    <t>Occ. Acc Ins.\ NS\ 1212-REC\ May.2024</t>
  </si>
  <si>
    <t xml:space="preserve">           19.41</t>
  </si>
  <si>
    <t>Occ. Acc Ins.\ NS\ 1213-ADM\ May.2024</t>
  </si>
  <si>
    <t xml:space="preserve">            6.47</t>
  </si>
  <si>
    <t>Occ. Acc Ins.\ NS\ 1213-Clinic\ May.2024</t>
  </si>
  <si>
    <t xml:space="preserve">            6.53</t>
  </si>
  <si>
    <t>Occ. Acc Ins.\ NS\ 1311-Legal\ May.2024</t>
  </si>
  <si>
    <t xml:space="preserve">            4.72</t>
  </si>
  <si>
    <t>Occ. Acc Ins.\ NS\ 1312-Legal\ May.2024</t>
  </si>
  <si>
    <t xml:space="preserve">           990850</t>
  </si>
  <si>
    <t xml:space="preserve">           39.24</t>
  </si>
  <si>
    <t>Occ. Acc Ins.\ NS\ 3311-PUR\ May.2024</t>
  </si>
  <si>
    <t xml:space="preserve">           24.51</t>
  </si>
  <si>
    <t>Occ. Acc Ins.\ NS\ 3312-LOG\ May.2024</t>
  </si>
  <si>
    <t xml:space="preserve">          1294456</t>
  </si>
  <si>
    <t xml:space="preserve">           51.26</t>
  </si>
  <si>
    <t>Occ. Acc Ins.\ NS\ 1611-ACC\ May.2024</t>
  </si>
  <si>
    <t>Health Ins.\ NS\ 1211-HR\ May.2024</t>
  </si>
  <si>
    <t>Health Ins.\ NS\ 1212-REC\ May.2024</t>
  </si>
  <si>
    <t>Health Ins.\ NS\ 1213-ADM\ May.2024</t>
  </si>
  <si>
    <t>Health Ins.\ NS\ 1213-Clinic\ May.2024</t>
  </si>
  <si>
    <t>Health Ins.\ NS\ 1311-Legal\ May.2024</t>
  </si>
  <si>
    <t>Health Ins.\ NS\ 1312-Legal\ May.2024</t>
  </si>
  <si>
    <t xml:space="preserve">          5945097</t>
  </si>
  <si>
    <t>Health Ins.\ NS\ 3311-PUR\ May.2024</t>
  </si>
  <si>
    <t>Health Ins.\ NS\ 3312-LOG\ May.2024</t>
  </si>
  <si>
    <t xml:space="preserve">          7766736</t>
  </si>
  <si>
    <t>Health Ins.\ NS\ 1611-ACC\ May.2024</t>
  </si>
  <si>
    <t xml:space="preserve">           81.33</t>
  </si>
  <si>
    <t>Unemploy. Ins.\ NS\ 1211-HR\ May.2024</t>
  </si>
  <si>
    <t xml:space="preserve">            7.19</t>
  </si>
  <si>
    <t>Unemploy. Ins.\ NS\ 1212-REC\ May.2024</t>
  </si>
  <si>
    <t xml:space="preserve">           45.29</t>
  </si>
  <si>
    <t>Unemploy. Ins.\ NS\ 1213-ADM\ May.2024</t>
  </si>
  <si>
    <t xml:space="preserve">           12.95</t>
  </si>
  <si>
    <t>Unemploy. Ins.\ NS\ 1213-Clinic\ May.2024</t>
  </si>
  <si>
    <t xml:space="preserve">           13.06</t>
  </si>
  <si>
    <t>Unemploy. Ins.\ NS\ 1311-Legal\ May.2024</t>
  </si>
  <si>
    <t xml:space="preserve">            9.44</t>
  </si>
  <si>
    <t>Unemploy. Ins.\ NS\ 1312-Legal\ May.2024</t>
  </si>
  <si>
    <t xml:space="preserve">          2453890</t>
  </si>
  <si>
    <t xml:space="preserve">           97.17</t>
  </si>
  <si>
    <t>Unemploy. Ins.\ NS\ 3311-PUR\ May.2024</t>
  </si>
  <si>
    <t xml:space="preserve">           49.68</t>
  </si>
  <si>
    <t>Unemploy. Ins.\ NS\ 3312-LOG\ May.2024</t>
  </si>
  <si>
    <t xml:space="preserve">          3164913</t>
  </si>
  <si>
    <t xml:space="preserve">          125.32</t>
  </si>
  <si>
    <t>Unemploy. Ins.\ NS\ 1611-ACC\ May.2024</t>
  </si>
  <si>
    <t xml:space="preserve">          117.25</t>
  </si>
  <si>
    <t>Labor union\ NS\ 1211-HR\ May.2024</t>
  </si>
  <si>
    <t xml:space="preserve">           14.38</t>
  </si>
  <si>
    <t>Labor union\ NS\ 1212-REC\ May.2024</t>
  </si>
  <si>
    <t xml:space="preserve">           77.64</t>
  </si>
  <si>
    <t>Labor union\ NS\ 1213-ADM\ May.2024</t>
  </si>
  <si>
    <t xml:space="preserve">           25.89</t>
  </si>
  <si>
    <t>Labor union\ NS\ 1213-Clinic\ May.2024</t>
  </si>
  <si>
    <t xml:space="preserve">           26.12</t>
  </si>
  <si>
    <t>Labor union\ NS\ 1311-Legal\ May.2024</t>
  </si>
  <si>
    <t xml:space="preserve">           18.88</t>
  </si>
  <si>
    <t>Labor union\ NS\ 1312-Legal\ May.2024</t>
  </si>
  <si>
    <t xml:space="preserve">          3963398</t>
  </si>
  <si>
    <t xml:space="preserve">          156.94</t>
  </si>
  <si>
    <t>Labor union\ NS\ 3311-PUR\ May.2024</t>
  </si>
  <si>
    <t xml:space="preserve">           98.03</t>
  </si>
  <si>
    <t>Labor union\ NS\ 3312-LOG\ May.2024</t>
  </si>
  <si>
    <t xml:space="preserve">          5177824</t>
  </si>
  <si>
    <t xml:space="preserve">          205.03</t>
  </si>
  <si>
    <t>Labor union\ NS\ 1611-ACC\ May.2024</t>
  </si>
  <si>
    <t>1900000746</t>
  </si>
  <si>
    <t xml:space="preserve">        194359713</t>
  </si>
  <si>
    <t xml:space="preserve">         7696.20</t>
  </si>
  <si>
    <t>Basic salary\ NS\ 1211-HR\ May.2024</t>
  </si>
  <si>
    <t xml:space="preserve">         17732774</t>
  </si>
  <si>
    <t xml:space="preserve">          702.18</t>
  </si>
  <si>
    <t>Basic salary\ NS\ 1212-REC\ May.2024</t>
  </si>
  <si>
    <t xml:space="preserve">        106003488</t>
  </si>
  <si>
    <t xml:space="preserve">         4197.49</t>
  </si>
  <si>
    <t>Basic salary\ NS\ 1213-ADM\ May.2024</t>
  </si>
  <si>
    <t xml:space="preserve">         32521796</t>
  </si>
  <si>
    <t xml:space="preserve">         1287.79</t>
  </si>
  <si>
    <t>Basic salary\ NS\ 1213-Clinic\ May.2024</t>
  </si>
  <si>
    <t xml:space="preserve">         29980000</t>
  </si>
  <si>
    <t xml:space="preserve">         1187.14</t>
  </si>
  <si>
    <t>Basic salary\ NS\ 1311-Legal\ May.2024</t>
  </si>
  <si>
    <t xml:space="preserve">         20891734</t>
  </si>
  <si>
    <t xml:space="preserve">          827.26</t>
  </si>
  <si>
    <t>Basic salary\ NS\ 1312-Legal\ May.2024</t>
  </si>
  <si>
    <t xml:space="preserve">        234848320</t>
  </si>
  <si>
    <t xml:space="preserve">         9299.45</t>
  </si>
  <si>
    <t>Basic salary\ NS\ 3311-PUR\ May.2024</t>
  </si>
  <si>
    <t xml:space="preserve">        117833770</t>
  </si>
  <si>
    <t xml:space="preserve">         4665.95</t>
  </si>
  <si>
    <t>Basic salary\ NS\ 3312-LOG\ May.2024</t>
  </si>
  <si>
    <t xml:space="preserve">        313270763</t>
  </si>
  <si>
    <t xml:space="preserve">        12404.80</t>
  </si>
  <si>
    <t>Basic salary\ NS\ 1611-ACC\ May.2024</t>
  </si>
  <si>
    <t xml:space="preserve">          2700029</t>
  </si>
  <si>
    <t xml:space="preserve">          106.91</t>
  </si>
  <si>
    <t>Annual leave\ NS\1211-HR\ May.2024</t>
  </si>
  <si>
    <t xml:space="preserve">           416978</t>
  </si>
  <si>
    <t xml:space="preserve">           16.51</t>
  </si>
  <si>
    <t>Annual leave\ NS\1212-REC\ May.2024</t>
  </si>
  <si>
    <t xml:space="preserve">          3479091</t>
  </si>
  <si>
    <t xml:space="preserve">          137.76</t>
  </si>
  <si>
    <t>Annual leave\ NS\1213-ADM\ May.2024</t>
  </si>
  <si>
    <t xml:space="preserve">           174804</t>
  </si>
  <si>
    <t xml:space="preserve">            6.92</t>
  </si>
  <si>
    <t>Annual leave\ NS\1213-Clinic\ May.2024</t>
  </si>
  <si>
    <t xml:space="preserve">           496588</t>
  </si>
  <si>
    <t xml:space="preserve">           19.66</t>
  </si>
  <si>
    <t>Annual leave\ NS\1312-Legal\ May.2024</t>
  </si>
  <si>
    <t xml:space="preserve">          2347540</t>
  </si>
  <si>
    <t xml:space="preserve">           92.96</t>
  </si>
  <si>
    <t>Annual leave\ NS\3311-PUR\ May.2024</t>
  </si>
  <si>
    <t xml:space="preserve">          3969412</t>
  </si>
  <si>
    <t xml:space="preserve">          157.18</t>
  </si>
  <si>
    <t>Annual leave\ NS\3312-LOG\ May.2024</t>
  </si>
  <si>
    <t xml:space="preserve">         10848672</t>
  </si>
  <si>
    <t xml:space="preserve">          429.58</t>
  </si>
  <si>
    <t>Annual leave\ NS\1611-ACC\ May.2024</t>
  </si>
  <si>
    <t xml:space="preserve">          4429767</t>
  </si>
  <si>
    <t xml:space="preserve">          175.41</t>
  </si>
  <si>
    <t>Night shift\ NS\ 1213-Clinic\ May.2024</t>
  </si>
  <si>
    <t>191</t>
  </si>
  <si>
    <t xml:space="preserve">          8321108</t>
  </si>
  <si>
    <t xml:space="preserve">          329.50</t>
  </si>
  <si>
    <t>Working allow.\ NS\ 1211-HR\ May.2024</t>
  </si>
  <si>
    <t>193</t>
  </si>
  <si>
    <t xml:space="preserve">          4895833</t>
  </si>
  <si>
    <t xml:space="preserve">          193.86</t>
  </si>
  <si>
    <t>Working allow.\ NS\ 1213-ADM\ May.2024</t>
  </si>
  <si>
    <t>Working allow.\ NS\ 1311-Legal\ May.2024</t>
  </si>
  <si>
    <t xml:space="preserve">          2447917</t>
  </si>
  <si>
    <t xml:space="preserve">           96.93</t>
  </si>
  <si>
    <t>Working allow.\ NS\ 1312-Legal\ May.2024</t>
  </si>
  <si>
    <t xml:space="preserve">          7989583</t>
  </si>
  <si>
    <t xml:space="preserve">          316.37</t>
  </si>
  <si>
    <t>Working allow.\ NS\ 3311-PUR\ May.2024</t>
  </si>
  <si>
    <t xml:space="preserve">          138.59</t>
  </si>
  <si>
    <t>Working allow.\ NS\ 3312-LOG\ May.2024</t>
  </si>
  <si>
    <t xml:space="preserve">         11354167</t>
  </si>
  <si>
    <t xml:space="preserve">          449.60</t>
  </si>
  <si>
    <t>Working allow.\ NS\ 1611-ACC\ May.2024</t>
  </si>
  <si>
    <t>257</t>
  </si>
  <si>
    <t xml:space="preserve">          2260000</t>
  </si>
  <si>
    <t xml:space="preserve">           89.49</t>
  </si>
  <si>
    <t>Other allow. \ NS\ 1211-HR\ May.2024</t>
  </si>
  <si>
    <t>259</t>
  </si>
  <si>
    <t xml:space="preserve">          1240000</t>
  </si>
  <si>
    <t xml:space="preserve">           49.10</t>
  </si>
  <si>
    <t>Other allow. \ NS\ 1212-REC\ May.2024</t>
  </si>
  <si>
    <t xml:space="preserve">          1161667</t>
  </si>
  <si>
    <t xml:space="preserve">           46.00</t>
  </si>
  <si>
    <t>Other allow. \ NS\ 1213-ADM\ May.2024</t>
  </si>
  <si>
    <t xml:space="preserve">          3800000</t>
  </si>
  <si>
    <t xml:space="preserve">          150.47</t>
  </si>
  <si>
    <t>Other allow. \ NS\ 1213-Clinic\ May.2024</t>
  </si>
  <si>
    <t xml:space="preserve">           221667</t>
  </si>
  <si>
    <t xml:space="preserve">            8.78</t>
  </si>
  <si>
    <t>Other allow. \ NS\ 1311-Legal\ May.2024</t>
  </si>
  <si>
    <t xml:space="preserve">           350000</t>
  </si>
  <si>
    <t xml:space="preserve">           13.86</t>
  </si>
  <si>
    <t>Other allow. \ NS\ 1312-Legal\ May.2024</t>
  </si>
  <si>
    <t xml:space="preserve">          1560000</t>
  </si>
  <si>
    <t xml:space="preserve">           61.77</t>
  </si>
  <si>
    <t>Other allow. \ NS\ 3311-PUR\ May.2024</t>
  </si>
  <si>
    <t xml:space="preserve">          1157000</t>
  </si>
  <si>
    <t xml:space="preserve">           45.81</t>
  </si>
  <si>
    <t>Other allow. \ NS\ 3312-LOG\ May.2024</t>
  </si>
  <si>
    <t xml:space="preserve">          1907667</t>
  </si>
  <si>
    <t xml:space="preserve">           75.54</t>
  </si>
  <si>
    <t>Other allow. \ NS\ 1611-ACC\ May.2024</t>
  </si>
  <si>
    <t>333</t>
  </si>
  <si>
    <t xml:space="preserve">          4330469</t>
  </si>
  <si>
    <t xml:space="preserve">          171.48</t>
  </si>
  <si>
    <t>OT\ NS\ 1211-HR\ May.2024</t>
  </si>
  <si>
    <t xml:space="preserve">          2888150</t>
  </si>
  <si>
    <t xml:space="preserve">          114.36</t>
  </si>
  <si>
    <t>OT\ NS\ 1212-REC\ May.2024</t>
  </si>
  <si>
    <t xml:space="preserve">          6132064</t>
  </si>
  <si>
    <t xml:space="preserve">          242.82</t>
  </si>
  <si>
    <t>OT\ NS\ 1213-ADM\ May.2024</t>
  </si>
  <si>
    <t xml:space="preserve">          2529745</t>
  </si>
  <si>
    <t xml:space="preserve">          100.17</t>
  </si>
  <si>
    <t>OT\ NS\ 1213-Clinic\ May.2024</t>
  </si>
  <si>
    <t xml:space="preserve">         22616798</t>
  </si>
  <si>
    <t xml:space="preserve">          895.57</t>
  </si>
  <si>
    <t>OT\ NS\ 3311-PUR\ May.2024</t>
  </si>
  <si>
    <t xml:space="preserve">          6420437</t>
  </si>
  <si>
    <t xml:space="preserve">          254.23</t>
  </si>
  <si>
    <t>OT\ NS\ 3312-LOG\ May.2024</t>
  </si>
  <si>
    <t xml:space="preserve">         21095220</t>
  </si>
  <si>
    <t xml:space="preserve">          835.32</t>
  </si>
  <si>
    <t>OT\ NS\ 1611-ACC\ May.2024</t>
  </si>
  <si>
    <t xml:space="preserve">           600000</t>
  </si>
  <si>
    <t xml:space="preserve">           23.76</t>
  </si>
  <si>
    <t>Adjust housing in 04.2024</t>
  </si>
  <si>
    <t>1900000747</t>
  </si>
  <si>
    <t xml:space="preserve">         72500392</t>
  </si>
  <si>
    <t xml:space="preserve">         2870.85</t>
  </si>
  <si>
    <t>Monthly SEQCD Bonus\ Admin\ May.2024</t>
  </si>
  <si>
    <t>1900000748</t>
  </si>
  <si>
    <t xml:space="preserve">           295625</t>
  </si>
  <si>
    <t xml:space="preserve">           11.71</t>
  </si>
  <si>
    <t>Health Ins\ BTMV obligation\ Quit job\Adm.\May.24</t>
  </si>
  <si>
    <t>1900000753</t>
  </si>
  <si>
    <t xml:space="preserve">          1769545</t>
  </si>
  <si>
    <t xml:space="preserve">           72.82</t>
  </si>
  <si>
    <t>Ins. 24/7 \ Adm\ May.24</t>
  </si>
  <si>
    <t>1900000755</t>
  </si>
  <si>
    <t xml:space="preserve">         90157405</t>
  </si>
  <si>
    <t xml:space="preserve">         3566.78</t>
  </si>
  <si>
    <t>PIT payable for resident in May.24 \ H.Agata</t>
  </si>
  <si>
    <t xml:space="preserve">        139985127</t>
  </si>
  <si>
    <t xml:space="preserve">         5538.04</t>
  </si>
  <si>
    <t>PIT payable for resident in May.24\ N. Shiina</t>
  </si>
  <si>
    <t>1900000758</t>
  </si>
  <si>
    <t xml:space="preserve">          7708.17</t>
  </si>
  <si>
    <t xml:space="preserve">         7708.17</t>
  </si>
  <si>
    <t>Provision current tax liability/ May.24</t>
  </si>
  <si>
    <t>1900000759</t>
  </si>
  <si>
    <t xml:space="preserve">          1981.47</t>
  </si>
  <si>
    <t xml:space="preserve">         1981.47</t>
  </si>
  <si>
    <t>Accrual\Inland transportation\Jupiter\May.24</t>
  </si>
  <si>
    <t xml:space="preserve">           439.53</t>
  </si>
  <si>
    <t xml:space="preserve">          439.53</t>
  </si>
  <si>
    <t>Accrual\Revise provision CDS\Jupiter\May.24</t>
  </si>
  <si>
    <t>1900000760</t>
  </si>
  <si>
    <t xml:space="preserve">           124.36</t>
  </si>
  <si>
    <t xml:space="preserve">          124.36</t>
  </si>
  <si>
    <t>Accrual\Inland transportation\Yusen\May.24</t>
  </si>
  <si>
    <t>1900000761</t>
  </si>
  <si>
    <t xml:space="preserve">           114.79</t>
  </si>
  <si>
    <t xml:space="preserve">          114.79</t>
  </si>
  <si>
    <t>Accrual\Cargo Insurance-annual\May.24\MSIG Ins</t>
  </si>
  <si>
    <t>1900000763</t>
  </si>
  <si>
    <t xml:space="preserve">            19028</t>
  </si>
  <si>
    <t xml:space="preserve">          121.36</t>
  </si>
  <si>
    <t>Accr Royalty fee\ May'24\ Sold to BSJ\ PSR0V01B</t>
  </si>
  <si>
    <t xml:space="preserve">            64313</t>
  </si>
  <si>
    <t xml:space="preserve">          410.19</t>
  </si>
  <si>
    <t>Accr Royalty fee\ May'24\ Sold to BSJ\ PSR0V05B</t>
  </si>
  <si>
    <t xml:space="preserve">            10969</t>
  </si>
  <si>
    <t xml:space="preserve">           69.96</t>
  </si>
  <si>
    <t>Accr Royalty fee\ May'24\ Sold to BSJ\ PSR0V27B</t>
  </si>
  <si>
    <t xml:space="preserve">             2376</t>
  </si>
  <si>
    <t xml:space="preserve">           15.15</t>
  </si>
  <si>
    <t>Accr Royalty fee\ May'24\ Sold to BSJ\ PSR0V30B</t>
  </si>
  <si>
    <t>Accr Royalty fee\ May'24\ Sold to BSJ\ PSR0V79F</t>
  </si>
  <si>
    <t xml:space="preserve">               22</t>
  </si>
  <si>
    <t xml:space="preserve">            0.14</t>
  </si>
  <si>
    <t>Accr Royalty fee\ May'24\ Sold to BSJ\ PSR0V89F</t>
  </si>
  <si>
    <t xml:space="preserve">           117666</t>
  </si>
  <si>
    <t xml:space="preserve">          750.47</t>
  </si>
  <si>
    <t>Accr Royalty fee\ May'24\ Sold to BSJ\ PSR0VF6F</t>
  </si>
  <si>
    <t xml:space="preserve">             1224</t>
  </si>
  <si>
    <t xml:space="preserve">            7.81</t>
  </si>
  <si>
    <t>Accr Royalty fee\ May'24\ Sold to BSJ\ PSR0VG8F</t>
  </si>
  <si>
    <t xml:space="preserve">           222115</t>
  </si>
  <si>
    <t xml:space="preserve">         1416.64</t>
  </si>
  <si>
    <t>Accr Royalty fee\ May'24\ Sold to BSJ\ PSR0VH2F</t>
  </si>
  <si>
    <t xml:space="preserve">           160067</t>
  </si>
  <si>
    <t xml:space="preserve">         1020.90</t>
  </si>
  <si>
    <t>Accr Royalty fee\ May'24\ Sold to BSJ\ PSR0VH3F</t>
  </si>
  <si>
    <t xml:space="preserve">            91943</t>
  </si>
  <si>
    <t xml:space="preserve">          586.41</t>
  </si>
  <si>
    <t>Accr Royalty fee\ May'24\ Sold to BSJ\ PSR0VH4F</t>
  </si>
  <si>
    <t xml:space="preserve">             8248</t>
  </si>
  <si>
    <t xml:space="preserve">           52.61</t>
  </si>
  <si>
    <t>Accr Royalty fee\ May'24\ Sold to BSJ\ PSR0VH9F</t>
  </si>
  <si>
    <t xml:space="preserve">             8649</t>
  </si>
  <si>
    <t xml:space="preserve">           55.16</t>
  </si>
  <si>
    <t>Accr Royalty fee\ May'24\ Sold to BSJ\ PSR0VJ5F</t>
  </si>
  <si>
    <t xml:space="preserve">            25398</t>
  </si>
  <si>
    <t xml:space="preserve">          161.99</t>
  </si>
  <si>
    <t>Accr Royalty fee\ May'24\ Sold to BSAP\ PSR0V01P</t>
  </si>
  <si>
    <t xml:space="preserve">            27163</t>
  </si>
  <si>
    <t xml:space="preserve">          173.24</t>
  </si>
  <si>
    <t>Accr Royalty fee\ May'24\ Sold to BSAP\ PSR0V01S</t>
  </si>
  <si>
    <t xml:space="preserve">            30578</t>
  </si>
  <si>
    <t xml:space="preserve">          195.03</t>
  </si>
  <si>
    <t>Accr Royalty fee\ May'24\ Sold to BSAP\ PSR0V02P</t>
  </si>
  <si>
    <t xml:space="preserve">            43212</t>
  </si>
  <si>
    <t xml:space="preserve">          275.60</t>
  </si>
  <si>
    <t>Accr Royalty fee\ May'24\ Sold to BSAP\ PSR0V03P</t>
  </si>
  <si>
    <t xml:space="preserve">            12679</t>
  </si>
  <si>
    <t xml:space="preserve">           80.87</t>
  </si>
  <si>
    <t>Accr Royalty fee\ May'24\ Sold to BSAP\ PSR0V03S</t>
  </si>
  <si>
    <t xml:space="preserve">            24217</t>
  </si>
  <si>
    <t xml:space="preserve">          154.46</t>
  </si>
  <si>
    <t>Accr Royalty fee\ May'24\ Sold to BSAP\ PSR0V04S</t>
  </si>
  <si>
    <t xml:space="preserve">            12007</t>
  </si>
  <si>
    <t xml:space="preserve">           76.58</t>
  </si>
  <si>
    <t>Accr Royalty fee\ May'24\ Sold to BSAP\ PSR0V05P</t>
  </si>
  <si>
    <t xml:space="preserve">           100161</t>
  </si>
  <si>
    <t xml:space="preserve">          638.82</t>
  </si>
  <si>
    <t>Accr Royalty fee\ May'24\ Sold to BSAP\ PSR0V05S</t>
  </si>
  <si>
    <t xml:space="preserve">            10686</t>
  </si>
  <si>
    <t xml:space="preserve">           68.15</t>
  </si>
  <si>
    <t>Accr Royalty fee\ May'24\ Sold to BSAP\ PSR0V06P</t>
  </si>
  <si>
    <t xml:space="preserve">            91046</t>
  </si>
  <si>
    <t xml:space="preserve">          580.69</t>
  </si>
  <si>
    <t>Accr Royalty fee\ May'24\ Sold to BSAP\ PSR0V07S</t>
  </si>
  <si>
    <t xml:space="preserve">             7087</t>
  </si>
  <si>
    <t xml:space="preserve">           45.20</t>
  </si>
  <si>
    <t>Accr Royalty fee\ May'24\ Sold to BSAP\ PSR0V11D</t>
  </si>
  <si>
    <t xml:space="preserve">            11985</t>
  </si>
  <si>
    <t xml:space="preserve">           76.44</t>
  </si>
  <si>
    <t>Accr Royalty fee\ May'24\ Sold to BSAP\ PSR0V11S</t>
  </si>
  <si>
    <t xml:space="preserve">            30993</t>
  </si>
  <si>
    <t xml:space="preserve">          197.67</t>
  </si>
  <si>
    <t>Accr Royalty fee\ May'24\ Sold to BSAP\ PSR0V12D</t>
  </si>
  <si>
    <t xml:space="preserve">            82345</t>
  </si>
  <si>
    <t xml:space="preserve">          525.19</t>
  </si>
  <si>
    <t>Accr Royalty fee\ May'24\ Sold to BSAP\ PSR0V13D</t>
  </si>
  <si>
    <t xml:space="preserve">            26933</t>
  </si>
  <si>
    <t xml:space="preserve">          171.78</t>
  </si>
  <si>
    <t>Accr Royalty fee\ May'24\ Sold to BSAP\ PSR0V149</t>
  </si>
  <si>
    <t xml:space="preserve">              917</t>
  </si>
  <si>
    <t xml:space="preserve">            5.85</t>
  </si>
  <si>
    <t>Accr Royalty fee\ May'24\ Sold to BSAP\ PSR0V14D</t>
  </si>
  <si>
    <t xml:space="preserve">            30907</t>
  </si>
  <si>
    <t xml:space="preserve">          197.12</t>
  </si>
  <si>
    <t>Accr Royalty fee\ May'24\ Sold to BSAP\ PSR0V15D</t>
  </si>
  <si>
    <t xml:space="preserve">             1328</t>
  </si>
  <si>
    <t xml:space="preserve">            8.47</t>
  </si>
  <si>
    <t>Accr Royalty fee\ May'24\ Sold to BSAP\ PSR0V164</t>
  </si>
  <si>
    <t xml:space="preserve">            63609</t>
  </si>
  <si>
    <t xml:space="preserve">          405.70</t>
  </si>
  <si>
    <t>Accr Royalty fee\ May'24\ Sold to BSAP\ PSR0V165</t>
  </si>
  <si>
    <t xml:space="preserve">            45390</t>
  </si>
  <si>
    <t xml:space="preserve">          289.50</t>
  </si>
  <si>
    <t>Accr Royalty fee\ May'24\ Sold to BSAP\ PSR0V166</t>
  </si>
  <si>
    <t xml:space="preserve">            41787</t>
  </si>
  <si>
    <t xml:space="preserve">          266.52</t>
  </si>
  <si>
    <t>Accr Royalty fee\ May'24\ Sold to BSAP\ PSR0V168</t>
  </si>
  <si>
    <t xml:space="preserve">           150393</t>
  </si>
  <si>
    <t xml:space="preserve">          959.20</t>
  </si>
  <si>
    <t>Accr Royalty fee\ May'24\ Sold to BSAP\ PSR0V169</t>
  </si>
  <si>
    <t xml:space="preserve">            26389</t>
  </si>
  <si>
    <t xml:space="preserve">          168.31</t>
  </si>
  <si>
    <t>Accr Royalty fee\ May'24\ Sold to BSAP\ PSR0V16D</t>
  </si>
  <si>
    <t xml:space="preserve">           105681</t>
  </si>
  <si>
    <t xml:space="preserve">          674.03</t>
  </si>
  <si>
    <t>Accr Royalty fee\ May'24\ Sold to BSAP\ PSR0V170</t>
  </si>
  <si>
    <t xml:space="preserve">            73699</t>
  </si>
  <si>
    <t xml:space="preserve">          470.05</t>
  </si>
  <si>
    <t>Accr Royalty fee\ May'24\ Sold to BSAP\ PSR0V173</t>
  </si>
  <si>
    <t xml:space="preserve">           194429</t>
  </si>
  <si>
    <t xml:space="preserve">         1240.06</t>
  </si>
  <si>
    <t>Accr Royalty fee\ May'24\ Sold to BSAP\ PSR0V174</t>
  </si>
  <si>
    <t xml:space="preserve">             1661</t>
  </si>
  <si>
    <t xml:space="preserve">           10.59</t>
  </si>
  <si>
    <t>Accr Royalty fee\ May'24\ Sold to BSAP\ PSR0V17D</t>
  </si>
  <si>
    <t xml:space="preserve">           214375</t>
  </si>
  <si>
    <t xml:space="preserve">         1367.28</t>
  </si>
  <si>
    <t>Accr Royalty fee\ May'24\ Sold to BSAP\ PSR0V186</t>
  </si>
  <si>
    <t xml:space="preserve">             2161</t>
  </si>
  <si>
    <t xml:space="preserve">           13.78</t>
  </si>
  <si>
    <t>Accr Royalty fee\ May'24\ Sold to BSAP\ PSR0V187</t>
  </si>
  <si>
    <t xml:space="preserve">            35267</t>
  </si>
  <si>
    <t xml:space="preserve">          224.93</t>
  </si>
  <si>
    <t>Accr Royalty fee\ May'24\ Sold to BSAP\ PSR0V18D</t>
  </si>
  <si>
    <t xml:space="preserve">            60956</t>
  </si>
  <si>
    <t xml:space="preserve">          388.77</t>
  </si>
  <si>
    <t>Accr Royalty fee\ May'24\ Sold to BSAP\ PSR0V193</t>
  </si>
  <si>
    <t xml:space="preserve">            20933</t>
  </si>
  <si>
    <t xml:space="preserve">          133.51</t>
  </si>
  <si>
    <t>Accr Royalty fee\ May'24\ Sold to BSAP\ PSR0V19D</t>
  </si>
  <si>
    <t xml:space="preserve">            67696</t>
  </si>
  <si>
    <t xml:space="preserve">          431.76</t>
  </si>
  <si>
    <t>Accr Royalty fee\ May'24\ Sold to BSAP\ PSR0V208</t>
  </si>
  <si>
    <t xml:space="preserve">            27718</t>
  </si>
  <si>
    <t xml:space="preserve">          176.78</t>
  </si>
  <si>
    <t>Accr Royalty fee\ May'24\ Sold to BSAP\ PSR0V20D</t>
  </si>
  <si>
    <t xml:space="preserve">           108291</t>
  </si>
  <si>
    <t xml:space="preserve">          690.68</t>
  </si>
  <si>
    <t>Accr Royalty fee\ May'24\ Sold to BSAP\ PSR0V213</t>
  </si>
  <si>
    <t xml:space="preserve">            11006</t>
  </si>
  <si>
    <t xml:space="preserve">           70.20</t>
  </si>
  <si>
    <t>Accr Royalty fee\ May'24\ Sold to BSAP\ PSR0V21D</t>
  </si>
  <si>
    <t xml:space="preserve">            12261</t>
  </si>
  <si>
    <t xml:space="preserve">           78.20</t>
  </si>
  <si>
    <t>Accr Royalty fee\ May'24\ Sold to BSAP\ PSR0V22D</t>
  </si>
  <si>
    <t xml:space="preserve">            19888</t>
  </si>
  <si>
    <t xml:space="preserve">          126.84</t>
  </si>
  <si>
    <t>Accr Royalty fee\ May'24\ Sold to BSAP\ PSR0V23D</t>
  </si>
  <si>
    <t xml:space="preserve">           710314</t>
  </si>
  <si>
    <t xml:space="preserve">         4530.35</t>
  </si>
  <si>
    <t>Accr Royalty fee\ May'24\ Sold to BSAP\ PSR0V256</t>
  </si>
  <si>
    <t xml:space="preserve">            23721</t>
  </si>
  <si>
    <t xml:space="preserve">          151.29</t>
  </si>
  <si>
    <t>Accr Royalty fee\ May'24\ Sold to BSAP\ PSR0V25S</t>
  </si>
  <si>
    <t xml:space="preserve">          1380038</t>
  </si>
  <si>
    <t xml:space="preserve">         8801.83</t>
  </si>
  <si>
    <t>Accr Royalty fee\ May'24\ Sold to BSAP\ PSR0V265</t>
  </si>
  <si>
    <t xml:space="preserve">           204362</t>
  </si>
  <si>
    <t xml:space="preserve">         1303.41</t>
  </si>
  <si>
    <t>Accr Royalty fee\ May'24\ Sold to BSAP\ PSR0V267</t>
  </si>
  <si>
    <t xml:space="preserve">             9711</t>
  </si>
  <si>
    <t xml:space="preserve">           61.94</t>
  </si>
  <si>
    <t>Accr Royalty fee\ May'24\ Sold to BSAP\ PSR0V29D</t>
  </si>
  <si>
    <t xml:space="preserve">            26777</t>
  </si>
  <si>
    <t xml:space="preserve">          170.78</t>
  </si>
  <si>
    <t>Accr Royalty fee\ May'24\ Sold to BSAP\ PSR0V42D</t>
  </si>
  <si>
    <t xml:space="preserve">              331</t>
  </si>
  <si>
    <t>Accr Royalty fee\ May'24\ Sold to BSAP\ PSR0V43D</t>
  </si>
  <si>
    <t xml:space="preserve">            62499</t>
  </si>
  <si>
    <t xml:space="preserve">          398.62</t>
  </si>
  <si>
    <t>Accr Royalty fee\ May'24\ Sold to BSAP\ PSR0V45D</t>
  </si>
  <si>
    <t xml:space="preserve">            93960</t>
  </si>
  <si>
    <t xml:space="preserve">          599.27</t>
  </si>
  <si>
    <t>Accr Royalty fee\ May'24\ Sold to BSAP\ PSR0V46D</t>
  </si>
  <si>
    <t xml:space="preserve">           143710</t>
  </si>
  <si>
    <t xml:space="preserve">          916.58</t>
  </si>
  <si>
    <t>Accr Royalty fee\ May'24\ Sold to BSAP\ PSR0V47D</t>
  </si>
  <si>
    <t xml:space="preserve">           111856</t>
  </si>
  <si>
    <t xml:space="preserve">          713.41</t>
  </si>
  <si>
    <t>Accr Royalty fee\ May'24\ Sold to BSAP\ PSR0V48D</t>
  </si>
  <si>
    <t xml:space="preserve">            25880</t>
  </si>
  <si>
    <t xml:space="preserve">          165.06</t>
  </si>
  <si>
    <t>Accr Royalty fee\ May'24\ Sold to BSAP\ PSR0V49D</t>
  </si>
  <si>
    <t xml:space="preserve">            79917</t>
  </si>
  <si>
    <t xml:space="preserve">          509.71</t>
  </si>
  <si>
    <t>Accr Royalty fee\ May'24\ Sold to BSAP\ PSR0V50D</t>
  </si>
  <si>
    <t xml:space="preserve">            67957</t>
  </si>
  <si>
    <t xml:space="preserve">          433.43</t>
  </si>
  <si>
    <t>Accr Royalty fee\ May'24\ Sold to BSAP\ PSR0V51D</t>
  </si>
  <si>
    <t xml:space="preserve">            36631</t>
  </si>
  <si>
    <t xml:space="preserve">          233.63</t>
  </si>
  <si>
    <t>Accr Royalty fee\ May'24\ Sold to BSAP\ PSR0V52D</t>
  </si>
  <si>
    <t xml:space="preserve">           486571</t>
  </si>
  <si>
    <t xml:space="preserve">         3103.33</t>
  </si>
  <si>
    <t>Accr Royalty fee\ May'24\ Sold to BSTVN\ PSR0V126</t>
  </si>
  <si>
    <t xml:space="preserve">            57279</t>
  </si>
  <si>
    <t xml:space="preserve">          365.32</t>
  </si>
  <si>
    <t>Accr Royalty fee\ May'24\ Sold to BSTVN\ PSR0V190</t>
  </si>
  <si>
    <t xml:space="preserve">          1626622</t>
  </si>
  <si>
    <t xml:space="preserve">        10374.53</t>
  </si>
  <si>
    <t>Accr Royalty fee\ May'24\ Sold to BSTVN\ PSR0V194</t>
  </si>
  <si>
    <t xml:space="preserve">           272567</t>
  </si>
  <si>
    <t xml:space="preserve">         1738.42</t>
  </si>
  <si>
    <t>Accr Royalty fee\ May'24\ Sold to BSTVN\ PSR0V224</t>
  </si>
  <si>
    <t xml:space="preserve">           237006</t>
  </si>
  <si>
    <t xml:space="preserve">         1511.61</t>
  </si>
  <si>
    <t>Accr Royalty fee\ May'24\ Sold to BSTVN\ PSR0V225</t>
  </si>
  <si>
    <t xml:space="preserve">           481847</t>
  </si>
  <si>
    <t xml:space="preserve">         3073.20</t>
  </si>
  <si>
    <t>Accr Royalty fee\ May'24\ Sold to BSTVN\ PSR0V243</t>
  </si>
  <si>
    <t xml:space="preserve">           683744</t>
  </si>
  <si>
    <t xml:space="preserve">         4360.89</t>
  </si>
  <si>
    <t>Accr Royalty fee\ May'24\ Sold to BSTVN\ PSR0V247</t>
  </si>
  <si>
    <t xml:space="preserve">           719318</t>
  </si>
  <si>
    <t xml:space="preserve">         4587.78</t>
  </si>
  <si>
    <t>Accr Royalty fee\ May'24\ Sold to BSTVN\ PSR0V248</t>
  </si>
  <si>
    <t xml:space="preserve">           337905</t>
  </si>
  <si>
    <t xml:space="preserve">         2155.14</t>
  </si>
  <si>
    <t>Accr Royalty fee\ May'24\ Sold to BSTVN\ PSR0V250</t>
  </si>
  <si>
    <t xml:space="preserve">           333945</t>
  </si>
  <si>
    <t xml:space="preserve">         2129.89</t>
  </si>
  <si>
    <t>Accr Royalty fee\ May'24\ Sold to BSTVN\ PSR0V257</t>
  </si>
  <si>
    <t>4900002239</t>
  </si>
  <si>
    <t xml:space="preserve">         24797.60</t>
  </si>
  <si>
    <t xml:space="preserve">        24797.60</t>
  </si>
  <si>
    <t>4900002240</t>
  </si>
  <si>
    <t xml:space="preserve">          2722.20</t>
  </si>
  <si>
    <t xml:space="preserve">         2722.20</t>
  </si>
  <si>
    <t>4900002241</t>
  </si>
  <si>
    <t xml:space="preserve">         20646.35</t>
  </si>
  <si>
    <t xml:space="preserve">        20646.35</t>
  </si>
  <si>
    <t>4900002242</t>
  </si>
  <si>
    <t>4900002243</t>
  </si>
  <si>
    <t xml:space="preserve">         33150.00</t>
  </si>
  <si>
    <t xml:space="preserve">        33150.00</t>
  </si>
  <si>
    <t xml:space="preserve">          1418.90</t>
  </si>
  <si>
    <t xml:space="preserve">         1418.90</t>
  </si>
  <si>
    <t>4900002244</t>
  </si>
  <si>
    <t xml:space="preserve">          8716.10</t>
  </si>
  <si>
    <t xml:space="preserve">         8716.10</t>
  </si>
  <si>
    <t>4900002245</t>
  </si>
  <si>
    <t xml:space="preserve">          9729.60</t>
  </si>
  <si>
    <t xml:space="preserve">         9729.60</t>
  </si>
  <si>
    <t>4900002246</t>
  </si>
  <si>
    <t>4900002247</t>
  </si>
  <si>
    <t>4900002248</t>
  </si>
  <si>
    <t xml:space="preserve">           423.90</t>
  </si>
  <si>
    <t xml:space="preserve">          423.90</t>
  </si>
  <si>
    <t xml:space="preserve">          2802.11</t>
  </si>
  <si>
    <t xml:space="preserve">         2802.11</t>
  </si>
  <si>
    <t xml:space="preserve">          8556.24</t>
  </si>
  <si>
    <t xml:space="preserve">         8556.24</t>
  </si>
  <si>
    <t xml:space="preserve">          2340.42</t>
  </si>
  <si>
    <t xml:space="preserve">         2340.42</t>
  </si>
  <si>
    <t xml:space="preserve">         11732.48</t>
  </si>
  <si>
    <t xml:space="preserve">        11732.48</t>
  </si>
  <si>
    <t xml:space="preserve">          3448.65</t>
  </si>
  <si>
    <t xml:space="preserve">         3448.65</t>
  </si>
  <si>
    <t>4900002249</t>
  </si>
  <si>
    <t xml:space="preserve">           509.60</t>
  </si>
  <si>
    <t xml:space="preserve">          509.60</t>
  </si>
  <si>
    <t xml:space="preserve">         13896.60</t>
  </si>
  <si>
    <t xml:space="preserve">        13896.60</t>
  </si>
  <si>
    <t xml:space="preserve">          4121.16</t>
  </si>
  <si>
    <t xml:space="preserve">         4121.16</t>
  </si>
  <si>
    <t xml:space="preserve">          4964.00</t>
  </si>
  <si>
    <t xml:space="preserve">         4964.00</t>
  </si>
  <si>
    <t xml:space="preserve">          2429.62</t>
  </si>
  <si>
    <t xml:space="preserve">         2429.62</t>
  </si>
  <si>
    <t xml:space="preserve">          1457.25</t>
  </si>
  <si>
    <t xml:space="preserve">         1457.25</t>
  </si>
  <si>
    <t xml:space="preserve">          1506.00</t>
  </si>
  <si>
    <t xml:space="preserve">         1506.00</t>
  </si>
  <si>
    <t xml:space="preserve">          2842.70</t>
  </si>
  <si>
    <t xml:space="preserve">         2842.70</t>
  </si>
  <si>
    <t>4900002250</t>
  </si>
  <si>
    <t xml:space="preserve">          3485.46</t>
  </si>
  <si>
    <t xml:space="preserve">         3485.46</t>
  </si>
  <si>
    <t xml:space="preserve">           675.60</t>
  </si>
  <si>
    <t xml:space="preserve">          675.60</t>
  </si>
  <si>
    <t xml:space="preserve">          3704.00</t>
  </si>
  <si>
    <t xml:space="preserve">         3704.00</t>
  </si>
  <si>
    <t xml:space="preserve">           364.00</t>
  </si>
  <si>
    <t xml:space="preserve">          364.00</t>
  </si>
  <si>
    <t xml:space="preserve">          3137.50</t>
  </si>
  <si>
    <t xml:space="preserve">         3137.50</t>
  </si>
  <si>
    <t xml:space="preserve">           410.60</t>
  </si>
  <si>
    <t xml:space="preserve">          410.60</t>
  </si>
  <si>
    <t xml:space="preserve">          2203.30</t>
  </si>
  <si>
    <t xml:space="preserve">         2203.30</t>
  </si>
  <si>
    <t xml:space="preserve">          1052.70</t>
  </si>
  <si>
    <t xml:space="preserve">         1052.70</t>
  </si>
  <si>
    <t xml:space="preserve">          1598.40</t>
  </si>
  <si>
    <t xml:space="preserve">         1598.40</t>
  </si>
  <si>
    <t xml:space="preserve">         11281.00</t>
  </si>
  <si>
    <t xml:space="preserve">        11281.00</t>
  </si>
  <si>
    <t>4900002251</t>
  </si>
  <si>
    <t xml:space="preserve">           226.85</t>
  </si>
  <si>
    <t xml:space="preserve">          226.85</t>
  </si>
  <si>
    <t>4900002252</t>
  </si>
  <si>
    <t>4900002253</t>
  </si>
  <si>
    <t>4900002254</t>
  </si>
  <si>
    <t xml:space="preserve">           714.40</t>
  </si>
  <si>
    <t xml:space="preserve">          714.40</t>
  </si>
  <si>
    <t>4900002255</t>
  </si>
  <si>
    <t>4900002256</t>
  </si>
  <si>
    <t xml:space="preserve">         33253.76</t>
  </si>
  <si>
    <t xml:space="preserve">        33253.76</t>
  </si>
  <si>
    <t>4900002257</t>
  </si>
  <si>
    <t>4900002258</t>
  </si>
  <si>
    <t>4900002259</t>
  </si>
  <si>
    <t>4900002260</t>
  </si>
  <si>
    <t>4900002261</t>
  </si>
  <si>
    <t xml:space="preserve">          2676.58</t>
  </si>
  <si>
    <t xml:space="preserve">         2676.58</t>
  </si>
  <si>
    <t>4900002262</t>
  </si>
  <si>
    <t>4900002263</t>
  </si>
  <si>
    <t xml:space="preserve">         16452.00</t>
  </si>
  <si>
    <t xml:space="preserve">        16452.00</t>
  </si>
  <si>
    <t>4900002264</t>
  </si>
  <si>
    <t xml:space="preserve">         20733.90</t>
  </si>
  <si>
    <t xml:space="preserve">        20733.90</t>
  </si>
  <si>
    <t>4900002265</t>
  </si>
  <si>
    <t xml:space="preserve">          3224.18</t>
  </si>
  <si>
    <t xml:space="preserve">         3224.18</t>
  </si>
  <si>
    <t>4900002266</t>
  </si>
  <si>
    <t xml:space="preserve">            54.92</t>
  </si>
  <si>
    <t xml:space="preserve">           54.92</t>
  </si>
  <si>
    <t xml:space="preserve">          2875.18</t>
  </si>
  <si>
    <t xml:space="preserve">         2875.18</t>
  </si>
  <si>
    <t xml:space="preserve">          1638.00</t>
  </si>
  <si>
    <t xml:space="preserve">         1638.00</t>
  </si>
  <si>
    <t xml:space="preserve">           582.90</t>
  </si>
  <si>
    <t xml:space="preserve">          582.90</t>
  </si>
  <si>
    <t xml:space="preserve">           731.63</t>
  </si>
  <si>
    <t xml:space="preserve">          731.63</t>
  </si>
  <si>
    <t xml:space="preserve">          3684.00</t>
  </si>
  <si>
    <t xml:space="preserve">         3684.00</t>
  </si>
  <si>
    <t xml:space="preserve">         16308.84</t>
  </si>
  <si>
    <t xml:space="preserve">        16308.84</t>
  </si>
  <si>
    <t xml:space="preserve">          1683.46</t>
  </si>
  <si>
    <t xml:space="preserve">         1683.46</t>
  </si>
  <si>
    <t xml:space="preserve">           202.08</t>
  </si>
  <si>
    <t xml:space="preserve">          202.08</t>
  </si>
  <si>
    <t xml:space="preserve">            90.54</t>
  </si>
  <si>
    <t xml:space="preserve">           90.54</t>
  </si>
  <si>
    <t>4900002267</t>
  </si>
  <si>
    <t xml:space="preserve">          3180.61</t>
  </si>
  <si>
    <t xml:space="preserve">         3180.61</t>
  </si>
  <si>
    <t xml:space="preserve">          1469.52</t>
  </si>
  <si>
    <t xml:space="preserve">         1469.52</t>
  </si>
  <si>
    <t xml:space="preserve">           222.15</t>
  </si>
  <si>
    <t xml:space="preserve">          222.15</t>
  </si>
  <si>
    <t>4900002268</t>
  </si>
  <si>
    <t xml:space="preserve">           303.12</t>
  </si>
  <si>
    <t xml:space="preserve">          303.12</t>
  </si>
  <si>
    <t>4900002269</t>
  </si>
  <si>
    <t xml:space="preserve">          3339.96</t>
  </si>
  <si>
    <t xml:space="preserve">         3339.96</t>
  </si>
  <si>
    <t>4900002270</t>
  </si>
  <si>
    <t xml:space="preserve">          1486.32</t>
  </si>
  <si>
    <t xml:space="preserve">         1486.32</t>
  </si>
  <si>
    <t xml:space="preserve">          5597.86</t>
  </si>
  <si>
    <t xml:space="preserve">         5597.86</t>
  </si>
  <si>
    <t xml:space="preserve">          2510.00</t>
  </si>
  <si>
    <t xml:space="preserve">         2510.00</t>
  </si>
  <si>
    <t xml:space="preserve">          1111.44</t>
  </si>
  <si>
    <t xml:space="preserve">         1111.44</t>
  </si>
  <si>
    <t xml:space="preserve">           599.80</t>
  </si>
  <si>
    <t xml:space="preserve">          599.80</t>
  </si>
  <si>
    <t xml:space="preserve">          1515.54</t>
  </si>
  <si>
    <t xml:space="preserve">         1515.54</t>
  </si>
  <si>
    <t xml:space="preserve">           800.80</t>
  </si>
  <si>
    <t xml:space="preserve">          800.80</t>
  </si>
  <si>
    <t xml:space="preserve">           452.16</t>
  </si>
  <si>
    <t xml:space="preserve">          452.16</t>
  </si>
  <si>
    <t xml:space="preserve">          1006.06</t>
  </si>
  <si>
    <t xml:space="preserve">         1006.06</t>
  </si>
  <si>
    <t xml:space="preserve">          4057.20</t>
  </si>
  <si>
    <t xml:space="preserve">         4057.20</t>
  </si>
  <si>
    <t>4900002271</t>
  </si>
  <si>
    <t>4900002272</t>
  </si>
  <si>
    <t>4900002273</t>
  </si>
  <si>
    <t>4900002274</t>
  </si>
  <si>
    <t>4900002275</t>
  </si>
  <si>
    <t xml:space="preserve">           630.52</t>
  </si>
  <si>
    <t xml:space="preserve">          630.52</t>
  </si>
  <si>
    <t xml:space="preserve">         10785.63</t>
  </si>
  <si>
    <t xml:space="preserve">        10785.63</t>
  </si>
  <si>
    <t>4900002276</t>
  </si>
  <si>
    <t xml:space="preserve">          2785.09</t>
  </si>
  <si>
    <t xml:space="preserve">         2785.09</t>
  </si>
  <si>
    <t xml:space="preserve">          8325.03</t>
  </si>
  <si>
    <t xml:space="preserve">         8325.03</t>
  </si>
  <si>
    <t xml:space="preserve">          1645.20</t>
  </si>
  <si>
    <t xml:space="preserve">         1645.20</t>
  </si>
  <si>
    <t>4900002277</t>
  </si>
  <si>
    <t xml:space="preserve">           847.80</t>
  </si>
  <si>
    <t xml:space="preserve">          847.80</t>
  </si>
  <si>
    <t xml:space="preserve">            74.68</t>
  </si>
  <si>
    <t xml:space="preserve">           74.68</t>
  </si>
  <si>
    <t>4900002278</t>
  </si>
  <si>
    <t xml:space="preserve">           734.76</t>
  </si>
  <si>
    <t xml:space="preserve">          734.76</t>
  </si>
  <si>
    <t xml:space="preserve">          1980.00</t>
  </si>
  <si>
    <t xml:space="preserve">         1980.00</t>
  </si>
  <si>
    <t xml:space="preserve">          1783.60</t>
  </si>
  <si>
    <t xml:space="preserve">         1783.60</t>
  </si>
  <si>
    <t xml:space="preserve">          2309.21</t>
  </si>
  <si>
    <t xml:space="preserve">         2309.21</t>
  </si>
  <si>
    <t xml:space="preserve">          9934.02</t>
  </si>
  <si>
    <t xml:space="preserve">         9934.02</t>
  </si>
  <si>
    <t xml:space="preserve">          1646.28</t>
  </si>
  <si>
    <t xml:space="preserve">         1646.28</t>
  </si>
  <si>
    <t xml:space="preserve">           149.36</t>
  </si>
  <si>
    <t xml:space="preserve">          149.36</t>
  </si>
  <si>
    <t xml:space="preserve">          2749.80</t>
  </si>
  <si>
    <t xml:space="preserve">         2749.80</t>
  </si>
  <si>
    <t xml:space="preserve">          6850.26</t>
  </si>
  <si>
    <t xml:space="preserve">         6850.26</t>
  </si>
  <si>
    <t xml:space="preserve">           359.88</t>
  </si>
  <si>
    <t xml:space="preserve">          359.88</t>
  </si>
  <si>
    <t>4900002279</t>
  </si>
  <si>
    <t xml:space="preserve">          3395.25</t>
  </si>
  <si>
    <t xml:space="preserve">         3395.25</t>
  </si>
  <si>
    <t xml:space="preserve">          3513.12</t>
  </si>
  <si>
    <t xml:space="preserve">         3513.12</t>
  </si>
  <si>
    <t xml:space="preserve">           466.32</t>
  </si>
  <si>
    <t xml:space="preserve">          466.32</t>
  </si>
  <si>
    <t xml:space="preserve">          3914.25</t>
  </si>
  <si>
    <t xml:space="preserve">         3914.25</t>
  </si>
  <si>
    <t xml:space="preserve">          1190.56</t>
  </si>
  <si>
    <t xml:space="preserve">         1190.56</t>
  </si>
  <si>
    <t xml:space="preserve">          2136.00</t>
  </si>
  <si>
    <t xml:space="preserve">         2136.00</t>
  </si>
  <si>
    <t xml:space="preserve">          4279.65</t>
  </si>
  <si>
    <t xml:space="preserve">         4279.65</t>
  </si>
  <si>
    <t xml:space="preserve">           757.80</t>
  </si>
  <si>
    <t xml:space="preserve">          757.80</t>
  </si>
  <si>
    <t>4900002280</t>
  </si>
  <si>
    <t xml:space="preserve">         10032.00</t>
  </si>
  <si>
    <t xml:space="preserve">        10032.00</t>
  </si>
  <si>
    <t>20240509</t>
  </si>
  <si>
    <t>4900002281</t>
  </si>
  <si>
    <t>4900002282</t>
  </si>
  <si>
    <t>4900002283</t>
  </si>
  <si>
    <t>4900002284</t>
  </si>
  <si>
    <t>4900002285</t>
  </si>
  <si>
    <t>4900002286</t>
  </si>
  <si>
    <t>4900002287</t>
  </si>
  <si>
    <t>4900002288</t>
  </si>
  <si>
    <t>4900002289</t>
  </si>
  <si>
    <t>4900002290</t>
  </si>
  <si>
    <t xml:space="preserve">         34466.25</t>
  </si>
  <si>
    <t xml:space="preserve">        34466.25</t>
  </si>
  <si>
    <t>4900002291</t>
  </si>
  <si>
    <t>4900002292</t>
  </si>
  <si>
    <t>4900002293</t>
  </si>
  <si>
    <t xml:space="preserve">            45.37</t>
  </si>
  <si>
    <t xml:space="preserve">           45.37</t>
  </si>
  <si>
    <t>4900002294</t>
  </si>
  <si>
    <t>4900002295</t>
  </si>
  <si>
    <t>4900002296</t>
  </si>
  <si>
    <t>4900002297</t>
  </si>
  <si>
    <t xml:space="preserve">           142.88</t>
  </si>
  <si>
    <t xml:space="preserve">          142.88</t>
  </si>
  <si>
    <t xml:space="preserve">           121.62</t>
  </si>
  <si>
    <t xml:space="preserve">          121.62</t>
  </si>
  <si>
    <t>4900002298</t>
  </si>
  <si>
    <t xml:space="preserve">         34271.25</t>
  </si>
  <si>
    <t xml:space="preserve">        34271.25</t>
  </si>
  <si>
    <t>4900002299</t>
  </si>
  <si>
    <t>20240516</t>
  </si>
  <si>
    <t>4900002300</t>
  </si>
  <si>
    <t>4900002301</t>
  </si>
  <si>
    <t>4900002302</t>
  </si>
  <si>
    <t>4900002303</t>
  </si>
  <si>
    <t>4900002304</t>
  </si>
  <si>
    <t>4900002305</t>
  </si>
  <si>
    <t xml:space="preserve">          9923.10</t>
  </si>
  <si>
    <t xml:space="preserve">         9923.10</t>
  </si>
  <si>
    <t xml:space="preserve">            95.78</t>
  </si>
  <si>
    <t xml:space="preserve">           95.78</t>
  </si>
  <si>
    <t>4900002306</t>
  </si>
  <si>
    <t xml:space="preserve">         24264.80</t>
  </si>
  <si>
    <t xml:space="preserve">        24264.80</t>
  </si>
  <si>
    <t>4900002307</t>
  </si>
  <si>
    <t>4900002308</t>
  </si>
  <si>
    <t>4900002309</t>
  </si>
  <si>
    <t xml:space="preserve">         16789.50</t>
  </si>
  <si>
    <t xml:space="preserve">        16789.50</t>
  </si>
  <si>
    <t>4900002310</t>
  </si>
  <si>
    <t>4900002311</t>
  </si>
  <si>
    <t xml:space="preserve">         11241.04</t>
  </si>
  <si>
    <t xml:space="preserve">        11241.04</t>
  </si>
  <si>
    <t xml:space="preserve">         11339.37</t>
  </si>
  <si>
    <t xml:space="preserve">        11339.37</t>
  </si>
  <si>
    <t>4900002312</t>
  </si>
  <si>
    <t>4900002313</t>
  </si>
  <si>
    <t xml:space="preserve">         13865.60</t>
  </si>
  <si>
    <t xml:space="preserve">        13865.60</t>
  </si>
  <si>
    <t xml:space="preserve">          4789.00</t>
  </si>
  <si>
    <t xml:space="preserve">         4789.00</t>
  </si>
  <si>
    <t>4900002314</t>
  </si>
  <si>
    <t xml:space="preserve">          6722.10</t>
  </si>
  <si>
    <t xml:space="preserve">         6722.10</t>
  </si>
  <si>
    <t>4900002315</t>
  </si>
  <si>
    <t xml:space="preserve">           891.36</t>
  </si>
  <si>
    <t xml:space="preserve">          891.36</t>
  </si>
  <si>
    <t>4900002316</t>
  </si>
  <si>
    <t xml:space="preserve">         19173.99</t>
  </si>
  <si>
    <t xml:space="preserve">        19173.99</t>
  </si>
  <si>
    <t>4900002317</t>
  </si>
  <si>
    <t xml:space="preserve">          3056.55</t>
  </si>
  <si>
    <t xml:space="preserve">         3056.55</t>
  </si>
  <si>
    <t xml:space="preserve">          3228.75</t>
  </si>
  <si>
    <t xml:space="preserve">         3228.75</t>
  </si>
  <si>
    <t>4900002318</t>
  </si>
  <si>
    <t>4900002319</t>
  </si>
  <si>
    <t xml:space="preserve">          3616.20</t>
  </si>
  <si>
    <t xml:space="preserve">         3616.20</t>
  </si>
  <si>
    <t>4900002320</t>
  </si>
  <si>
    <t>4900002321</t>
  </si>
  <si>
    <t>4900002322</t>
  </si>
  <si>
    <t xml:space="preserve">         12280.96</t>
  </si>
  <si>
    <t xml:space="preserve">        12280.96</t>
  </si>
  <si>
    <t xml:space="preserve">          2479.68</t>
  </si>
  <si>
    <t xml:space="preserve">         2479.68</t>
  </si>
  <si>
    <t>4900002323</t>
  </si>
  <si>
    <t>4900002324</t>
  </si>
  <si>
    <t xml:space="preserve">          4801.50</t>
  </si>
  <si>
    <t xml:space="preserve">         4801.50</t>
  </si>
  <si>
    <t>4900002325</t>
  </si>
  <si>
    <t xml:space="preserve">         21986.88</t>
  </si>
  <si>
    <t xml:space="preserve">        21986.88</t>
  </si>
  <si>
    <t>4900002326</t>
  </si>
  <si>
    <t xml:space="preserve">          5793.81</t>
  </si>
  <si>
    <t xml:space="preserve">         5793.81</t>
  </si>
  <si>
    <t>4900002327</t>
  </si>
  <si>
    <t>4900002328</t>
  </si>
  <si>
    <t xml:space="preserve">         22358.28</t>
  </si>
  <si>
    <t xml:space="preserve">        22358.28</t>
  </si>
  <si>
    <t xml:space="preserve">         15523.83</t>
  </si>
  <si>
    <t xml:space="preserve">        15523.83</t>
  </si>
  <si>
    <t>4900002329</t>
  </si>
  <si>
    <t>4900002330</t>
  </si>
  <si>
    <t>4900002331</t>
  </si>
  <si>
    <t xml:space="preserve">         14237.00</t>
  </si>
  <si>
    <t xml:space="preserve">        14237.00</t>
  </si>
  <si>
    <t xml:space="preserve">           478.90</t>
  </si>
  <si>
    <t xml:space="preserve">          478.90</t>
  </si>
  <si>
    <t>4900002332</t>
  </si>
  <si>
    <t xml:space="preserve">         28671.30</t>
  </si>
  <si>
    <t xml:space="preserve">        28671.30</t>
  </si>
  <si>
    <t>4900002333</t>
  </si>
  <si>
    <t>4900002334</t>
  </si>
  <si>
    <t xml:space="preserve">         35438.76</t>
  </si>
  <si>
    <t xml:space="preserve">        35438.76</t>
  </si>
  <si>
    <t>4900002335</t>
  </si>
  <si>
    <t xml:space="preserve">         16292.08</t>
  </si>
  <si>
    <t xml:space="preserve">        16292.08</t>
  </si>
  <si>
    <t>4900002336</t>
  </si>
  <si>
    <t>4900002337</t>
  </si>
  <si>
    <t xml:space="preserve">         21541.20</t>
  </si>
  <si>
    <t xml:space="preserve">        21541.20</t>
  </si>
  <si>
    <t xml:space="preserve">          9763.74</t>
  </si>
  <si>
    <t xml:space="preserve">         9763.74</t>
  </si>
  <si>
    <t>4900002338</t>
  </si>
  <si>
    <t>4900002339</t>
  </si>
  <si>
    <t>4900002340</t>
  </si>
  <si>
    <t xml:space="preserve">          1536.50</t>
  </si>
  <si>
    <t xml:space="preserve">         1536.50</t>
  </si>
  <si>
    <t xml:space="preserve">          1420.65</t>
  </si>
  <si>
    <t xml:space="preserve">         1420.65</t>
  </si>
  <si>
    <t>4900002341</t>
  </si>
  <si>
    <t xml:space="preserve">           495.20</t>
  </si>
  <si>
    <t xml:space="preserve">          495.20</t>
  </si>
  <si>
    <t xml:space="preserve">         37324.35</t>
  </si>
  <si>
    <t xml:space="preserve">        37324.35</t>
  </si>
  <si>
    <t>4900002342</t>
  </si>
  <si>
    <t xml:space="preserve">         30866.85</t>
  </si>
  <si>
    <t xml:space="preserve">        30866.85</t>
  </si>
  <si>
    <t>4900002343</t>
  </si>
  <si>
    <t>4900002344</t>
  </si>
  <si>
    <t>4900002345</t>
  </si>
  <si>
    <t xml:space="preserve">          5063.80</t>
  </si>
  <si>
    <t xml:space="preserve">         5063.80</t>
  </si>
  <si>
    <t xml:space="preserve">          2006.20</t>
  </si>
  <si>
    <t xml:space="preserve">         2006.20</t>
  </si>
  <si>
    <t>4900002346</t>
  </si>
  <si>
    <t xml:space="preserve">          2170.20</t>
  </si>
  <si>
    <t xml:space="preserve">         2170.20</t>
  </si>
  <si>
    <t xml:space="preserve">          6580.80</t>
  </si>
  <si>
    <t xml:space="preserve">         6580.80</t>
  </si>
  <si>
    <t xml:space="preserve">          5627.00</t>
  </si>
  <si>
    <t xml:space="preserve">         5627.00</t>
  </si>
  <si>
    <t>4900002347</t>
  </si>
  <si>
    <t xml:space="preserve">         27838.80</t>
  </si>
  <si>
    <t xml:space="preserve">        27838.80</t>
  </si>
  <si>
    <t>4900002348</t>
  </si>
  <si>
    <t xml:space="preserve">            46.79</t>
  </si>
  <si>
    <t xml:space="preserve">           46.79</t>
  </si>
  <si>
    <t xml:space="preserve">            60.78</t>
  </si>
  <si>
    <t xml:space="preserve">           60.78</t>
  </si>
  <si>
    <t>4900002349</t>
  </si>
  <si>
    <t xml:space="preserve">           680.32</t>
  </si>
  <si>
    <t xml:space="preserve">          680.32</t>
  </si>
  <si>
    <t xml:space="preserve">           113.04</t>
  </si>
  <si>
    <t xml:space="preserve">          113.04</t>
  </si>
  <si>
    <t xml:space="preserve">         24804.12</t>
  </si>
  <si>
    <t xml:space="preserve">        24804.12</t>
  </si>
  <si>
    <t>4900002350</t>
  </si>
  <si>
    <t xml:space="preserve">          2446.50</t>
  </si>
  <si>
    <t xml:space="preserve">         2446.50</t>
  </si>
  <si>
    <t xml:space="preserve">          1777.92</t>
  </si>
  <si>
    <t xml:space="preserve">         1777.92</t>
  </si>
  <si>
    <t>4900002351</t>
  </si>
  <si>
    <t xml:space="preserve">           116.58</t>
  </si>
  <si>
    <t xml:space="preserve">          116.58</t>
  </si>
  <si>
    <t xml:space="preserve">          1019.66</t>
  </si>
  <si>
    <t xml:space="preserve">         1019.66</t>
  </si>
  <si>
    <t xml:space="preserve">           226.08</t>
  </si>
  <si>
    <t xml:space="preserve">          226.08</t>
  </si>
  <si>
    <t xml:space="preserve">            50.52</t>
  </si>
  <si>
    <t xml:space="preserve">           50.52</t>
  </si>
  <si>
    <t>4900002352</t>
  </si>
  <si>
    <t xml:space="preserve">            29.99</t>
  </si>
  <si>
    <t xml:space="preserve">           29.99</t>
  </si>
  <si>
    <t>4900002353</t>
  </si>
  <si>
    <t xml:space="preserve">           151.56</t>
  </si>
  <si>
    <t xml:space="preserve">          151.56</t>
  </si>
  <si>
    <t>4900002354</t>
  </si>
  <si>
    <t xml:space="preserve">          4530.50</t>
  </si>
  <si>
    <t xml:space="preserve">         4530.50</t>
  </si>
  <si>
    <t xml:space="preserve">          3956.40</t>
  </si>
  <si>
    <t xml:space="preserve">         3956.40</t>
  </si>
  <si>
    <t xml:space="preserve">          7828.80</t>
  </si>
  <si>
    <t xml:space="preserve">         7828.80</t>
  </si>
  <si>
    <t xml:space="preserve">          1066.80</t>
  </si>
  <si>
    <t xml:space="preserve">         1066.80</t>
  </si>
  <si>
    <t xml:space="preserve">          1414.56</t>
  </si>
  <si>
    <t xml:space="preserve">         1414.56</t>
  </si>
  <si>
    <t xml:space="preserve">          1859.38</t>
  </si>
  <si>
    <t xml:space="preserve">         1859.38</t>
  </si>
  <si>
    <t xml:space="preserve">            53.91</t>
  </si>
  <si>
    <t xml:space="preserve">           53.91</t>
  </si>
  <si>
    <t xml:space="preserve">          2246.30</t>
  </si>
  <si>
    <t xml:space="preserve">         2246.30</t>
  </si>
  <si>
    <t>4900002355</t>
  </si>
  <si>
    <t xml:space="preserve">          1920.24</t>
  </si>
  <si>
    <t xml:space="preserve">         1920.24</t>
  </si>
  <si>
    <t xml:space="preserve">          3049.90</t>
  </si>
  <si>
    <t xml:space="preserve">         3049.90</t>
  </si>
  <si>
    <t>4900002356</t>
  </si>
  <si>
    <t xml:space="preserve">         13688.64</t>
  </si>
  <si>
    <t xml:space="preserve">        13688.64</t>
  </si>
  <si>
    <t xml:space="preserve">           701.04</t>
  </si>
  <si>
    <t xml:space="preserve">          701.04</t>
  </si>
  <si>
    <t xml:space="preserve">          3379.84</t>
  </si>
  <si>
    <t xml:space="preserve">         3379.84</t>
  </si>
  <si>
    <t xml:space="preserve">          9762.96</t>
  </si>
  <si>
    <t xml:space="preserve">         9762.96</t>
  </si>
  <si>
    <t>4900002357</t>
  </si>
  <si>
    <t xml:space="preserve">          1519.22</t>
  </si>
  <si>
    <t xml:space="preserve">         1519.22</t>
  </si>
  <si>
    <t xml:space="preserve">           593.46</t>
  </si>
  <si>
    <t xml:space="preserve">          593.46</t>
  </si>
  <si>
    <t xml:space="preserve">          1809.18</t>
  </si>
  <si>
    <t xml:space="preserve">         1809.18</t>
  </si>
  <si>
    <t xml:space="preserve">          1418.97</t>
  </si>
  <si>
    <t xml:space="preserve">         1418.97</t>
  </si>
  <si>
    <t xml:space="preserve">           873.60</t>
  </si>
  <si>
    <t xml:space="preserve">          873.60</t>
  </si>
  <si>
    <t xml:space="preserve">           921.00</t>
  </si>
  <si>
    <t xml:space="preserve">          921.00</t>
  </si>
  <si>
    <t xml:space="preserve">          1398.60</t>
  </si>
  <si>
    <t xml:space="preserve">         1398.60</t>
  </si>
  <si>
    <t xml:space="preserve">          1367.83</t>
  </si>
  <si>
    <t xml:space="preserve">         1367.83</t>
  </si>
  <si>
    <t xml:space="preserve">          1364.04</t>
  </si>
  <si>
    <t xml:space="preserve">         1364.04</t>
  </si>
  <si>
    <t xml:space="preserve">           284.46</t>
  </si>
  <si>
    <t xml:space="preserve">          284.46</t>
  </si>
  <si>
    <t xml:space="preserve">          2060.58</t>
  </si>
  <si>
    <t xml:space="preserve">         2060.58</t>
  </si>
  <si>
    <t xml:space="preserve">           217.85</t>
  </si>
  <si>
    <t xml:space="preserve">          217.85</t>
  </si>
  <si>
    <t xml:space="preserve">          1466.56</t>
  </si>
  <si>
    <t xml:space="preserve">         1466.56</t>
  </si>
  <si>
    <t xml:space="preserve">          1234.71</t>
  </si>
  <si>
    <t xml:space="preserve">         1234.71</t>
  </si>
  <si>
    <t xml:space="preserve">          4296.64</t>
  </si>
  <si>
    <t xml:space="preserve">         4296.64</t>
  </si>
  <si>
    <t xml:space="preserve">          7131.06</t>
  </si>
  <si>
    <t xml:space="preserve">         7131.06</t>
  </si>
  <si>
    <t>4900002358</t>
  </si>
  <si>
    <t xml:space="preserve">           211.24</t>
  </si>
  <si>
    <t xml:space="preserve">          211.24</t>
  </si>
  <si>
    <t xml:space="preserve">          1703.84</t>
  </si>
  <si>
    <t xml:space="preserve">         1703.84</t>
  </si>
  <si>
    <t>4900002359</t>
  </si>
  <si>
    <t xml:space="preserve">          1482.84</t>
  </si>
  <si>
    <t xml:space="preserve">         1482.84</t>
  </si>
  <si>
    <t xml:space="preserve">           984.86</t>
  </si>
  <si>
    <t xml:space="preserve">          984.86</t>
  </si>
  <si>
    <t xml:space="preserve">           320.48</t>
  </si>
  <si>
    <t xml:space="preserve">          320.48</t>
  </si>
  <si>
    <t xml:space="preserve">          5749.29</t>
  </si>
  <si>
    <t xml:space="preserve">         5749.29</t>
  </si>
  <si>
    <t xml:space="preserve">         24005.70</t>
  </si>
  <si>
    <t xml:space="preserve">        24005.70</t>
  </si>
  <si>
    <t>4900002360</t>
  </si>
  <si>
    <t xml:space="preserve">          1633.62</t>
  </si>
  <si>
    <t xml:space="preserve">         1633.62</t>
  </si>
  <si>
    <t xml:space="preserve">          5026.40</t>
  </si>
  <si>
    <t xml:space="preserve">         5026.40</t>
  </si>
  <si>
    <t>4900002361</t>
  </si>
  <si>
    <t xml:space="preserve">          2292.80</t>
  </si>
  <si>
    <t xml:space="preserve">         2292.80</t>
  </si>
  <si>
    <t>4900002362</t>
  </si>
  <si>
    <t xml:space="preserve">          3617.00</t>
  </si>
  <si>
    <t xml:space="preserve">         3617.00</t>
  </si>
  <si>
    <t xml:space="preserve">         13123.20</t>
  </si>
  <si>
    <t xml:space="preserve">        13123.20</t>
  </si>
  <si>
    <t xml:space="preserve">          1433.00</t>
  </si>
  <si>
    <t xml:space="preserve">         1433.00</t>
  </si>
  <si>
    <t xml:space="preserve">          4306.05</t>
  </si>
  <si>
    <t xml:space="preserve">         4306.05</t>
  </si>
  <si>
    <t>4900002363</t>
  </si>
  <si>
    <t xml:space="preserve">          6293.04</t>
  </si>
  <si>
    <t xml:space="preserve">         6293.04</t>
  </si>
  <si>
    <t>4900002364</t>
  </si>
  <si>
    <t xml:space="preserve">          8354.61</t>
  </si>
  <si>
    <t xml:space="preserve">         8354.61</t>
  </si>
  <si>
    <t>4900002365</t>
  </si>
  <si>
    <t xml:space="preserve">         15364.80</t>
  </si>
  <si>
    <t xml:space="preserve">        15364.80</t>
  </si>
  <si>
    <t xml:space="preserve">          5752.00</t>
  </si>
  <si>
    <t xml:space="preserve">         5752.00</t>
  </si>
  <si>
    <t>4900002366</t>
  </si>
  <si>
    <t xml:space="preserve">          7827.75</t>
  </si>
  <si>
    <t xml:space="preserve">         7827.75</t>
  </si>
  <si>
    <t>4900002367</t>
  </si>
  <si>
    <t xml:space="preserve">         27731.20</t>
  </si>
  <si>
    <t xml:space="preserve">        27731.20</t>
  </si>
  <si>
    <t>4900002368</t>
  </si>
  <si>
    <t xml:space="preserve">         31178.54</t>
  </si>
  <si>
    <t xml:space="preserve">        31178.54</t>
  </si>
  <si>
    <t>4900002369</t>
  </si>
  <si>
    <t>4900002370</t>
  </si>
  <si>
    <t xml:space="preserve">         13490.64</t>
  </si>
  <si>
    <t xml:space="preserve">        13490.64</t>
  </si>
  <si>
    <t>4900002371</t>
  </si>
  <si>
    <t>4900002372</t>
  </si>
  <si>
    <t xml:space="preserve">          8680.80</t>
  </si>
  <si>
    <t xml:space="preserve">         8680.80</t>
  </si>
  <si>
    <t>4900002373</t>
  </si>
  <si>
    <t xml:space="preserve">          1013.76</t>
  </si>
  <si>
    <t xml:space="preserve">         1013.76</t>
  </si>
  <si>
    <t xml:space="preserve">           739.08</t>
  </si>
  <si>
    <t xml:space="preserve">          739.08</t>
  </si>
  <si>
    <t xml:space="preserve">          1222.32</t>
  </si>
  <si>
    <t xml:space="preserve">         1222.32</t>
  </si>
  <si>
    <t xml:space="preserve">          1346.40</t>
  </si>
  <si>
    <t xml:space="preserve">         1346.40</t>
  </si>
  <si>
    <t xml:space="preserve">          1344.24</t>
  </si>
  <si>
    <t xml:space="preserve">         1344.24</t>
  </si>
  <si>
    <t xml:space="preserve">           318.30</t>
  </si>
  <si>
    <t xml:space="preserve">          318.30</t>
  </si>
  <si>
    <t xml:space="preserve">          1537.35</t>
  </si>
  <si>
    <t xml:space="preserve">         1537.35</t>
  </si>
  <si>
    <t xml:space="preserve">           438.00</t>
  </si>
  <si>
    <t xml:space="preserve">          438.00</t>
  </si>
  <si>
    <t xml:space="preserve">          2483.72</t>
  </si>
  <si>
    <t xml:space="preserve">         2483.72</t>
  </si>
  <si>
    <t xml:space="preserve">          1350.67</t>
  </si>
  <si>
    <t xml:space="preserve">         1350.67</t>
  </si>
  <si>
    <t xml:space="preserve">          2062.98</t>
  </si>
  <si>
    <t xml:space="preserve">         2062.98</t>
  </si>
  <si>
    <t xml:space="preserve">            43.76</t>
  </si>
  <si>
    <t xml:space="preserve">           43.76</t>
  </si>
  <si>
    <t>4900002374</t>
  </si>
  <si>
    <t xml:space="preserve">           444.48</t>
  </si>
  <si>
    <t xml:space="preserve">          444.48</t>
  </si>
  <si>
    <t xml:space="preserve">          1263.53</t>
  </si>
  <si>
    <t xml:space="preserve">         1263.53</t>
  </si>
  <si>
    <t xml:space="preserve">           713.96</t>
  </si>
  <si>
    <t xml:space="preserve">          713.96</t>
  </si>
  <si>
    <t xml:space="preserve">           218.40</t>
  </si>
  <si>
    <t xml:space="preserve">          218.40</t>
  </si>
  <si>
    <t xml:space="preserve">          4308.02</t>
  </si>
  <si>
    <t xml:space="preserve">         4308.02</t>
  </si>
  <si>
    <t xml:space="preserve">           251.00</t>
  </si>
  <si>
    <t xml:space="preserve">          251.00</t>
  </si>
  <si>
    <t xml:space="preserve">           763.02</t>
  </si>
  <si>
    <t xml:space="preserve">          763.02</t>
  </si>
  <si>
    <t xml:space="preserve">           880.74</t>
  </si>
  <si>
    <t xml:space="preserve">          880.74</t>
  </si>
  <si>
    <t xml:space="preserve">           987.84</t>
  </si>
  <si>
    <t xml:space="preserve">          987.84</t>
  </si>
  <si>
    <t xml:space="preserve">          2336.00</t>
  </si>
  <si>
    <t xml:space="preserve">         2336.00</t>
  </si>
  <si>
    <t xml:space="preserve">           466.80</t>
  </si>
  <si>
    <t xml:space="preserve">          466.80</t>
  </si>
  <si>
    <t>4900002375</t>
  </si>
  <si>
    <t>4900002376</t>
  </si>
  <si>
    <t xml:space="preserve">          1497.78</t>
  </si>
  <si>
    <t xml:space="preserve">         1497.78</t>
  </si>
  <si>
    <t xml:space="preserve">          8809.92</t>
  </si>
  <si>
    <t xml:space="preserve">         8809.92</t>
  </si>
  <si>
    <t xml:space="preserve">          3753.32</t>
  </si>
  <si>
    <t xml:space="preserve">         3753.32</t>
  </si>
  <si>
    <t xml:space="preserve">          1219.96</t>
  </si>
  <si>
    <t xml:space="preserve">         1219.96</t>
  </si>
  <si>
    <t xml:space="preserve">           707.28</t>
  </si>
  <si>
    <t xml:space="preserve">          707.28</t>
  </si>
  <si>
    <t xml:space="preserve">           209.93</t>
  </si>
  <si>
    <t xml:space="preserve">          209.93</t>
  </si>
  <si>
    <t>4900002377</t>
  </si>
  <si>
    <t xml:space="preserve">           148.16</t>
  </si>
  <si>
    <t xml:space="preserve">          148.16</t>
  </si>
  <si>
    <t xml:space="preserve">          5024.97</t>
  </si>
  <si>
    <t xml:space="preserve">         5024.97</t>
  </si>
  <si>
    <t xml:space="preserve">          1380.50</t>
  </si>
  <si>
    <t xml:space="preserve">         1380.50</t>
  </si>
  <si>
    <t xml:space="preserve">          1161.82</t>
  </si>
  <si>
    <t xml:space="preserve">         1161.82</t>
  </si>
  <si>
    <t xml:space="preserve">          2948.40</t>
  </si>
  <si>
    <t xml:space="preserve">         2948.40</t>
  </si>
  <si>
    <t xml:space="preserve">           198.52</t>
  </si>
  <si>
    <t xml:space="preserve">          198.52</t>
  </si>
  <si>
    <t xml:space="preserve">            56.52</t>
  </si>
  <si>
    <t xml:space="preserve">           56.52</t>
  </si>
  <si>
    <t>4900002378</t>
  </si>
  <si>
    <t>4900002379</t>
  </si>
  <si>
    <t xml:space="preserve">         24204.00</t>
  </si>
  <si>
    <t xml:space="preserve">        24204.00</t>
  </si>
  <si>
    <t>4900002380</t>
  </si>
  <si>
    <t xml:space="preserve">           167.97</t>
  </si>
  <si>
    <t xml:space="preserve">          167.97</t>
  </si>
  <si>
    <t>4900002381</t>
  </si>
  <si>
    <t xml:space="preserve">          1007.82</t>
  </si>
  <si>
    <t xml:space="preserve">         1007.82</t>
  </si>
  <si>
    <t>4900002382</t>
  </si>
  <si>
    <t xml:space="preserve">          3759.50</t>
  </si>
  <si>
    <t xml:space="preserve">         3759.50</t>
  </si>
  <si>
    <t xml:space="preserve">          4531.28</t>
  </si>
  <si>
    <t xml:space="preserve">         4531.28</t>
  </si>
  <si>
    <t xml:space="preserve">          1267.44</t>
  </si>
  <si>
    <t xml:space="preserve">         1267.44</t>
  </si>
  <si>
    <t xml:space="preserve">          1373.00</t>
  </si>
  <si>
    <t xml:space="preserve">         1373.00</t>
  </si>
  <si>
    <t xml:space="preserve">         12557.42</t>
  </si>
  <si>
    <t xml:space="preserve">        12557.42</t>
  </si>
  <si>
    <t xml:space="preserve">          5513.76</t>
  </si>
  <si>
    <t xml:space="preserve">         5513.76</t>
  </si>
  <si>
    <t xml:space="preserve">            99.26</t>
  </si>
  <si>
    <t xml:space="preserve">           99.26</t>
  </si>
  <si>
    <t xml:space="preserve">           700.20</t>
  </si>
  <si>
    <t xml:space="preserve">          700.20</t>
  </si>
  <si>
    <t xml:space="preserve">           200.30</t>
  </si>
  <si>
    <t xml:space="preserve">          200.30</t>
  </si>
  <si>
    <t>4900002383</t>
  </si>
  <si>
    <t>4900002384</t>
  </si>
  <si>
    <t>4900002385</t>
  </si>
  <si>
    <t>4900002386</t>
  </si>
  <si>
    <t>4900002387</t>
  </si>
  <si>
    <t>4900002388</t>
  </si>
  <si>
    <t>4900002389</t>
  </si>
  <si>
    <t>4900002390</t>
  </si>
  <si>
    <t>4900002391</t>
  </si>
  <si>
    <t xml:space="preserve">           615.89</t>
  </si>
  <si>
    <t xml:space="preserve">          615.89</t>
  </si>
  <si>
    <t xml:space="preserve">           355.44</t>
  </si>
  <si>
    <t xml:space="preserve">          355.44</t>
  </si>
  <si>
    <t>4900002392</t>
  </si>
  <si>
    <t xml:space="preserve">          1036.32</t>
  </si>
  <si>
    <t xml:space="preserve">         1036.32</t>
  </si>
  <si>
    <t xml:space="preserve">          6745.23</t>
  </si>
  <si>
    <t xml:space="preserve">         6745.23</t>
  </si>
  <si>
    <t xml:space="preserve">           666.72</t>
  </si>
  <si>
    <t xml:space="preserve">          666.72</t>
  </si>
  <si>
    <t xml:space="preserve">           977.96</t>
  </si>
  <si>
    <t xml:space="preserve">          977.96</t>
  </si>
  <si>
    <t xml:space="preserve">          1722.78</t>
  </si>
  <si>
    <t xml:space="preserve">         1722.78</t>
  </si>
  <si>
    <t xml:space="preserve">           440.37</t>
  </si>
  <si>
    <t xml:space="preserve">          440.37</t>
  </si>
  <si>
    <t xml:space="preserve">          1001.50</t>
  </si>
  <si>
    <t xml:space="preserve">         1001.50</t>
  </si>
  <si>
    <t xml:space="preserve">          6927.63</t>
  </si>
  <si>
    <t xml:space="preserve">         6927.63</t>
  </si>
  <si>
    <t xml:space="preserve">          2987.20</t>
  </si>
  <si>
    <t xml:space="preserve">         2987.20</t>
  </si>
  <si>
    <t xml:space="preserve">          1669.98</t>
  </si>
  <si>
    <t xml:space="preserve">         1669.98</t>
  </si>
  <si>
    <t xml:space="preserve">           622.40</t>
  </si>
  <si>
    <t xml:space="preserve">          622.40</t>
  </si>
  <si>
    <t xml:space="preserve">          1135.20</t>
  </si>
  <si>
    <t xml:space="preserve">         1135.20</t>
  </si>
  <si>
    <t>4900002393</t>
  </si>
  <si>
    <t>4900002394</t>
  </si>
  <si>
    <t xml:space="preserve">         24165.76</t>
  </si>
  <si>
    <t xml:space="preserve">        24165.76</t>
  </si>
  <si>
    <t xml:space="preserve">         13844.88</t>
  </si>
  <si>
    <t xml:space="preserve">        13844.88</t>
  </si>
  <si>
    <t>4900002395</t>
  </si>
  <si>
    <t xml:space="preserve">         29577.24</t>
  </si>
  <si>
    <t xml:space="preserve">        29577.24</t>
  </si>
  <si>
    <t>4900002396</t>
  </si>
  <si>
    <t xml:space="preserve">            83.40</t>
  </si>
  <si>
    <t xml:space="preserve">           83.40</t>
  </si>
  <si>
    <t>4900002397</t>
  </si>
  <si>
    <t xml:space="preserve">           348.56</t>
  </si>
  <si>
    <t xml:space="preserve">          348.56</t>
  </si>
  <si>
    <t>4900002398</t>
  </si>
  <si>
    <t xml:space="preserve">          1130.40</t>
  </si>
  <si>
    <t xml:space="preserve">         1130.40</t>
  </si>
  <si>
    <t xml:space="preserve">          1615.76</t>
  </si>
  <si>
    <t xml:space="preserve">         1615.76</t>
  </si>
  <si>
    <t xml:space="preserve">           505.20</t>
  </si>
  <si>
    <t xml:space="preserve">          505.20</t>
  </si>
  <si>
    <t xml:space="preserve">          1797.04</t>
  </si>
  <si>
    <t xml:space="preserve">         1797.04</t>
  </si>
  <si>
    <t xml:space="preserve">         59.000</t>
  </si>
  <si>
    <t xml:space="preserve">          2363.54</t>
  </si>
  <si>
    <t xml:space="preserve">         2363.54</t>
  </si>
  <si>
    <t>4900002399</t>
  </si>
  <si>
    <t xml:space="preserve">          5669.28</t>
  </si>
  <si>
    <t xml:space="preserve">         5669.28</t>
  </si>
  <si>
    <t xml:space="preserve">          2459.60</t>
  </si>
  <si>
    <t xml:space="preserve">         2459.60</t>
  </si>
  <si>
    <t xml:space="preserve">           539.82</t>
  </si>
  <si>
    <t xml:space="preserve">          539.82</t>
  </si>
  <si>
    <t xml:space="preserve">          6457.40</t>
  </si>
  <si>
    <t xml:space="preserve">         6457.40</t>
  </si>
  <si>
    <t xml:space="preserve">           444.30</t>
  </si>
  <si>
    <t xml:space="preserve">          444.30</t>
  </si>
  <si>
    <t>4900002400</t>
  </si>
  <si>
    <t xml:space="preserve">           627.50</t>
  </si>
  <si>
    <t xml:space="preserve">          627.50</t>
  </si>
  <si>
    <t xml:space="preserve">           701.80</t>
  </si>
  <si>
    <t xml:space="preserve">          701.80</t>
  </si>
  <si>
    <t>4900002401</t>
  </si>
  <si>
    <t xml:space="preserve">          3808.80</t>
  </si>
  <si>
    <t xml:space="preserve">         3808.80</t>
  </si>
  <si>
    <t xml:space="preserve">          1013.40</t>
  </si>
  <si>
    <t xml:space="preserve">         1013.40</t>
  </si>
  <si>
    <t xml:space="preserve">          5737.88</t>
  </si>
  <si>
    <t xml:space="preserve">         5737.88</t>
  </si>
  <si>
    <t xml:space="preserve">           814.88</t>
  </si>
  <si>
    <t xml:space="preserve">          814.88</t>
  </si>
  <si>
    <t xml:space="preserve">          2723.00</t>
  </si>
  <si>
    <t xml:space="preserve">         2723.00</t>
  </si>
  <si>
    <t xml:space="preserve">          1244.04</t>
  </si>
  <si>
    <t xml:space="preserve">         1244.04</t>
  </si>
  <si>
    <t xml:space="preserve">          2081.20</t>
  </si>
  <si>
    <t xml:space="preserve">         2081.20</t>
  </si>
  <si>
    <t xml:space="preserve">          2976.40</t>
  </si>
  <si>
    <t xml:space="preserve">         2976.40</t>
  </si>
  <si>
    <t xml:space="preserve">        144.000</t>
  </si>
  <si>
    <t xml:space="preserve">          4389.12</t>
  </si>
  <si>
    <t xml:space="preserve">         4389.12</t>
  </si>
  <si>
    <t xml:space="preserve">          2260.80</t>
  </si>
  <si>
    <t xml:space="preserve">         2260.80</t>
  </si>
  <si>
    <t>4900002402</t>
  </si>
  <si>
    <t xml:space="preserve">          1999.35</t>
  </si>
  <si>
    <t xml:space="preserve">         1999.35</t>
  </si>
  <si>
    <t>4900002403</t>
  </si>
  <si>
    <t xml:space="preserve">        242.000</t>
  </si>
  <si>
    <t xml:space="preserve">         11521.62</t>
  </si>
  <si>
    <t xml:space="preserve">        11521.62</t>
  </si>
  <si>
    <t xml:space="preserve">          5768.64</t>
  </si>
  <si>
    <t xml:space="preserve">         5768.64</t>
  </si>
  <si>
    <t xml:space="preserve">        194.000</t>
  </si>
  <si>
    <t xml:space="preserve">          6760.90</t>
  </si>
  <si>
    <t xml:space="preserve">         6760.90</t>
  </si>
  <si>
    <t xml:space="preserve">           299.90</t>
  </si>
  <si>
    <t xml:space="preserve">          299.90</t>
  </si>
  <si>
    <t>4900002404</t>
  </si>
  <si>
    <t xml:space="preserve">         15657.60</t>
  </si>
  <si>
    <t xml:space="preserve">        15657.60</t>
  </si>
  <si>
    <t xml:space="preserve">          3715.80</t>
  </si>
  <si>
    <t xml:space="preserve">         3715.80</t>
  </si>
  <si>
    <t xml:space="preserve">        188.000</t>
  </si>
  <si>
    <t xml:space="preserve">          5312.88</t>
  </si>
  <si>
    <t xml:space="preserve">         5312.88</t>
  </si>
  <si>
    <t xml:space="preserve">          4473.50</t>
  </si>
  <si>
    <t xml:space="preserve">         4473.50</t>
  </si>
  <si>
    <t>4900002406</t>
  </si>
  <si>
    <t xml:space="preserve">           731.20</t>
  </si>
  <si>
    <t xml:space="preserve">          731.20</t>
  </si>
  <si>
    <t xml:space="preserve">        225.000</t>
  </si>
  <si>
    <t xml:space="preserve">          9227.25</t>
  </si>
  <si>
    <t xml:space="preserve">         9227.25</t>
  </si>
  <si>
    <t xml:space="preserve">          1708.50</t>
  </si>
  <si>
    <t xml:space="preserve">         1708.50</t>
  </si>
  <si>
    <t xml:space="preserve">          1290.88</t>
  </si>
  <si>
    <t xml:space="preserve">         1290.88</t>
  </si>
  <si>
    <t>4900002407</t>
  </si>
  <si>
    <t xml:space="preserve">           668.01</t>
  </si>
  <si>
    <t xml:space="preserve">          668.01</t>
  </si>
  <si>
    <t xml:space="preserve">          3141.54</t>
  </si>
  <si>
    <t xml:space="preserve">         3141.54</t>
  </si>
  <si>
    <t>4900002408</t>
  </si>
  <si>
    <t xml:space="preserve">           754.02</t>
  </si>
  <si>
    <t xml:space="preserve">          754.02</t>
  </si>
  <si>
    <t xml:space="preserve">        124.000</t>
  </si>
  <si>
    <t xml:space="preserve">          5035.64</t>
  </si>
  <si>
    <t xml:space="preserve">         5035.64</t>
  </si>
  <si>
    <t xml:space="preserve">         95.000</t>
  </si>
  <si>
    <t xml:space="preserve">          4360.50</t>
  </si>
  <si>
    <t xml:space="preserve">         4360.50</t>
  </si>
  <si>
    <t xml:space="preserve">           892.92</t>
  </si>
  <si>
    <t xml:space="preserve">          892.92</t>
  </si>
  <si>
    <t xml:space="preserve">           962.72</t>
  </si>
  <si>
    <t xml:space="preserve">          962.72</t>
  </si>
  <si>
    <t xml:space="preserve">           795.25</t>
  </si>
  <si>
    <t xml:space="preserve">          795.25</t>
  </si>
  <si>
    <t xml:space="preserve">           782.85</t>
  </si>
  <si>
    <t xml:space="preserve">          782.85</t>
  </si>
  <si>
    <t xml:space="preserve">          1327.48</t>
  </si>
  <si>
    <t xml:space="preserve">         1327.48</t>
  </si>
  <si>
    <t xml:space="preserve">           860.13</t>
  </si>
  <si>
    <t xml:space="preserve">          860.13</t>
  </si>
  <si>
    <t xml:space="preserve">          1306.90</t>
  </si>
  <si>
    <t xml:space="preserve">         1306.90</t>
  </si>
  <si>
    <t>4900002409</t>
  </si>
  <si>
    <t>4900002410</t>
  </si>
  <si>
    <t xml:space="preserve">          5016.00</t>
  </si>
  <si>
    <t xml:space="preserve">         5016.00</t>
  </si>
  <si>
    <t>4900002411</t>
  </si>
  <si>
    <t xml:space="preserve">          7118.75</t>
  </si>
  <si>
    <t xml:space="preserve">         7118.75</t>
  </si>
  <si>
    <t>4900002412</t>
  </si>
  <si>
    <t xml:space="preserve">         29260.40</t>
  </si>
  <si>
    <t xml:space="preserve">        29260.40</t>
  </si>
  <si>
    <t>4900002413</t>
  </si>
  <si>
    <t xml:space="preserve">          2450.37</t>
  </si>
  <si>
    <t xml:space="preserve">         2450.37</t>
  </si>
  <si>
    <t>4900002414</t>
  </si>
  <si>
    <t xml:space="preserve">         22780.00</t>
  </si>
  <si>
    <t xml:space="preserve">        22780.00</t>
  </si>
  <si>
    <t>4900002415</t>
  </si>
  <si>
    <t xml:space="preserve">           281.35</t>
  </si>
  <si>
    <t xml:space="preserve">          281.35</t>
  </si>
  <si>
    <t>4900002416</t>
  </si>
  <si>
    <t>4900002417</t>
  </si>
  <si>
    <t xml:space="preserve">           723.40</t>
  </si>
  <si>
    <t xml:space="preserve">          723.40</t>
  </si>
  <si>
    <t xml:space="preserve">         27927.81</t>
  </si>
  <si>
    <t xml:space="preserve">        27927.81</t>
  </si>
  <si>
    <t>4900002421</t>
  </si>
  <si>
    <t xml:space="preserve">           350.77</t>
  </si>
  <si>
    <t xml:space="preserve">          350.77</t>
  </si>
  <si>
    <t xml:space="preserve">          9320.46</t>
  </si>
  <si>
    <t xml:space="preserve">         9320.46</t>
  </si>
  <si>
    <t>4900002422</t>
  </si>
  <si>
    <t xml:space="preserve">         23525.04</t>
  </si>
  <si>
    <t xml:space="preserve">        23525.04</t>
  </si>
  <si>
    <t>4900002423</t>
  </si>
  <si>
    <t>4900002424</t>
  </si>
  <si>
    <t>4900002503</t>
  </si>
  <si>
    <t xml:space="preserve">             3.68</t>
  </si>
  <si>
    <t xml:space="preserve">            3.68</t>
  </si>
  <si>
    <t xml:space="preserve">            10.03</t>
  </si>
  <si>
    <t xml:space="preserve">           10.03</t>
  </si>
  <si>
    <t>4900002508</t>
  </si>
  <si>
    <t xml:space="preserve">           259.36</t>
  </si>
  <si>
    <t xml:space="preserve">          259.36</t>
  </si>
  <si>
    <t>Adjusted var. MMA vs Pre.\ May'24\ Sale\PSR0V01B</t>
  </si>
  <si>
    <t xml:space="preserve">          5572.83</t>
  </si>
  <si>
    <t xml:space="preserve">         5572.83</t>
  </si>
  <si>
    <t>Adjusted var. MMA vs Pre.\ May'24\ Sale\PSR0V05B</t>
  </si>
  <si>
    <t xml:space="preserve">           383.17</t>
  </si>
  <si>
    <t xml:space="preserve">          383.17</t>
  </si>
  <si>
    <t>Adjusted var. MMA vs Pre.\ May'24\ Sale\PSR0V179</t>
  </si>
  <si>
    <t xml:space="preserve">         29888.81</t>
  </si>
  <si>
    <t xml:space="preserve">        29888.81</t>
  </si>
  <si>
    <t>Adjusted var. MMA vs Pre.\ May'24\ Sale\PSR0V229</t>
  </si>
  <si>
    <t xml:space="preserve">         25211.34</t>
  </si>
  <si>
    <t xml:space="preserve">        25211.34</t>
  </si>
  <si>
    <t>Adjusted var. MMA vs Pre.\ May'24\ Sale\PSR0V234</t>
  </si>
  <si>
    <t xml:space="preserve">           576.63</t>
  </si>
  <si>
    <t xml:space="preserve">          576.63</t>
  </si>
  <si>
    <t>Adjusted var. MMA vs Pre.\ May'24\ Sale\PSR0V240</t>
  </si>
  <si>
    <t xml:space="preserve">           758.75</t>
  </si>
  <si>
    <t xml:space="preserve">          758.75</t>
  </si>
  <si>
    <t>Adjusted var. MMA vs Pre.\ May'24\ Sale\PSR0V27B</t>
  </si>
  <si>
    <t xml:space="preserve">          -173.72</t>
  </si>
  <si>
    <t xml:space="preserve">         -173.72</t>
  </si>
  <si>
    <t>Adjusted var. MMA vs Pre.\ May'24\ Sale\PSR0V30B</t>
  </si>
  <si>
    <t xml:space="preserve">            -3.43</t>
  </si>
  <si>
    <t xml:space="preserve">           -3.43</t>
  </si>
  <si>
    <t>Adjusted var. MMA vs Pre.\ May'24\ Sale\PSR0V79F</t>
  </si>
  <si>
    <t xml:space="preserve">            -8.04</t>
  </si>
  <si>
    <t xml:space="preserve">           -8.04</t>
  </si>
  <si>
    <t>Adjusted var. MMA vs Pre.\ May'24\ Sale\PSR0V89F</t>
  </si>
  <si>
    <t xml:space="preserve">           144.27</t>
  </si>
  <si>
    <t xml:space="preserve">          144.27</t>
  </si>
  <si>
    <t>Adjusted var. MMA vs Pre.\ May'24\ Sale\PSR0VF6F</t>
  </si>
  <si>
    <t xml:space="preserve">          -119.14</t>
  </si>
  <si>
    <t xml:space="preserve">         -119.14</t>
  </si>
  <si>
    <t>Adjusted var. MMA vs Pre.\ May'24\ Sale\PSR0VG8F</t>
  </si>
  <si>
    <t xml:space="preserve">         12913.84</t>
  </si>
  <si>
    <t xml:space="preserve">        12913.84</t>
  </si>
  <si>
    <t>Adjusted var. MMA vs Pre.\ May'24\ Sale\PSR0VH2F</t>
  </si>
  <si>
    <t xml:space="preserve">          5702.33</t>
  </si>
  <si>
    <t xml:space="preserve">         5702.33</t>
  </si>
  <si>
    <t>Adjusted var. MMA vs Pre.\ May'24\ Sale\PSR0VH3F</t>
  </si>
  <si>
    <t xml:space="preserve">          6963.62</t>
  </si>
  <si>
    <t xml:space="preserve">         6963.62</t>
  </si>
  <si>
    <t>Adjusted var. MMA vs Pre.\ May'24\ Sale\PSR0VH4F</t>
  </si>
  <si>
    <t xml:space="preserve">          -619.24</t>
  </si>
  <si>
    <t xml:space="preserve">         -619.24</t>
  </si>
  <si>
    <t>Adjusted var. MMA vs Pre.\ May'24\ Sale\PSR0VH9F</t>
  </si>
  <si>
    <t xml:space="preserve">            14.82</t>
  </si>
  <si>
    <t xml:space="preserve">           14.82</t>
  </si>
  <si>
    <t>Adjusted var. MMA vs Pre.\ May'24\ Sale\PSR0VJ5F</t>
  </si>
  <si>
    <t xml:space="preserve">           388.27</t>
  </si>
  <si>
    <t xml:space="preserve">          388.27</t>
  </si>
  <si>
    <t>Adjusted var. MMA vs Pre.\ May'24\ Sale\PSR0V01P</t>
  </si>
  <si>
    <t xml:space="preserve">          1238.55</t>
  </si>
  <si>
    <t xml:space="preserve">         1238.55</t>
  </si>
  <si>
    <t>Adjusted var. MMA vs Pre.\ May'24\ Sale\PSR0V01S</t>
  </si>
  <si>
    <t xml:space="preserve">           311.85</t>
  </si>
  <si>
    <t xml:space="preserve">          311.85</t>
  </si>
  <si>
    <t>Adjusted var. MMA vs Pre.\ May'24\ Sale\PSR0V02P</t>
  </si>
  <si>
    <t xml:space="preserve">           671.03</t>
  </si>
  <si>
    <t xml:space="preserve">          671.03</t>
  </si>
  <si>
    <t>Adjusted var. MMA vs Pre.\ May'24\ Sale\PSR0V03P</t>
  </si>
  <si>
    <t xml:space="preserve">           258.64</t>
  </si>
  <si>
    <t xml:space="preserve">          258.64</t>
  </si>
  <si>
    <t>Adjusted var. MMA vs Pre.\ May'24\ Sale\PSR0V03S</t>
  </si>
  <si>
    <t xml:space="preserve">            85.89</t>
  </si>
  <si>
    <t xml:space="preserve">           85.89</t>
  </si>
  <si>
    <t>Adjusted var. MMA vs Pre.\ May'24\ Sale\PSR0V04S</t>
  </si>
  <si>
    <t xml:space="preserve">           277.67</t>
  </si>
  <si>
    <t xml:space="preserve">          277.67</t>
  </si>
  <si>
    <t>Adjusted var. MMA vs Pre.\ May'24\ Sale\PSR0V05P</t>
  </si>
  <si>
    <t xml:space="preserve">          1197.98</t>
  </si>
  <si>
    <t xml:space="preserve">         1197.98</t>
  </si>
  <si>
    <t>Adjusted var. MMA vs Pre.\ May'24\ Sale\PSR0V05S</t>
  </si>
  <si>
    <t xml:space="preserve">           143.89</t>
  </si>
  <si>
    <t xml:space="preserve">          143.89</t>
  </si>
  <si>
    <t>Adjusted var. MMA vs Pre.\ May'24\ Sale\PSR0V06P</t>
  </si>
  <si>
    <t xml:space="preserve">          1383.98</t>
  </si>
  <si>
    <t xml:space="preserve">         1383.98</t>
  </si>
  <si>
    <t>Adjusted var. MMA vs Pre.\ May'24\ Sale\PSR0V07S</t>
  </si>
  <si>
    <t xml:space="preserve">           312.54</t>
  </si>
  <si>
    <t xml:space="preserve">          312.54</t>
  </si>
  <si>
    <t>Adjusted var. MMA vs Pre.\ May'24\ Sale\PSR0V11D</t>
  </si>
  <si>
    <t xml:space="preserve">           204.61</t>
  </si>
  <si>
    <t xml:space="preserve">          204.61</t>
  </si>
  <si>
    <t>Adjusted var. MMA vs Pre.\ May'24\ Sale\PSR0V11S</t>
  </si>
  <si>
    <t xml:space="preserve">           232.91</t>
  </si>
  <si>
    <t xml:space="preserve">          232.91</t>
  </si>
  <si>
    <t>Adjusted var. MMA vs Pre.\ May'24\ Sale\PSR0V12D</t>
  </si>
  <si>
    <t xml:space="preserve">            -2.94</t>
  </si>
  <si>
    <t xml:space="preserve">           -2.94</t>
  </si>
  <si>
    <t>Adjusted var. MMA vs Pre.\ May'24\ Sale\PSR0V130</t>
  </si>
  <si>
    <t xml:space="preserve">           302.84</t>
  </si>
  <si>
    <t xml:space="preserve">          302.84</t>
  </si>
  <si>
    <t>Adjusted var. MMA vs Pre.\ May'24\ Sale\PSR0V13D</t>
  </si>
  <si>
    <t xml:space="preserve">           -19.47</t>
  </si>
  <si>
    <t xml:space="preserve">          -19.47</t>
  </si>
  <si>
    <t>Adjusted var. MMA vs Pre.\ May'24\ Sale\PSR0V149</t>
  </si>
  <si>
    <t xml:space="preserve">             3.39</t>
  </si>
  <si>
    <t xml:space="preserve">            3.39</t>
  </si>
  <si>
    <t>Adjusted var. MMA vs Pre.\ May'24\ Sale\PSR0V14D</t>
  </si>
  <si>
    <t xml:space="preserve">           552.38</t>
  </si>
  <si>
    <t xml:space="preserve">          552.38</t>
  </si>
  <si>
    <t>Adjusted var. MMA vs Pre.\ May'24\ Sale\PSR0V15D</t>
  </si>
  <si>
    <t xml:space="preserve">           -27.94</t>
  </si>
  <si>
    <t xml:space="preserve">          -27.94</t>
  </si>
  <si>
    <t>Adjusted var. MMA vs Pre.\ May'24\ Sale\PSR0V165</t>
  </si>
  <si>
    <t xml:space="preserve">           -56.44</t>
  </si>
  <si>
    <t xml:space="preserve">          -56.44</t>
  </si>
  <si>
    <t>Adjusted var. MMA vs Pre.\ May'24\ Sale\PSR0V166</t>
  </si>
  <si>
    <t xml:space="preserve">           387.34</t>
  </si>
  <si>
    <t xml:space="preserve">          387.34</t>
  </si>
  <si>
    <t>Adjusted var. MMA vs Pre.\ May'24\ Sale\PSR0V168</t>
  </si>
  <si>
    <t xml:space="preserve">            15.70</t>
  </si>
  <si>
    <t xml:space="preserve">           15.70</t>
  </si>
  <si>
    <t>Adjusted var. MMA vs Pre.\ May'24\ Sale\PSR0V169</t>
  </si>
  <si>
    <t xml:space="preserve">           144.87</t>
  </si>
  <si>
    <t xml:space="preserve">          144.87</t>
  </si>
  <si>
    <t>Adjusted var. MMA vs Pre.\ May'24\ Sale\PSR0V16D</t>
  </si>
  <si>
    <t xml:space="preserve">          -212.34</t>
  </si>
  <si>
    <t xml:space="preserve">         -212.34</t>
  </si>
  <si>
    <t>Adjusted var. MMA vs Pre.\ May'24\ Sale\PSR0V170</t>
  </si>
  <si>
    <t xml:space="preserve">           268.92</t>
  </si>
  <si>
    <t xml:space="preserve">          268.92</t>
  </si>
  <si>
    <t>Adjusted var. MMA vs Pre.\ May'24\ Sale\PSR0V173</t>
  </si>
  <si>
    <t xml:space="preserve">          -390.43</t>
  </si>
  <si>
    <t xml:space="preserve">         -390.43</t>
  </si>
  <si>
    <t>Adjusted var. MMA vs Pre.\ May'24\ Sale\PSR0V174</t>
  </si>
  <si>
    <t xml:space="preserve">            -9.56</t>
  </si>
  <si>
    <t xml:space="preserve">           -9.56</t>
  </si>
  <si>
    <t>Adjusted var. MMA vs Pre.\ May'24\ Sale\PSR0V17D</t>
  </si>
  <si>
    <t xml:space="preserve">           302.76</t>
  </si>
  <si>
    <t xml:space="preserve">          302.76</t>
  </si>
  <si>
    <t>Adjusted var. MMA vs Pre.\ May'24\ Sale\PSR0V184</t>
  </si>
  <si>
    <t xml:space="preserve">          1682.89</t>
  </si>
  <si>
    <t xml:space="preserve">         1682.89</t>
  </si>
  <si>
    <t>Adjusted var. MMA vs Pre.\ May'24\ Sale\PSR0V186</t>
  </si>
  <si>
    <t xml:space="preserve">            99.62</t>
  </si>
  <si>
    <t xml:space="preserve">           99.62</t>
  </si>
  <si>
    <t>Adjusted var. MMA vs Pre.\ May'24\ Sale\PSR0V187</t>
  </si>
  <si>
    <t xml:space="preserve">            60.94</t>
  </si>
  <si>
    <t xml:space="preserve">           60.94</t>
  </si>
  <si>
    <t>Adjusted var. MMA vs Pre.\ May'24\ Sale\PSR0V18D</t>
  </si>
  <si>
    <t xml:space="preserve">             0.75</t>
  </si>
  <si>
    <t>Adjusted var. MMA vs Pre.\ May'24\ Sale\PSR0V193</t>
  </si>
  <si>
    <t xml:space="preserve">            -8.80</t>
  </si>
  <si>
    <t xml:space="preserve">           -8.80</t>
  </si>
  <si>
    <t>Adjusted var. MMA vs Pre.\ May'24\ Sale\PSR0V19D</t>
  </si>
  <si>
    <t xml:space="preserve">           467.56</t>
  </si>
  <si>
    <t xml:space="preserve">          467.56</t>
  </si>
  <si>
    <t>Adjusted var. MMA vs Pre.\ May'24\ Sale\PSR0V208</t>
  </si>
  <si>
    <t xml:space="preserve">           354.41</t>
  </si>
  <si>
    <t xml:space="preserve">          354.41</t>
  </si>
  <si>
    <t>Adjusted var. MMA vs Pre.\ May'24\ Sale\PSR0V20D</t>
  </si>
  <si>
    <t xml:space="preserve">            33.06</t>
  </si>
  <si>
    <t xml:space="preserve">           33.06</t>
  </si>
  <si>
    <t>Adjusted var. MMA vs Pre.\ May'24\ Sale\PSR0V213</t>
  </si>
  <si>
    <t xml:space="preserve">           184.07</t>
  </si>
  <si>
    <t xml:space="preserve">          184.07</t>
  </si>
  <si>
    <t>Adjusted var. MMA vs Pre.\ May'24\ Sale\PSR0V21D</t>
  </si>
  <si>
    <t xml:space="preserve">          1105.86</t>
  </si>
  <si>
    <t xml:space="preserve">         1105.86</t>
  </si>
  <si>
    <t>Adjusted var. MMA vs Pre.\ May'24\ Sale\PSR0V22D</t>
  </si>
  <si>
    <t xml:space="preserve">            78.37</t>
  </si>
  <si>
    <t xml:space="preserve">           78.37</t>
  </si>
  <si>
    <t>Adjusted var. MMA vs Pre.\ May'24\ Sale\PSR0V23D</t>
  </si>
  <si>
    <t xml:space="preserve">           201.30</t>
  </si>
  <si>
    <t xml:space="preserve">          201.30</t>
  </si>
  <si>
    <t>Adjusted var. MMA vs Pre.\ May'24\ Sale\PSR0V256</t>
  </si>
  <si>
    <t xml:space="preserve">            39.29</t>
  </si>
  <si>
    <t xml:space="preserve">           39.29</t>
  </si>
  <si>
    <t>Adjusted var. MMA vs Pre.\ May'24\ Sale\PSR0V25S</t>
  </si>
  <si>
    <t xml:space="preserve">          4715.66</t>
  </si>
  <si>
    <t xml:space="preserve">         4715.66</t>
  </si>
  <si>
    <t>Adjusted var. MMA vs Pre.\ May'24\ Sale\PSR0V265</t>
  </si>
  <si>
    <t xml:space="preserve">           583.71</t>
  </si>
  <si>
    <t xml:space="preserve">          583.71</t>
  </si>
  <si>
    <t>Adjusted var. MMA vs Pre.\ May'24\ Sale\PSR0V267</t>
  </si>
  <si>
    <t xml:space="preserve">            95.18</t>
  </si>
  <si>
    <t xml:space="preserve">           95.18</t>
  </si>
  <si>
    <t>Adjusted var. MMA vs Pre.\ May'24\ Sale\PSR0V29D</t>
  </si>
  <si>
    <t xml:space="preserve">            61.95</t>
  </si>
  <si>
    <t xml:space="preserve">           61.95</t>
  </si>
  <si>
    <t>Adjusted var. MMA vs Pre.\ May'24\ Sale\PSR0V42D</t>
  </si>
  <si>
    <t xml:space="preserve">             3.51</t>
  </si>
  <si>
    <t>Adjusted var. MMA vs Pre.\ May'24\ Sale\PSR0V43D</t>
  </si>
  <si>
    <t xml:space="preserve">           998.35</t>
  </si>
  <si>
    <t xml:space="preserve">          998.35</t>
  </si>
  <si>
    <t>Adjusted var. MMA vs Pre.\ May'24\ Sale\PSR0V45D</t>
  </si>
  <si>
    <t xml:space="preserve">          1205.89</t>
  </si>
  <si>
    <t xml:space="preserve">         1205.89</t>
  </si>
  <si>
    <t>Adjusted var. MMA vs Pre.\ May'24\ Sale\PSR0V46D</t>
  </si>
  <si>
    <t xml:space="preserve">           984.00</t>
  </si>
  <si>
    <t xml:space="preserve">          984.00</t>
  </si>
  <si>
    <t>Adjusted var. MMA vs Pre.\ May'24\ Sale\PSR0V47D</t>
  </si>
  <si>
    <t xml:space="preserve">           813.74</t>
  </si>
  <si>
    <t xml:space="preserve">          813.74</t>
  </si>
  <si>
    <t>Adjusted var. MMA vs Pre.\ May'24\ Sale\PSR0V48D</t>
  </si>
  <si>
    <t xml:space="preserve">           171.93</t>
  </si>
  <si>
    <t xml:space="preserve">          171.93</t>
  </si>
  <si>
    <t>Adjusted var. MMA vs Pre.\ May'24\ Sale\PSR0V49D</t>
  </si>
  <si>
    <t xml:space="preserve">           264.46</t>
  </si>
  <si>
    <t xml:space="preserve">          264.46</t>
  </si>
  <si>
    <t>Adjusted var. MMA vs Pre.\ May'24\ Sale\PSR0V50D</t>
  </si>
  <si>
    <t xml:space="preserve">           536.38</t>
  </si>
  <si>
    <t xml:space="preserve">          536.38</t>
  </si>
  <si>
    <t>Adjusted var. MMA vs Pre.\ May'24\ Sale\PSR0V51D</t>
  </si>
  <si>
    <t>142</t>
  </si>
  <si>
    <t xml:space="preserve">           -52.21</t>
  </si>
  <si>
    <t xml:space="preserve">          -52.21</t>
  </si>
  <si>
    <t>Adjusted var. MMA vs Pre.\ May'24\ Sale\PSR0V52D</t>
  </si>
  <si>
    <t xml:space="preserve">          3440.26</t>
  </si>
  <si>
    <t xml:space="preserve">         3440.26</t>
  </si>
  <si>
    <t>Adjusted var. MMA vs Pre.\ May'24\ Sale\PSR0V126</t>
  </si>
  <si>
    <t xml:space="preserve">           484.52</t>
  </si>
  <si>
    <t xml:space="preserve">          484.52</t>
  </si>
  <si>
    <t>Adjusted var. MMA vs Pre.\ May'24\ Sale\PSR0V190</t>
  </si>
  <si>
    <t xml:space="preserve">         12672.55</t>
  </si>
  <si>
    <t xml:space="preserve">        12672.55</t>
  </si>
  <si>
    <t>Adjusted var. MMA vs Pre.\ May'24\ Sale\PSR0V194</t>
  </si>
  <si>
    <t>150</t>
  </si>
  <si>
    <t xml:space="preserve">          -636.80</t>
  </si>
  <si>
    <t xml:space="preserve">         -636.80</t>
  </si>
  <si>
    <t>Adjusted var. MMA vs Pre.\ May'24\ Sale\PSR0V224</t>
  </si>
  <si>
    <t xml:space="preserve">           267.17</t>
  </si>
  <si>
    <t xml:space="preserve">          267.17</t>
  </si>
  <si>
    <t>Adjusted var. MMA vs Pre.\ May'24\ Sale\PSR0V225</t>
  </si>
  <si>
    <t>Adjusted var. MMA vs Pre.\ May'24\ Sale\PSR0V243</t>
  </si>
  <si>
    <t xml:space="preserve">          4453.55</t>
  </si>
  <si>
    <t xml:space="preserve">         4453.55</t>
  </si>
  <si>
    <t>Adjusted var. MMA vs Pre.\ May'24\ Sale\PSR0V247</t>
  </si>
  <si>
    <t xml:space="preserve">          6111.36</t>
  </si>
  <si>
    <t xml:space="preserve">         6111.36</t>
  </si>
  <si>
    <t>Adjusted var. MMA vs Pre.\ May'24\ Sale\PSR0V248</t>
  </si>
  <si>
    <t xml:space="preserve">          1367.84</t>
  </si>
  <si>
    <t xml:space="preserve">         1367.84</t>
  </si>
  <si>
    <t>Adjusted var. MMA vs Pre.\ May'24\ Sale\PSR0V250</t>
  </si>
  <si>
    <t xml:space="preserve">          2548.24</t>
  </si>
  <si>
    <t xml:space="preserve">         2548.24</t>
  </si>
  <si>
    <t>Adjusted var. MMA vs Pre.\ May'24\ Sale\PSR0V257</t>
  </si>
  <si>
    <t>4900002509</t>
  </si>
  <si>
    <t xml:space="preserve">        -15700.63</t>
  </si>
  <si>
    <t xml:space="preserve">       -15700.63</t>
  </si>
  <si>
    <t>transfer to GOC\ May'24\ BSJ\ PSR0V2293</t>
  </si>
  <si>
    <t xml:space="preserve">         -2597.44</t>
  </si>
  <si>
    <t xml:space="preserve">        -2597.44</t>
  </si>
  <si>
    <t>transfer to GOC\ May'24\ BSCAP\ PSR0V01P3</t>
  </si>
  <si>
    <t xml:space="preserve">        -10901.13</t>
  </si>
  <si>
    <t xml:space="preserve">       -10901.13</t>
  </si>
  <si>
    <t>transfer to GOC\ May'24\ BSCAP\ PSR0V01S3</t>
  </si>
  <si>
    <t xml:space="preserve">         -5464.54</t>
  </si>
  <si>
    <t xml:space="preserve">        -5464.54</t>
  </si>
  <si>
    <t>transfer to GOC\ May'24\ BSCAP\ PSR0V03P3</t>
  </si>
  <si>
    <t xml:space="preserve">         -1911.99</t>
  </si>
  <si>
    <t xml:space="preserve">        -1911.99</t>
  </si>
  <si>
    <t>transfer to GOC\ May'24\ BSCAP\ PSR0V03S3</t>
  </si>
  <si>
    <t xml:space="preserve">         -6812.33</t>
  </si>
  <si>
    <t xml:space="preserve">        -6812.33</t>
  </si>
  <si>
    <t>transfer to GOC\ May'24\ BSCAP\ PSR0V04S3</t>
  </si>
  <si>
    <t xml:space="preserve">         -1577.30</t>
  </si>
  <si>
    <t xml:space="preserve">        -1577.30</t>
  </si>
  <si>
    <t>transfer to GOC\ May'24\ BSCAP\ PSR0V05P3</t>
  </si>
  <si>
    <t xml:space="preserve">         -1051.01</t>
  </si>
  <si>
    <t xml:space="preserve">        -1051.01</t>
  </si>
  <si>
    <t>transfer to GOC\ May'24\ BSCAP\ PSR0V05S3</t>
  </si>
  <si>
    <t xml:space="preserve">         -1084.60</t>
  </si>
  <si>
    <t xml:space="preserve">        -1084.60</t>
  </si>
  <si>
    <t>transfer to GOC\ May'24\ BSCAP\ PSR0V06P3</t>
  </si>
  <si>
    <t xml:space="preserve">         -6107.31</t>
  </si>
  <si>
    <t xml:space="preserve">        -6107.31</t>
  </si>
  <si>
    <t>transfer to GOC\ May'24\ BSCAP\ PSR0V07S3</t>
  </si>
  <si>
    <t xml:space="preserve">         -3925.68</t>
  </si>
  <si>
    <t xml:space="preserve">        -3925.68</t>
  </si>
  <si>
    <t>transfer to GOC\ May'24\ BSCAP\ PSR0V11D3</t>
  </si>
  <si>
    <t xml:space="preserve">          -752.95</t>
  </si>
  <si>
    <t xml:space="preserve">         -752.95</t>
  </si>
  <si>
    <t>transfer to GOC\ May'24\ BSCAP\ PSR0V11S3</t>
  </si>
  <si>
    <t xml:space="preserve">         -1220.87</t>
  </si>
  <si>
    <t xml:space="preserve">        -1220.87</t>
  </si>
  <si>
    <t>transfer to GOC\ May'24\ BSCAP\ PSR0V12D3</t>
  </si>
  <si>
    <t xml:space="preserve">           -80.46</t>
  </si>
  <si>
    <t xml:space="preserve">          -80.46</t>
  </si>
  <si>
    <t>transfer to GOC\ May'24\ BSCAP\ PSR0V1303</t>
  </si>
  <si>
    <t xml:space="preserve">        -18678.40</t>
  </si>
  <si>
    <t xml:space="preserve">       -18678.40</t>
  </si>
  <si>
    <t>transfer to GOC\ May'24\ BSCAP\ PSR0V13D3</t>
  </si>
  <si>
    <t xml:space="preserve">         -1338.52</t>
  </si>
  <si>
    <t xml:space="preserve">        -1338.52</t>
  </si>
  <si>
    <t>transfer to GOC\ May'24\ BSCAP\ PSR0V1493</t>
  </si>
  <si>
    <t xml:space="preserve">          -321.69</t>
  </si>
  <si>
    <t xml:space="preserve">         -321.69</t>
  </si>
  <si>
    <t>transfer to GOC\ May'24\ BSCAP\ PSR0V14D3</t>
  </si>
  <si>
    <t xml:space="preserve">         -5848.63</t>
  </si>
  <si>
    <t xml:space="preserve">        -5848.63</t>
  </si>
  <si>
    <t>transfer to GOC\ May'24\ BSCAP\ PSR0V15D3</t>
  </si>
  <si>
    <t xml:space="preserve">          -217.73</t>
  </si>
  <si>
    <t xml:space="preserve">         -217.73</t>
  </si>
  <si>
    <t>transfer to GOC\ May'24\ BSCAP\ PSR0V1653</t>
  </si>
  <si>
    <t xml:space="preserve">         -2634.58</t>
  </si>
  <si>
    <t xml:space="preserve">        -2634.58</t>
  </si>
  <si>
    <t>transfer to GOC\ May'24\ BSCAP\ PSR0V1663</t>
  </si>
  <si>
    <t xml:space="preserve">         -1066.27</t>
  </si>
  <si>
    <t xml:space="preserve">        -1066.27</t>
  </si>
  <si>
    <t>transfer to GOC\ May'24\ BSCAP\ PSR0V1683</t>
  </si>
  <si>
    <t xml:space="preserve">          -860.75</t>
  </si>
  <si>
    <t xml:space="preserve">         -860.75</t>
  </si>
  <si>
    <t>transfer to GOC\ May'24\ BSCAP\ PSR0V1693</t>
  </si>
  <si>
    <t xml:space="preserve">         -1875.56</t>
  </si>
  <si>
    <t xml:space="preserve">        -1875.56</t>
  </si>
  <si>
    <t>transfer to GOC\ May'24\ BSCAP\ PSR0V16D3</t>
  </si>
  <si>
    <t xml:space="preserve">         -2731.86</t>
  </si>
  <si>
    <t xml:space="preserve">        -2731.86</t>
  </si>
  <si>
    <t>transfer to GOC\ May'24\ BSCAP\ PSR0V1703</t>
  </si>
  <si>
    <t xml:space="preserve">        -10324.76</t>
  </si>
  <si>
    <t xml:space="preserve">       -10324.76</t>
  </si>
  <si>
    <t>transfer to GOC\ May'24\ BSCAP\ PSR0V1843</t>
  </si>
  <si>
    <t xml:space="preserve">         -4528.96</t>
  </si>
  <si>
    <t xml:space="preserve">        -4528.96</t>
  </si>
  <si>
    <t>transfer to GOC\ May'24\ BSCAP\ PSR0V1863</t>
  </si>
  <si>
    <t xml:space="preserve">         -1409.52</t>
  </si>
  <si>
    <t xml:space="preserve">        -1409.52</t>
  </si>
  <si>
    <t>transfer to GOC\ May'24\ BSCAP\ PSR0V1873</t>
  </si>
  <si>
    <t xml:space="preserve">          -509.89</t>
  </si>
  <si>
    <t xml:space="preserve">         -509.89</t>
  </si>
  <si>
    <t>transfer to GOC\ May'24\ BSCAP\ PSR0V18D3</t>
  </si>
  <si>
    <t xml:space="preserve">          -782.91</t>
  </si>
  <si>
    <t xml:space="preserve">         -782.91</t>
  </si>
  <si>
    <t>transfer to GOC\ May'24\ BSCAP\ PSR0V1933</t>
  </si>
  <si>
    <t xml:space="preserve">         -4535.09</t>
  </si>
  <si>
    <t xml:space="preserve">        -4535.09</t>
  </si>
  <si>
    <t>transfer to GOC\ May'24\ BSCAP\ PSR0V19D3</t>
  </si>
  <si>
    <t xml:space="preserve">          -919.93</t>
  </si>
  <si>
    <t xml:space="preserve">         -919.93</t>
  </si>
  <si>
    <t>transfer to GOC\ May'24\ BSCAP\ PSR0V2083</t>
  </si>
  <si>
    <t xml:space="preserve">          -762.46</t>
  </si>
  <si>
    <t xml:space="preserve">         -762.46</t>
  </si>
  <si>
    <t>transfer to GOC\ May'24\ BSCAP\ PSR0V20D3</t>
  </si>
  <si>
    <t xml:space="preserve">         -1074.08</t>
  </si>
  <si>
    <t xml:space="preserve">        -1074.08</t>
  </si>
  <si>
    <t>transfer to GOC\ May'24\ BSCAP\ PSR0V21D3</t>
  </si>
  <si>
    <t xml:space="preserve">        -16308.68</t>
  </si>
  <si>
    <t xml:space="preserve">       -16308.68</t>
  </si>
  <si>
    <t>transfer to GOC\ May'24\ BSCAP\ PSR0V22D3</t>
  </si>
  <si>
    <t xml:space="preserve">         -8931.79</t>
  </si>
  <si>
    <t xml:space="preserve">        -8931.79</t>
  </si>
  <si>
    <t>transfer to GOC\ May'24\ BSCAP\ PSR0V2563</t>
  </si>
  <si>
    <t xml:space="preserve">          -845.97</t>
  </si>
  <si>
    <t xml:space="preserve">         -845.97</t>
  </si>
  <si>
    <t>transfer to GOC\ May'24\ BSCAP\ PSR0V25S3</t>
  </si>
  <si>
    <t xml:space="preserve">         -4570.82</t>
  </si>
  <si>
    <t xml:space="preserve">        -4570.82</t>
  </si>
  <si>
    <t>transfer to GOC\ May'24\ BSCAP\ PSR0V2653</t>
  </si>
  <si>
    <t xml:space="preserve">         -3025.37</t>
  </si>
  <si>
    <t xml:space="preserve">        -3025.37</t>
  </si>
  <si>
    <t>transfer to GOC\ May'24\ BSCAP\ PSR0V2673</t>
  </si>
  <si>
    <t xml:space="preserve">          -948.47</t>
  </si>
  <si>
    <t xml:space="preserve">         -948.47</t>
  </si>
  <si>
    <t>transfer to GOC\ May'24\ BSCAP\ PSR0V29D3</t>
  </si>
  <si>
    <t xml:space="preserve">         -2352.42</t>
  </si>
  <si>
    <t xml:space="preserve">        -2352.42</t>
  </si>
  <si>
    <t>transfer to GOC\ May'24\ BSCAP\ PSR0V42D3</t>
  </si>
  <si>
    <t xml:space="preserve">        -12055.66</t>
  </si>
  <si>
    <t xml:space="preserve">       -12055.66</t>
  </si>
  <si>
    <t>transfer to GOC\ May'24\ BSCAP\ PSR0V45D3</t>
  </si>
  <si>
    <t xml:space="preserve">         -8313.22</t>
  </si>
  <si>
    <t xml:space="preserve">        -8313.22</t>
  </si>
  <si>
    <t>transfer to GOC\ May'24\ BSCAP\ PSR0V46D3</t>
  </si>
  <si>
    <t xml:space="preserve">         -2586.33</t>
  </si>
  <si>
    <t xml:space="preserve">        -2586.33</t>
  </si>
  <si>
    <t>transfer to GOC\ May'24\ BSCAP\ PSR0V47D3</t>
  </si>
  <si>
    <t xml:space="preserve">        -11023.54</t>
  </si>
  <si>
    <t xml:space="preserve">       -11023.54</t>
  </si>
  <si>
    <t>transfer to GOC\ May'24\ BSCAP\ PSR0V48D3</t>
  </si>
  <si>
    <t xml:space="preserve">        -14260.43</t>
  </si>
  <si>
    <t xml:space="preserve">       -14260.43</t>
  </si>
  <si>
    <t>transfer to GOC\ May'24\ BSCAP\ PSR0V50D3</t>
  </si>
  <si>
    <t xml:space="preserve">         -1626.35</t>
  </si>
  <si>
    <t xml:space="preserve">        -1626.35</t>
  </si>
  <si>
    <t>transfer to GOC\ May'24\ BSCAP\ PSR0V51D3</t>
  </si>
  <si>
    <t xml:space="preserve">          -733.31</t>
  </si>
  <si>
    <t xml:space="preserve">         -733.31</t>
  </si>
  <si>
    <t>transfer to GOC\ May'24\ BSCAP\ PSR0V52D3</t>
  </si>
  <si>
    <t xml:space="preserve">         -9658.00</t>
  </si>
  <si>
    <t xml:space="preserve">        -9658.00</t>
  </si>
  <si>
    <t>transfer to GOC\ May'24\ BSTVN\ PSR0V1263</t>
  </si>
  <si>
    <t xml:space="preserve">         -1785.44</t>
  </si>
  <si>
    <t xml:space="preserve">        -1785.44</t>
  </si>
  <si>
    <t>transfer to GOC\ May'24\ BSTVN\ PSR0V2433</t>
  </si>
  <si>
    <t xml:space="preserve">          -756.50</t>
  </si>
  <si>
    <t xml:space="preserve">         -756.50</t>
  </si>
  <si>
    <t>transfer to GOC\ May'24\ BSTVN\ PSR0V2473</t>
  </si>
  <si>
    <t xml:space="preserve">         -1354.87</t>
  </si>
  <si>
    <t xml:space="preserve">        -1354.87</t>
  </si>
  <si>
    <t>transfer to GOC\ May'24\ BSTVN\ PSR0V2483</t>
  </si>
  <si>
    <t>4900002510</t>
  </si>
  <si>
    <t xml:space="preserve">         26083.49</t>
  </si>
  <si>
    <t xml:space="preserve">        26083.49</t>
  </si>
  <si>
    <t>GI from GOC\ May'24\ BSJ\ PSR0V01B3</t>
  </si>
  <si>
    <t xml:space="preserve">         36139.00</t>
  </si>
  <si>
    <t xml:space="preserve">        36139.00</t>
  </si>
  <si>
    <t>GI from GOC\ May'24\ BSJ\ PSR0V05B3</t>
  </si>
  <si>
    <t xml:space="preserve">         70010.43</t>
  </si>
  <si>
    <t xml:space="preserve">        70010.43</t>
  </si>
  <si>
    <t>GI from GOC\ May'24\ BSJ\ PSR0V2293</t>
  </si>
  <si>
    <t xml:space="preserve">         79856.89</t>
  </si>
  <si>
    <t xml:space="preserve">        79856.89</t>
  </si>
  <si>
    <t>GI from GOC\ May'24\ BSJ\ PSR0V2343</t>
  </si>
  <si>
    <t xml:space="preserve">         68978.85</t>
  </si>
  <si>
    <t xml:space="preserve">        68978.85</t>
  </si>
  <si>
    <t>GI from GOC\ May'24\ BSJ\ PSR0VF6F3</t>
  </si>
  <si>
    <t xml:space="preserve">         14524.77</t>
  </si>
  <si>
    <t xml:space="preserve">        14524.77</t>
  </si>
  <si>
    <t>GI from GOC\ May'24\ BSJ\ PSR0VH4F3</t>
  </si>
  <si>
    <t xml:space="preserve">         19439.95</t>
  </si>
  <si>
    <t xml:space="preserve">        19439.95</t>
  </si>
  <si>
    <t>GI from GOC\ May'24\ BSJ\ PSR0VJ5F3</t>
  </si>
  <si>
    <t xml:space="preserve">          2467.72</t>
  </si>
  <si>
    <t xml:space="preserve">         2467.72</t>
  </si>
  <si>
    <t>GI from GOC\ May'24\ BSCAP\ PSR0V01P3</t>
  </si>
  <si>
    <t xml:space="preserve">          1698.08</t>
  </si>
  <si>
    <t xml:space="preserve">         1698.08</t>
  </si>
  <si>
    <t>GI from GOC\ May'24\ BSCAP\ PSR0V02P3</t>
  </si>
  <si>
    <t xml:space="preserve">          5059.86</t>
  </si>
  <si>
    <t xml:space="preserve">         5059.86</t>
  </si>
  <si>
    <t>GI from GOC\ May'24\ BSCAP\ PSR0V03P3</t>
  </si>
  <si>
    <t xml:space="preserve">           895.81</t>
  </si>
  <si>
    <t xml:space="preserve">          895.81</t>
  </si>
  <si>
    <t>GI from GOC\ May'24\ BSCAP\ PSR0V06P3</t>
  </si>
  <si>
    <t xml:space="preserve">           388.22</t>
  </si>
  <si>
    <t xml:space="preserve">          388.22</t>
  </si>
  <si>
    <t>GI from GOC\ May'24\ BSCAP\ PSR0V07S3</t>
  </si>
  <si>
    <t xml:space="preserve">           668.69</t>
  </si>
  <si>
    <t xml:space="preserve">          668.69</t>
  </si>
  <si>
    <t>GI from GOC\ May'24\ BSCAP\ PSR0V12D3</t>
  </si>
  <si>
    <t xml:space="preserve">          2032.20</t>
  </si>
  <si>
    <t xml:space="preserve">         2032.20</t>
  </si>
  <si>
    <t>GI from GOC\ May'24\ BSCAP\ PSR0V13D3</t>
  </si>
  <si>
    <t xml:space="preserve">          1796.83</t>
  </si>
  <si>
    <t xml:space="preserve">         1796.83</t>
  </si>
  <si>
    <t>GI from GOC\ May'24\ BSCAP\ PSR0V1493</t>
  </si>
  <si>
    <t xml:space="preserve">           159.17</t>
  </si>
  <si>
    <t xml:space="preserve">          159.17</t>
  </si>
  <si>
    <t>GI from GOC\ May'24\ BSCAP\ PSR0V14D3</t>
  </si>
  <si>
    <t xml:space="preserve">          2324.80</t>
  </si>
  <si>
    <t xml:space="preserve">         2324.80</t>
  </si>
  <si>
    <t>GI from GOC\ May'24\ BSCAP\ PSR0V15D3</t>
  </si>
  <si>
    <t xml:space="preserve">           185.65</t>
  </si>
  <si>
    <t xml:space="preserve">          185.65</t>
  </si>
  <si>
    <t>GI from GOC\ May'24\ BSCAP\ PSR0V1643</t>
  </si>
  <si>
    <t xml:space="preserve">           593.25</t>
  </si>
  <si>
    <t xml:space="preserve">          593.25</t>
  </si>
  <si>
    <t>GI from GOC\ May'24\ BSCAP\ PSR0V16D3</t>
  </si>
  <si>
    <t xml:space="preserve">          3736.99</t>
  </si>
  <si>
    <t xml:space="preserve">         3736.99</t>
  </si>
  <si>
    <t>GI from GOC\ May'24\ BSCAP\ PSR0V1703</t>
  </si>
  <si>
    <t xml:space="preserve">         10504.07</t>
  </si>
  <si>
    <t xml:space="preserve">        10504.07</t>
  </si>
  <si>
    <t>GI from GOC\ May'24\ BSCAP\ PSR0V1743</t>
  </si>
  <si>
    <t xml:space="preserve">          1175.34</t>
  </si>
  <si>
    <t xml:space="preserve">         1175.34</t>
  </si>
  <si>
    <t>GI from GOC\ May'24\ BSCAP\ PSR0V19D3</t>
  </si>
  <si>
    <t xml:space="preserve">           570.06</t>
  </si>
  <si>
    <t xml:space="preserve">          570.06</t>
  </si>
  <si>
    <t>GI from GOC\ May'24\ BSCAP\ PSR0V23D3</t>
  </si>
  <si>
    <t xml:space="preserve">          2408.10</t>
  </si>
  <si>
    <t xml:space="preserve">         2408.10</t>
  </si>
  <si>
    <t>GI from GOC\ May'24\ BSCAP\ PSR0V2563</t>
  </si>
  <si>
    <t xml:space="preserve">         94987.08</t>
  </si>
  <si>
    <t xml:space="preserve">        94987.08</t>
  </si>
  <si>
    <t>GI from GOC\ May'24\ BSCAP\ PSR0V2653</t>
  </si>
  <si>
    <t xml:space="preserve">          3382.39</t>
  </si>
  <si>
    <t xml:space="preserve">         3382.39</t>
  </si>
  <si>
    <t>GI from GOC\ May'24\ BSCAP\ PSR0V2673</t>
  </si>
  <si>
    <t xml:space="preserve">          1052.62</t>
  </si>
  <si>
    <t xml:space="preserve">         1052.62</t>
  </si>
  <si>
    <t>GI from GOC\ May'24\ BSCAP\ PSR0V29D3</t>
  </si>
  <si>
    <t xml:space="preserve">          1957.72</t>
  </si>
  <si>
    <t xml:space="preserve">         1957.72</t>
  </si>
  <si>
    <t>GI from GOC\ May'24\ BSCAP\ PSR0V46D3</t>
  </si>
  <si>
    <t xml:space="preserve">          3200.58</t>
  </si>
  <si>
    <t xml:space="preserve">         3200.58</t>
  </si>
  <si>
    <t>GI from GOC\ May'24\ BSCAP\ PSR0V47D3</t>
  </si>
  <si>
    <t xml:space="preserve">          8425.39</t>
  </si>
  <si>
    <t xml:space="preserve">         8425.39</t>
  </si>
  <si>
    <t>GI from GOC\ May'24\ BSCAP\ PSR0V48D3</t>
  </si>
  <si>
    <t xml:space="preserve">          1321.12</t>
  </si>
  <si>
    <t xml:space="preserve">         1321.12</t>
  </si>
  <si>
    <t>GI from GOC\ May'24\ BSCAP\ PSR0V49D3</t>
  </si>
  <si>
    <t xml:space="preserve">          1136.00</t>
  </si>
  <si>
    <t xml:space="preserve">         1136.00</t>
  </si>
  <si>
    <t>GI from GOC\ May'24\ BSCAP\ PSR0V50D3</t>
  </si>
  <si>
    <t xml:space="preserve">          3614.59</t>
  </si>
  <si>
    <t xml:space="preserve">         3614.59</t>
  </si>
  <si>
    <t>GI from GOC\ May'24\ BSCAP\ PSR0V51D3</t>
  </si>
  <si>
    <t xml:space="preserve">           448.14</t>
  </si>
  <si>
    <t xml:space="preserve">          448.14</t>
  </si>
  <si>
    <t>GI from GOC\ May'24\ BSCAP\ PSR0V52D3</t>
  </si>
  <si>
    <t>5090001081</t>
  </si>
  <si>
    <t xml:space="preserve">           810000</t>
  </si>
  <si>
    <t xml:space="preserve">           32.17</t>
  </si>
  <si>
    <t>642806121211</t>
  </si>
  <si>
    <t xml:space="preserve">           13.90</t>
  </si>
  <si>
    <t>5090001102</t>
  </si>
  <si>
    <t xml:space="preserve">          4174128</t>
  </si>
  <si>
    <t xml:space="preserve">          165.29</t>
  </si>
  <si>
    <t>5090001103</t>
  </si>
  <si>
    <t xml:space="preserve">           924000</t>
  </si>
  <si>
    <t xml:space="preserve">           36.70</t>
  </si>
  <si>
    <t xml:space="preserve">          3444000</t>
  </si>
  <si>
    <t xml:space="preserve">          136.78</t>
  </si>
  <si>
    <t xml:space="preserve">         16637000</t>
  </si>
  <si>
    <t xml:space="preserve">          660.75</t>
  </si>
  <si>
    <t xml:space="preserve">         49780000</t>
  </si>
  <si>
    <t xml:space="preserve">         1977.04</t>
  </si>
  <si>
    <t xml:space="preserve">         39300000</t>
  </si>
  <si>
    <t xml:space="preserve">         1560.82</t>
  </si>
  <si>
    <t xml:space="preserve">         12832500</t>
  </si>
  <si>
    <t xml:space="preserve">          509.65</t>
  </si>
  <si>
    <t>5090001104</t>
  </si>
  <si>
    <t xml:space="preserve">          3428700</t>
  </si>
  <si>
    <t xml:space="preserve">          136.32</t>
  </si>
  <si>
    <t xml:space="preserve">          7480800</t>
  </si>
  <si>
    <t xml:space="preserve">          297.42</t>
  </si>
  <si>
    <t xml:space="preserve">          5859960</t>
  </si>
  <si>
    <t xml:space="preserve">          232.98</t>
  </si>
  <si>
    <t>5090001105</t>
  </si>
  <si>
    <t xml:space="preserve">            44.28</t>
  </si>
  <si>
    <t xml:space="preserve">           44.28</t>
  </si>
  <si>
    <t xml:space="preserve">            40.00</t>
  </si>
  <si>
    <t xml:space="preserve">           40.00</t>
  </si>
  <si>
    <t xml:space="preserve">            50.40</t>
  </si>
  <si>
    <t xml:space="preserve">           50.40</t>
  </si>
  <si>
    <t xml:space="preserve">            45.50</t>
  </si>
  <si>
    <t xml:space="preserve">           45.50</t>
  </si>
  <si>
    <t xml:space="preserve">            41.60</t>
  </si>
  <si>
    <t xml:space="preserve">            90.06</t>
  </si>
  <si>
    <t xml:space="preserve">           90.06</t>
  </si>
  <si>
    <t xml:space="preserve">            47.32</t>
  </si>
  <si>
    <t xml:space="preserve">           47.32</t>
  </si>
  <si>
    <t xml:space="preserve">           120.00</t>
  </si>
  <si>
    <t xml:space="preserve">          120.00</t>
  </si>
  <si>
    <t xml:space="preserve">            46.40</t>
  </si>
  <si>
    <t xml:space="preserve">           46.40</t>
  </si>
  <si>
    <t xml:space="preserve">            79.00</t>
  </si>
  <si>
    <t xml:space="preserve">           79.00</t>
  </si>
  <si>
    <t>5090001106</t>
  </si>
  <si>
    <t xml:space="preserve">          420.73</t>
  </si>
  <si>
    <t>5090001109</t>
  </si>
  <si>
    <t xml:space="preserve">           98.97</t>
  </si>
  <si>
    <t>5090001111</t>
  </si>
  <si>
    <t xml:space="preserve">         41500000</t>
  </si>
  <si>
    <t xml:space="preserve">         1642.72</t>
  </si>
  <si>
    <t xml:space="preserve">          6500000</t>
  </si>
  <si>
    <t xml:space="preserve">          257.29</t>
  </si>
  <si>
    <t>5090001112</t>
  </si>
  <si>
    <t xml:space="preserve">          5700000</t>
  </si>
  <si>
    <t xml:space="preserve">          225.50</t>
  </si>
  <si>
    <t>5090001113</t>
  </si>
  <si>
    <t xml:space="preserve">            94810</t>
  </si>
  <si>
    <t xml:space="preserve">            3.75</t>
  </si>
  <si>
    <t>642303013311</t>
  </si>
  <si>
    <t xml:space="preserve">            49900</t>
  </si>
  <si>
    <t xml:space="preserve">            1.98</t>
  </si>
  <si>
    <t>5090001114</t>
  </si>
  <si>
    <t xml:space="preserve">           698600</t>
  </si>
  <si>
    <t xml:space="preserve">           27.65</t>
  </si>
  <si>
    <t>642301021213</t>
  </si>
  <si>
    <t>5090001115</t>
  </si>
  <si>
    <t xml:space="preserve">           17.09</t>
  </si>
  <si>
    <t>5090001149</t>
  </si>
  <si>
    <t xml:space="preserve">          -810000</t>
  </si>
  <si>
    <t xml:space="preserve">          -32.17</t>
  </si>
  <si>
    <t>102 GR for acc.assgt rev</t>
  </si>
  <si>
    <t xml:space="preserve">          -350000</t>
  </si>
  <si>
    <t xml:space="preserve">          -13.90</t>
  </si>
  <si>
    <t>5090001170</t>
  </si>
  <si>
    <t xml:space="preserve">           349300</t>
  </si>
  <si>
    <t xml:space="preserve">           13.83</t>
  </si>
  <si>
    <t>642303011611</t>
  </si>
  <si>
    <t>5090001192</t>
  </si>
  <si>
    <t xml:space="preserve">          1347300</t>
  </si>
  <si>
    <t xml:space="preserve">           53.51</t>
  </si>
  <si>
    <t xml:space="preserve">          1397200</t>
  </si>
  <si>
    <t xml:space="preserve">           55.49</t>
  </si>
  <si>
    <t>5090001193</t>
  </si>
  <si>
    <t xml:space="preserve">          2007000</t>
  </si>
  <si>
    <t xml:space="preserve">           79.40</t>
  </si>
  <si>
    <t>5090001251</t>
  </si>
  <si>
    <t xml:space="preserve">          3096000</t>
  </si>
  <si>
    <t xml:space="preserve">          122.55</t>
  </si>
  <si>
    <t xml:space="preserve">          1945000</t>
  </si>
  <si>
    <t xml:space="preserve">           76.99</t>
  </si>
  <si>
    <t>5090001275</t>
  </si>
  <si>
    <t xml:space="preserve">            39.00</t>
  </si>
  <si>
    <t xml:space="preserve">           39.00</t>
  </si>
  <si>
    <t xml:space="preserve">            56.94</t>
  </si>
  <si>
    <t xml:space="preserve">           56.94</t>
  </si>
  <si>
    <t xml:space="preserve">            52.80</t>
  </si>
  <si>
    <t xml:space="preserve">           52.80</t>
  </si>
  <si>
    <t xml:space="preserve">            58.50</t>
  </si>
  <si>
    <t xml:space="preserve">           58.50</t>
  </si>
  <si>
    <t xml:space="preserve">           131.04</t>
  </si>
  <si>
    <t xml:space="preserve">          131.04</t>
  </si>
  <si>
    <t xml:space="preserve">            44.00</t>
  </si>
  <si>
    <t xml:space="preserve">            61.62</t>
  </si>
  <si>
    <t xml:space="preserve">           61.62</t>
  </si>
  <si>
    <t xml:space="preserve">            53.82</t>
  </si>
  <si>
    <t xml:space="preserve">           53.82</t>
  </si>
  <si>
    <t xml:space="preserve">            45.63</t>
  </si>
  <si>
    <t xml:space="preserve">           45.63</t>
  </si>
  <si>
    <t xml:space="preserve">            54.99</t>
  </si>
  <si>
    <t xml:space="preserve">           54.99</t>
  </si>
  <si>
    <t xml:space="preserve">            50.70</t>
  </si>
  <si>
    <t xml:space="preserve">           50.70</t>
  </si>
  <si>
    <t xml:space="preserve">           106.60</t>
  </si>
  <si>
    <t xml:space="preserve">          106.60</t>
  </si>
  <si>
    <t xml:space="preserve">            45.24</t>
  </si>
  <si>
    <t xml:space="preserve">           45.24</t>
  </si>
  <si>
    <t xml:space="preserve">            78.00</t>
  </si>
  <si>
    <t xml:space="preserve">           78.00</t>
  </si>
  <si>
    <t>5090001277</t>
  </si>
  <si>
    <t xml:space="preserve">           174420</t>
  </si>
  <si>
    <t xml:space="preserve">            61560</t>
  </si>
  <si>
    <t xml:space="preserve">            2.44</t>
  </si>
  <si>
    <t>5090001317</t>
  </si>
  <si>
    <t xml:space="preserve">         42240000</t>
  </si>
  <si>
    <t xml:space="preserve">         1671.68</t>
  </si>
  <si>
    <t>5090001322</t>
  </si>
  <si>
    <t xml:space="preserve">          1760000</t>
  </si>
  <si>
    <t xml:space="preserve">           69.68</t>
  </si>
  <si>
    <t>5090001330</t>
  </si>
  <si>
    <t xml:space="preserve">            90000</t>
  </si>
  <si>
    <t xml:space="preserve">            3.56</t>
  </si>
  <si>
    <t>5100001108</t>
  </si>
  <si>
    <t>GR\ Notebook Trace Vietnamese \Inv.2701</t>
  </si>
  <si>
    <t>GR\ Notebook Trace English \Inv.2701</t>
  </si>
  <si>
    <t>\\10.118.29.7\BTMV-Data\4-ACCOUNTING\70.Inventories\2024\FP\Monthly report\1.BKHDBH\BKHDBH 05.24.xlsx</t>
  </si>
  <si>
    <t>4420K</t>
  </si>
  <si>
    <t>44013301</t>
  </si>
  <si>
    <t>4422Z</t>
  </si>
  <si>
    <t>44009107</t>
  </si>
  <si>
    <t>44010301</t>
  </si>
  <si>
    <t>45001302</t>
  </si>
  <si>
    <t>45001211</t>
  </si>
  <si>
    <t>45001301</t>
  </si>
  <si>
    <t>45001107</t>
  </si>
  <si>
    <t>45002211</t>
  </si>
  <si>
    <t>45003107</t>
  </si>
  <si>
    <t>45002107</t>
  </si>
  <si>
    <t>4501Y</t>
  </si>
  <si>
    <t>45004107</t>
  </si>
  <si>
    <t>4502Z</t>
  </si>
  <si>
    <t>4503C</t>
  </si>
  <si>
    <t>4504L</t>
  </si>
  <si>
    <t>45003211</t>
  </si>
  <si>
    <t>4507L</t>
  </si>
  <si>
    <t>45002302</t>
  </si>
  <si>
    <t>45002301</t>
  </si>
  <si>
    <t>4505A</t>
  </si>
  <si>
    <t>45004211</t>
  </si>
  <si>
    <t>PSR0V2573</t>
  </si>
  <si>
    <t>45006107</t>
  </si>
  <si>
    <t>45005107</t>
  </si>
  <si>
    <t>PSR0V79F3</t>
  </si>
  <si>
    <t>PSR0V89F3</t>
  </si>
  <si>
    <t>4506Y</t>
  </si>
  <si>
    <t>45005211</t>
  </si>
  <si>
    <t>45003301</t>
  </si>
  <si>
    <t>PSR0V1733</t>
  </si>
  <si>
    <t>45007107</t>
  </si>
  <si>
    <t>4508S</t>
  </si>
  <si>
    <t>4509A</t>
  </si>
  <si>
    <t>4511J</t>
  </si>
  <si>
    <t>4512G</t>
  </si>
  <si>
    <t>4510K</t>
  </si>
  <si>
    <t>45004301</t>
  </si>
  <si>
    <t>45006211</t>
  </si>
  <si>
    <t>45007211</t>
  </si>
  <si>
    <t>45003302</t>
  </si>
  <si>
    <t>45008107</t>
  </si>
  <si>
    <t>45008301</t>
  </si>
  <si>
    <t>45007301</t>
  </si>
  <si>
    <t>4513G</t>
  </si>
  <si>
    <t>45008211</t>
  </si>
  <si>
    <t>45006301</t>
  </si>
  <si>
    <t>4514L</t>
  </si>
  <si>
    <t>45010211</t>
  </si>
  <si>
    <t>VHACS16</t>
  </si>
  <si>
    <t>Btmv2024!123456789</t>
  </si>
  <si>
    <t>20240612</t>
  </si>
  <si>
    <t>45005301</t>
  </si>
  <si>
    <t>45004302</t>
  </si>
  <si>
    <t>45005302</t>
  </si>
  <si>
    <t>45006302</t>
  </si>
  <si>
    <t>45001202</t>
  </si>
  <si>
    <t>PSR0V1843</t>
  </si>
  <si>
    <t>BRIDGESTONE TIRE SALES KOREA LTD.</t>
  </si>
  <si>
    <t>PSR0V1303</t>
  </si>
  <si>
    <t>4515A</t>
  </si>
  <si>
    <t>45009301</t>
  </si>
  <si>
    <t>45009211</t>
  </si>
  <si>
    <t>\\10.118.29.7\BTMV-Data\4-ACCOUNTING\70.Inventories\2024\FP\Monthly report\1.BKHDBH\BKHDBH 06.24.xlsx</t>
  </si>
  <si>
    <t>Ô A1 là link file hàng trong tháng, I1 là link file hàng tháng sau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</si>
</sst>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49" fontId="0" fillId="0" borderId="0" xfId="0" applyNumberFormat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5" borderId="0" xfId="0" applyFill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/>
    <xf numFmtId="43" fontId="0" fillId="0" borderId="0" xfId="1" applyFont="1"/>
    <xf numFmtId="0" fontId="2" fillId="2" borderId="0" xfId="0" applyFont="1" applyFill="1"/>
    <xf numFmtId="22" fontId="0" fillId="0" borderId="0" xfId="0" applyNumberFormat="1"/>
    <xf numFmtId="0" fontId="0" fillId="6" borderId="0" xfId="0" applyFill="1"/>
    <xf numFmtId="0" fontId="3" fillId="6" borderId="0" xfId="2" applyFill="1"/>
    <xf numFmtId="0" fontId="0" fillId="7" borderId="0" xfId="0" applyFill="1"/>
    <xf numFmtId="0" fontId="5" fillId="7" borderId="0" xfId="0" applyFont="1" applyFill="1"/>
  </cellXfs>
  <cellStyles count="3">
    <cellStyle name="Comma" xfId="1" builtinId="3"/>
    <cellStyle name="Hyperlink" xfId="2" builtinId="8"/>
    <cellStyle name="Normal" xfId="0" builtinId="0"/>
  </cellStyles>
  <dxfs count="7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9CD5D1C-D991-4FA4-9928-C70171824B4C}" autoFormatId="16" applyNumberFormats="0" applyBorderFormats="0" applyFontFormats="0" applyPatternFormats="0" applyAlignmentFormats="0" applyWidthHeightFormats="0">
  <queryTableRefresh nextId="17" unboundColumnsRight="3">
    <queryTableFields count="11">
      <queryTableField id="1" name="FP/GC" tableColumnId="1"/>
      <queryTableField id="2" name="Inv." tableColumnId="2"/>
      <queryTableField id="3" name="Customer" tableColumnId="3"/>
      <queryTableField id="4" name="P.Code" tableColumnId="4"/>
      <queryTableField id="5" name="Q'ty" tableColumnId="5"/>
      <queryTableField id="6" name="Unit price" tableColumnId="6"/>
      <queryTableField id="7" name="Am't" tableColumnId="7"/>
      <queryTableField id="8" name="CSNEE" tableColumnId="8"/>
      <queryTableField id="12" dataBound="0" tableColumnId="12"/>
      <queryTableField id="9" dataBound="0" tableColumnId="9"/>
      <queryTableField id="10" dataBound="0" tableColumnId="10"/>
    </queryTableFields>
    <queryTableDeletedFields count="4">
      <deletedField name="Line"/>
      <deletedField name="Date"/>
      <deletedField name="Ref1."/>
      <deletedField name="Ref2.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FD42F1-93A0-4DB6-9C17-8FD90519CA88}" name="SAPdata" displayName="SAPdata" ref="A2:BQ3474" totalsRowShown="0" headerRowDxfId="78" dataDxfId="77">
  <autoFilter ref="A2:BQ3474" xr:uid="{4271CCEC-5A78-4A03-87B3-6B4A8863E6EF}"/>
  <tableColumns count="69">
    <tableColumn id="1" xr3:uid="{A6066267-A880-470D-BA6B-31B2EB9ED3FF}" name="Download date" dataDxfId="76"/>
    <tableColumn id="2" xr3:uid="{E9CE2904-7039-4753-BFAC-BEA68BB5FB80}" name="Company" dataDxfId="75"/>
    <tableColumn id="3" xr3:uid="{C5225490-FAA2-447A-9B81-BAA801CD11C0}" name="Posting date" dataDxfId="74"/>
    <tableColumn id="4" xr3:uid="{B8FD1256-78CB-46E3-90A4-D9B50B5FA424}" name="4" dataDxfId="73"/>
    <tableColumn id="5" xr3:uid="{D5700F24-9C87-434E-B8E3-F20B75B035B7}" name="Document currency" dataDxfId="72"/>
    <tableColumn id="6" xr3:uid="{ED79D8FF-CF30-4E99-B6D9-43CBE5F304AD}" name="6" dataDxfId="71"/>
    <tableColumn id="7" xr3:uid="{CD6A1595-AFF2-4231-8DBE-EA61672DFE9B}" name="Document number" dataDxfId="70"/>
    <tableColumn id="8" xr3:uid="{B89AFFB1-341C-43E7-BD52-73EA191CFDA5}" name="Items" dataDxfId="69"/>
    <tableColumn id="9" xr3:uid="{2AE06AB0-3B22-4D2A-87EB-3600C299B7FC}" name="9" dataDxfId="68"/>
    <tableColumn id="10" xr3:uid="{7A3904EF-BD67-48A1-8C8E-AB29661D0492}" name="SAP G/L Account" dataDxfId="67"/>
    <tableColumn id="11" xr3:uid="{3B6355BD-C20A-41F1-9B6B-7DD61B364F5C}" name="11" dataDxfId="66"/>
    <tableColumn id="12" xr3:uid="{68E52616-0185-4AD4-9E83-AF0F55E9C512}" name="12" dataDxfId="65"/>
    <tableColumn id="13" xr3:uid="{29AD270F-EDEC-4798-90F8-7E2246959A41}" name="Cost center" dataDxfId="64"/>
    <tableColumn id="14" xr3:uid="{7B22A939-7FB3-4833-ADF1-C66A23029AEF}" name="14" dataDxfId="63"/>
    <tableColumn id="15" xr3:uid="{4DBAF425-E209-4408-AD20-473171292D0A}" name="15" dataDxfId="62"/>
    <tableColumn id="16" xr3:uid="{A45FAF29-A4A3-4B1E-81A1-11E75EDD4358}" name="Material code" dataDxfId="61"/>
    <tableColumn id="17" xr3:uid="{8D7BF41F-A06A-4B6B-BA94-21ED0A3C7A3F}" name="17" dataDxfId="60"/>
    <tableColumn id="18" xr3:uid="{ED9270B3-4A02-4472-BDA1-5908A3386FD5}" name="Quantity" dataDxfId="59"/>
    <tableColumn id="19" xr3:uid="{9E8590B6-A111-4907-92D4-4DC714B4B843}" name="Amount in doc. curr." dataDxfId="58"/>
    <tableColumn id="20" xr3:uid="{78A0A6E8-B205-47F3-BA45-24F238753F6C}" name="Amount in local currency" dataDxfId="57"/>
    <tableColumn id="21" xr3:uid="{754BFEBC-A66E-49C5-A368-EA0F3CB4165F}" name="21" dataDxfId="56"/>
    <tableColumn id="22" xr3:uid="{239B2D85-6294-40AC-825C-FE1C0F34C64A}" name="Text" dataDxfId="55"/>
    <tableColumn id="23" xr3:uid="{BB999E02-59C4-43D0-9625-648A416D22DC}" name="Customer" dataDxfId="54"/>
    <tableColumn id="24" xr3:uid="{A5FF21CA-D7B1-4E62-ABB4-3AACA897E7CC}" name="24" dataDxfId="53"/>
    <tableColumn id="25" xr3:uid="{560545D4-D446-42F2-8630-55E91EE47B70}" name="25" dataDxfId="52"/>
    <tableColumn id="26" xr3:uid="{420C5647-1483-4D03-819A-565E223F4997}" name="26" dataDxfId="51"/>
    <tableColumn id="27" xr3:uid="{AE48963B-96BF-4D0C-83CF-A5B801CBEC9A}" name="27" dataDxfId="50"/>
    <tableColumn id="28" xr3:uid="{BCCF69D8-30A4-4E8E-82EE-534B61594990}" name="28" dataDxfId="49"/>
    <tableColumn id="29" xr3:uid="{D74ADD68-D5E8-4FA7-BF35-09AACA5B20CB}" name="29" dataDxfId="48"/>
    <tableColumn id="30" xr3:uid="{27E5A594-D41F-4786-A37B-B2CFEEA9680F}" name="30" dataDxfId="47"/>
    <tableColumn id="31" xr3:uid="{50AD6473-6C77-451D-94F9-0B2C5E6470A3}" name="Biz Code" dataDxfId="46"/>
    <tableColumn id="32" xr3:uid="{E2F05162-A96D-4A6A-89C1-B817E60BBD25}" name="Set Code" dataDxfId="45"/>
    <tableColumn id="33" xr3:uid="{807F0A0B-8DF8-4FCD-A76A-891150DA3929}" name="33" dataDxfId="44"/>
    <tableColumn id="34" xr3:uid="{FCF5E334-1636-41D7-9908-E4A2AAD54B80}" name="34" dataDxfId="43"/>
    <tableColumn id="35" xr3:uid="{4AA914C0-0526-4AA3-BC37-01D77A6140DF}" name="35" dataDxfId="42"/>
    <tableColumn id="36" xr3:uid="{5AAF48AB-C6C0-4892-981B-E8988FB695AE}" name="36" dataDxfId="41"/>
    <tableColumn id="37" xr3:uid="{EEF60E53-324E-405E-9D21-437E3C87D943}" name="37" dataDxfId="40"/>
    <tableColumn id="38" xr3:uid="{B812DEC9-8B00-4BFA-9B18-C2276A6265F7}" name="RRW" dataDxfId="39"/>
    <tableColumn id="39" xr3:uid="{985FFF36-157A-4702-BF8B-30B5401EF9B4}" name="M3" dataDxfId="38"/>
    <tableColumn id="40" xr3:uid="{5D7CFEA2-EE86-47F6-8254-2EEA3C306729}" name="40" dataDxfId="37"/>
    <tableColumn id="41" xr3:uid="{BE69B39B-2A1B-403A-83FE-35B8B5954454}" name="Local currency" dataDxfId="36"/>
    <tableColumn id="42" xr3:uid="{8F2B287C-F69A-422A-A57B-47B24F047090}" name="42" dataDxfId="35"/>
    <tableColumn id="43" xr3:uid="{3128EC4D-0201-468A-9712-128F8A4680AA}" name="Material Description" dataDxfId="34"/>
    <tableColumn id="44" xr3:uid="{A84AFC7F-FEDC-4DF0-93E2-D009F2AEA067}" name="Product Code Type" dataDxfId="33"/>
    <tableColumn id="45" xr3:uid="{25369AB4-C77B-4E0F-BEDC-ED97311262D7}" name="Sales Channel" dataDxfId="32"/>
    <tableColumn id="46" xr3:uid="{E30D3105-2760-425E-A8F8-9AEB9936483E}" name="BS Group Flag" dataDxfId="31"/>
    <tableColumn id="47" xr3:uid="{1591AD1A-56D9-4854-9C20-09BD048145B2}" name="Sold to company" dataDxfId="30"/>
    <tableColumn id="48" xr3:uid="{014778C7-3CC0-43D1-96FA-A74E5A6E522B}" name="Ship to country" dataDxfId="29"/>
    <tableColumn id="49" xr3:uid="{27F95660-45CC-45D2-BD6A-4DBD587BE359}" name="Customer Category" dataDxfId="28"/>
    <tableColumn id="50" xr3:uid="{E22EA1EF-D1E0-46AB-B7CB-21BA686AC70B}" name="50" dataDxfId="27"/>
    <tableColumn id="51" xr3:uid="{5F1B6D1A-6949-42B9-9E65-3E4956EFFB7E}" name="51" dataDxfId="26"/>
    <tableColumn id="52" xr3:uid="{A219A55C-54B7-47EB-9D92-99FAE660226D}" name="52" dataDxfId="25"/>
    <tableColumn id="53" xr3:uid="{41763A04-C13E-4C37-862F-1A0B57BCA448}" name="53" dataDxfId="24"/>
    <tableColumn id="54" xr3:uid="{74734A12-AE55-4C77-A508-96C0FD62C422}" name="54" dataDxfId="23"/>
    <tableColumn id="55" xr3:uid="{7B2633FF-257D-4F1F-89C5-6CDFBD510C59}" name="55" dataDxfId="22"/>
    <tableColumn id="56" xr3:uid="{A614834B-8572-46C7-9F37-0A5C81849444}" name="56" dataDxfId="21"/>
    <tableColumn id="57" xr3:uid="{DEB7AEB8-2CA2-4BE4-A6ED-520B2AC4DA18}" name="57" dataDxfId="20"/>
    <tableColumn id="58" xr3:uid="{B5F3A690-F0BC-4B05-9749-4967D6530AEA}" name="Internal order" dataDxfId="19"/>
    <tableColumn id="59" xr3:uid="{53F8C837-BC1B-4C43-95DC-761B0809211D}" name="Customer Name" dataDxfId="18"/>
    <tableColumn id="60" xr3:uid="{0BBF214D-5EE1-4AA6-B757-744495DB950A}" name="Document type" dataDxfId="17"/>
    <tableColumn id="61" xr3:uid="{73907F11-570F-4CD8-8F69-EBEF59A8E096}" name="61" dataDxfId="16"/>
    <tableColumn id="62" xr3:uid="{2A79A247-966A-4D44-8C6E-6B1BB22CB2BD}" name="62" dataDxfId="15"/>
    <tableColumn id="63" xr3:uid="{3C99AECC-37B5-4A2D-A250-DE50AE6779C8}" name="63" dataDxfId="14"/>
    <tableColumn id="64" xr3:uid="{C73CDC64-64D2-480E-8DE5-A9DFCC041DE8}" name="64" dataDxfId="13"/>
    <tableColumn id="65" xr3:uid="{35BA2454-C6E5-43D3-AF6D-4195DF263FA9}" name="65" dataDxfId="12"/>
    <tableColumn id="66" xr3:uid="{2F6079D1-6DC6-4DFD-AFA7-2457AD9F9D8D}" name="66" dataDxfId="11"/>
    <tableColumn id="67" xr3:uid="{6E1EFDB0-8A9B-46AB-AEA4-45AF9C0E2467}" name="67" dataDxfId="10"/>
    <tableColumn id="68" xr3:uid="{3DC0E0AD-6777-4576-994F-A6D17D07DED0}" name="Sales Year-Month" dataDxfId="9"/>
    <tableColumn id="69" xr3:uid="{CC9C47D1-78A1-4603-8114-D860717FD380}" name="Shipping country" dataDxfId="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2D049A-5260-49C6-8C6A-6B76B7969DC3}" name="E_invoice" displayName="E_invoice" ref="A5:K445" tableType="queryTable" totalsRowShown="0">
  <autoFilter ref="A5:K445" xr:uid="{9D2D049A-5260-49C6-8C6A-6B76B7969DC3}"/>
  <tableColumns count="11">
    <tableColumn id="1" xr3:uid="{91208B75-3BEC-48EA-B022-BC19B7BBE7B9}" uniqueName="1" name="FP/GC" queryTableFieldId="1" dataDxfId="7"/>
    <tableColumn id="2" xr3:uid="{272C061F-163C-4C7F-98BD-BA387AEF1DFC}" uniqueName="2" name="Inv." queryTableFieldId="2" dataDxfId="6"/>
    <tableColumn id="3" xr3:uid="{55E04BE7-2F9E-481B-8C29-2CE89B102C27}" uniqueName="3" name="Customer" queryTableFieldId="3" dataDxfId="5"/>
    <tableColumn id="4" xr3:uid="{56108316-E18D-4F17-B77B-BC6E3D5EAB4C}" uniqueName="4" name="P.Code" queryTableFieldId="4" dataDxfId="4"/>
    <tableColumn id="5" xr3:uid="{996DD4EF-8808-4451-A417-1F3E58B85407}" uniqueName="5" name="Q'ty" queryTableFieldId="5"/>
    <tableColumn id="6" xr3:uid="{C02135DA-EE88-4DD8-9B4C-8A3392AED78D}" uniqueName="6" name="Unit price" queryTableFieldId="6"/>
    <tableColumn id="7" xr3:uid="{3F0C5E40-DD83-48FD-A064-C7A065ACE787}" uniqueName="7" name="Am't" queryTableFieldId="7"/>
    <tableColumn id="8" xr3:uid="{D1561EEB-4502-467F-A083-53F77DDECF3E}" uniqueName="8" name="CSNEE" queryTableFieldId="8" dataDxfId="3"/>
    <tableColumn id="12" xr3:uid="{4D7D9E9A-ECB8-47BA-9725-9616AD694D9C}" uniqueName="12" name="Trim" queryTableFieldId="12" dataDxfId="2">
      <calculatedColumnFormula>LEFT(E_invoice[[#This Row],[P.Code]],8)</calculatedColumnFormula>
    </tableColumn>
    <tableColumn id="9" xr3:uid="{2B760C81-83EC-45E2-9876-BC3DF6371D32}" uniqueName="9" name="Buyer" queryTableFieldId="9" dataDxfId="1">
      <calculatedColumnFormula>VLOOKUP(E_invoice[[#This Row],[Customer]],$A$2:$B$44,2,0)</calculatedColumnFormula>
    </tableColumn>
    <tableColumn id="10" xr3:uid="{DC299195-E2F5-4A4E-AEC0-5AF38B51757C}" uniqueName="10" name="Cus1" queryTableFieldId="10" dataDxfId="0">
      <calculatedColumnFormula>E_invoice[[#This Row],[Customer]]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../../70.Inventories/2024/FP/Monthly%20report/1.BKHDBH/BKHDBH%2005.24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Q3474"/>
  <sheetViews>
    <sheetView zoomScale="106" zoomScaleNormal="106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G7" sqref="G7"/>
    </sheetView>
  </sheetViews>
  <sheetFormatPr defaultRowHeight="15" x14ac:dyDescent="0.25"/>
  <cols>
    <col min="1" max="1" width="12.7109375" customWidth="1"/>
    <col min="2" max="2" width="7.85546875" customWidth="1"/>
    <col min="3" max="3" width="11.28515625" customWidth="1"/>
    <col min="4" max="4" width="4.140625" customWidth="1"/>
    <col min="5" max="5" width="7" customWidth="1"/>
    <col min="6" max="6" width="4.140625" customWidth="1"/>
    <col min="7" max="7" width="14.28515625" style="1" customWidth="1"/>
    <col min="8" max="8" width="8.28515625" bestFit="1" customWidth="1"/>
    <col min="9" max="9" width="4.140625" customWidth="1"/>
    <col min="10" max="10" width="10" customWidth="1"/>
    <col min="11" max="12" width="5.140625" customWidth="1"/>
    <col min="13" max="13" width="13.140625" customWidth="1"/>
    <col min="14" max="15" width="5.140625" customWidth="1"/>
    <col min="16" max="16" width="10.85546875" customWidth="1"/>
    <col min="17" max="17" width="5.140625" customWidth="1"/>
    <col min="18" max="18" width="11" bestFit="1" customWidth="1"/>
    <col min="19" max="19" width="21" customWidth="1"/>
    <col min="20" max="20" width="25" customWidth="1"/>
    <col min="21" max="21" width="5.140625" customWidth="1"/>
    <col min="22" max="22" width="46.7109375" bestFit="1" customWidth="1"/>
    <col min="23" max="23" width="14.42578125" customWidth="1"/>
    <col min="24" max="30" width="5.140625" customWidth="1"/>
    <col min="31" max="31" width="10.7109375" customWidth="1"/>
    <col min="32" max="32" width="11" customWidth="1"/>
    <col min="33" max="37" width="5.140625" customWidth="1"/>
    <col min="38" max="38" width="15.28515625" bestFit="1" customWidth="1"/>
    <col min="39" max="39" width="7" bestFit="1" customWidth="1"/>
    <col min="40" max="40" width="5.140625" customWidth="1"/>
    <col min="41" max="41" width="15.5703125" customWidth="1"/>
    <col min="42" max="42" width="5.140625" customWidth="1"/>
    <col min="43" max="43" width="38.7109375" bestFit="1" customWidth="1"/>
    <col min="44" max="44" width="19.7109375" customWidth="1"/>
    <col min="45" max="45" width="15.42578125" customWidth="1"/>
    <col min="46" max="46" width="15.28515625" customWidth="1"/>
    <col min="47" max="47" width="17.7109375" customWidth="1"/>
    <col min="48" max="48" width="16.42578125" customWidth="1"/>
    <col min="49" max="49" width="20" customWidth="1"/>
    <col min="50" max="57" width="5.140625" customWidth="1"/>
    <col min="58" max="58" width="15.7109375" bestFit="1" customWidth="1"/>
    <col min="59" max="59" width="41.5703125" bestFit="1" customWidth="1"/>
    <col min="60" max="60" width="16.7109375" customWidth="1"/>
    <col min="61" max="67" width="5.140625" customWidth="1"/>
    <col min="68" max="68" width="18.85546875" customWidth="1"/>
    <col min="69" max="69" width="18" customWidth="1"/>
  </cols>
  <sheetData>
    <row r="1" spans="1:69" x14ac:dyDescent="0.25">
      <c r="T1" s="10">
        <f>SUBTOTAL(9,T3:T3198)</f>
        <v>0</v>
      </c>
      <c r="AL1" s="10">
        <f>SUBTOTAL(9,AL3:AL3198)</f>
        <v>472428.83299999987</v>
      </c>
    </row>
    <row r="2" spans="1:69" s="2" customFormat="1" ht="60" x14ac:dyDescent="0.25">
      <c r="A2" s="2" t="s">
        <v>0</v>
      </c>
      <c r="B2" s="2" t="s">
        <v>1</v>
      </c>
      <c r="C2" s="2" t="s">
        <v>2</v>
      </c>
      <c r="D2" s="2" t="s">
        <v>31</v>
      </c>
      <c r="E2" s="2" t="s">
        <v>10</v>
      </c>
      <c r="F2" s="2" t="s">
        <v>32</v>
      </c>
      <c r="G2" s="2" t="s">
        <v>3</v>
      </c>
      <c r="H2" s="2" t="s">
        <v>4</v>
      </c>
      <c r="I2" s="2" t="s">
        <v>33</v>
      </c>
      <c r="J2" s="5" t="s">
        <v>11</v>
      </c>
      <c r="K2" s="2" t="s">
        <v>34</v>
      </c>
      <c r="L2" s="2" t="s">
        <v>35</v>
      </c>
      <c r="M2" s="2" t="s">
        <v>5</v>
      </c>
      <c r="N2" s="2" t="s">
        <v>36</v>
      </c>
      <c r="O2" s="2" t="s">
        <v>37</v>
      </c>
      <c r="P2" s="4" t="s">
        <v>6</v>
      </c>
      <c r="Q2" s="2" t="s">
        <v>38</v>
      </c>
      <c r="R2" s="2" t="s">
        <v>7</v>
      </c>
      <c r="S2" s="2" t="s">
        <v>8</v>
      </c>
      <c r="T2" s="2" t="s">
        <v>9</v>
      </c>
      <c r="U2" s="2" t="s">
        <v>39</v>
      </c>
      <c r="V2" s="2" t="s">
        <v>12</v>
      </c>
      <c r="W2" s="3" t="s">
        <v>13</v>
      </c>
      <c r="X2" s="2" t="s">
        <v>40</v>
      </c>
      <c r="Y2" s="2" t="s">
        <v>41</v>
      </c>
      <c r="Z2" s="2" t="s">
        <v>42</v>
      </c>
      <c r="AA2" s="2" t="s">
        <v>43</v>
      </c>
      <c r="AB2" s="2" t="s">
        <v>44</v>
      </c>
      <c r="AC2" s="2" t="s">
        <v>45</v>
      </c>
      <c r="AD2" s="2" t="s">
        <v>46</v>
      </c>
      <c r="AE2" s="4" t="s">
        <v>14</v>
      </c>
      <c r="AF2" s="4" t="s">
        <v>15</v>
      </c>
      <c r="AG2" s="2" t="s">
        <v>47</v>
      </c>
      <c r="AH2" s="2" t="s">
        <v>48</v>
      </c>
      <c r="AI2" s="2" t="s">
        <v>49</v>
      </c>
      <c r="AJ2" s="2" t="s">
        <v>50</v>
      </c>
      <c r="AK2" s="2" t="s">
        <v>51</v>
      </c>
      <c r="AL2" s="6" t="s">
        <v>16</v>
      </c>
      <c r="AM2" s="2" t="s">
        <v>30</v>
      </c>
      <c r="AN2" s="2" t="s">
        <v>52</v>
      </c>
      <c r="AO2" s="2" t="s">
        <v>17</v>
      </c>
      <c r="AP2" s="2" t="s">
        <v>53</v>
      </c>
      <c r="AQ2" s="4" t="s">
        <v>18</v>
      </c>
      <c r="AR2" s="4" t="s">
        <v>21</v>
      </c>
      <c r="AS2" s="2" t="s">
        <v>19</v>
      </c>
      <c r="AT2" s="3" t="s">
        <v>22</v>
      </c>
      <c r="AU2" s="2" t="s">
        <v>25</v>
      </c>
      <c r="AV2" s="2" t="s">
        <v>23</v>
      </c>
      <c r="AW2" s="2" t="s">
        <v>29</v>
      </c>
      <c r="AX2" s="2" t="s">
        <v>54</v>
      </c>
      <c r="AY2" s="2" t="s">
        <v>55</v>
      </c>
      <c r="AZ2" s="2" t="s">
        <v>56</v>
      </c>
      <c r="BA2" s="2" t="s">
        <v>57</v>
      </c>
      <c r="BB2" s="2" t="s">
        <v>58</v>
      </c>
      <c r="BC2" s="2" t="s">
        <v>59</v>
      </c>
      <c r="BD2" s="2" t="s">
        <v>60</v>
      </c>
      <c r="BE2" s="2" t="s">
        <v>61</v>
      </c>
      <c r="BF2" s="7" t="s">
        <v>24</v>
      </c>
      <c r="BG2" s="3" t="s">
        <v>20</v>
      </c>
      <c r="BH2" s="2" t="s">
        <v>27</v>
      </c>
      <c r="BI2" s="2" t="s">
        <v>62</v>
      </c>
      <c r="BJ2" s="2" t="s">
        <v>63</v>
      </c>
      <c r="BK2" s="2" t="s">
        <v>64</v>
      </c>
      <c r="BL2" s="2" t="s">
        <v>65</v>
      </c>
      <c r="BM2" s="2" t="s">
        <v>66</v>
      </c>
      <c r="BN2" s="2" t="s">
        <v>67</v>
      </c>
      <c r="BO2" s="2" t="s">
        <v>68</v>
      </c>
      <c r="BP2" s="2" t="s">
        <v>28</v>
      </c>
      <c r="BQ2" s="2" t="s">
        <v>26</v>
      </c>
    </row>
    <row r="3" spans="1:69" x14ac:dyDescent="0.25">
      <c r="A3" t="s">
        <v>5713</v>
      </c>
      <c r="B3" t="s">
        <v>474</v>
      </c>
      <c r="C3" t="s">
        <v>1487</v>
      </c>
      <c r="E3" t="s">
        <v>480</v>
      </c>
      <c r="G3" s="1" t="s">
        <v>1488</v>
      </c>
      <c r="H3" t="s">
        <v>476</v>
      </c>
      <c r="J3">
        <v>400015</v>
      </c>
      <c r="M3" t="s">
        <v>1417</v>
      </c>
      <c r="P3" t="s">
        <v>133</v>
      </c>
      <c r="R3" t="s">
        <v>501</v>
      </c>
      <c r="S3" t="s">
        <v>502</v>
      </c>
      <c r="T3" t="s">
        <v>503</v>
      </c>
      <c r="V3" t="s">
        <v>477</v>
      </c>
      <c r="W3" t="s">
        <v>70</v>
      </c>
      <c r="AE3" t="s">
        <v>478</v>
      </c>
      <c r="AF3" t="s">
        <v>479</v>
      </c>
      <c r="AL3">
        <v>3583.44</v>
      </c>
      <c r="AM3" t="s">
        <v>504</v>
      </c>
      <c r="AO3" t="s">
        <v>480</v>
      </c>
      <c r="AP3" t="s">
        <v>481</v>
      </c>
      <c r="AQ3" t="s">
        <v>505</v>
      </c>
      <c r="AR3" t="s">
        <v>482</v>
      </c>
      <c r="AS3" t="s">
        <v>483</v>
      </c>
      <c r="AT3" t="s">
        <v>484</v>
      </c>
      <c r="AU3" t="s">
        <v>490</v>
      </c>
      <c r="AV3" t="s">
        <v>491</v>
      </c>
      <c r="AW3" t="s">
        <v>486</v>
      </c>
      <c r="BF3" s="1"/>
      <c r="BG3" t="s">
        <v>71</v>
      </c>
      <c r="BH3" t="s">
        <v>487</v>
      </c>
      <c r="BP3" t="s">
        <v>1489</v>
      </c>
      <c r="BQ3" t="s">
        <v>491</v>
      </c>
    </row>
    <row r="4" spans="1:69" x14ac:dyDescent="0.25">
      <c r="A4" t="s">
        <v>5713</v>
      </c>
      <c r="B4" t="s">
        <v>474</v>
      </c>
      <c r="C4" t="s">
        <v>1487</v>
      </c>
      <c r="E4" t="s">
        <v>480</v>
      </c>
      <c r="G4" s="1" t="s">
        <v>1488</v>
      </c>
      <c r="H4" t="s">
        <v>492</v>
      </c>
      <c r="J4">
        <v>400015</v>
      </c>
      <c r="M4" t="s">
        <v>1417</v>
      </c>
      <c r="P4" t="s">
        <v>133</v>
      </c>
      <c r="R4" t="s">
        <v>501</v>
      </c>
      <c r="S4" t="s">
        <v>502</v>
      </c>
      <c r="T4" t="s">
        <v>503</v>
      </c>
      <c r="V4" t="s">
        <v>477</v>
      </c>
      <c r="W4" t="s">
        <v>70</v>
      </c>
      <c r="AE4" t="s">
        <v>478</v>
      </c>
      <c r="AF4" t="s">
        <v>479</v>
      </c>
      <c r="AL4">
        <v>3583.44</v>
      </c>
      <c r="AM4" t="s">
        <v>504</v>
      </c>
      <c r="AO4" t="s">
        <v>480</v>
      </c>
      <c r="AP4" t="s">
        <v>481</v>
      </c>
      <c r="AQ4" t="s">
        <v>505</v>
      </c>
      <c r="AR4" t="s">
        <v>482</v>
      </c>
      <c r="AS4" t="s">
        <v>483</v>
      </c>
      <c r="AT4" t="s">
        <v>484</v>
      </c>
      <c r="AU4" t="s">
        <v>490</v>
      </c>
      <c r="AV4" t="s">
        <v>491</v>
      </c>
      <c r="AW4" t="s">
        <v>486</v>
      </c>
      <c r="BF4" s="1"/>
      <c r="BG4" t="s">
        <v>71</v>
      </c>
      <c r="BH4" t="s">
        <v>487</v>
      </c>
      <c r="BP4" t="s">
        <v>1489</v>
      </c>
      <c r="BQ4" t="s">
        <v>491</v>
      </c>
    </row>
    <row r="5" spans="1:69" x14ac:dyDescent="0.25">
      <c r="A5" t="s">
        <v>5713</v>
      </c>
      <c r="B5" t="s">
        <v>474</v>
      </c>
      <c r="C5" t="s">
        <v>1487</v>
      </c>
      <c r="E5" t="s">
        <v>480</v>
      </c>
      <c r="G5" s="1" t="s">
        <v>1488</v>
      </c>
      <c r="H5" t="s">
        <v>498</v>
      </c>
      <c r="J5">
        <v>400015</v>
      </c>
      <c r="M5" t="s">
        <v>1417</v>
      </c>
      <c r="P5" t="s">
        <v>121</v>
      </c>
      <c r="R5" t="s">
        <v>1490</v>
      </c>
      <c r="S5" t="s">
        <v>1491</v>
      </c>
      <c r="T5" t="s">
        <v>1492</v>
      </c>
      <c r="V5" t="s">
        <v>477</v>
      </c>
      <c r="W5" t="s">
        <v>70</v>
      </c>
      <c r="AE5" t="s">
        <v>478</v>
      </c>
      <c r="AF5" t="s">
        <v>479</v>
      </c>
      <c r="AL5">
        <v>1198.8319999999999</v>
      </c>
      <c r="AM5" t="s">
        <v>1493</v>
      </c>
      <c r="AO5" t="s">
        <v>480</v>
      </c>
      <c r="AP5" t="s">
        <v>481</v>
      </c>
      <c r="AQ5" t="s">
        <v>499</v>
      </c>
      <c r="AR5" t="s">
        <v>482</v>
      </c>
      <c r="AS5" t="s">
        <v>483</v>
      </c>
      <c r="AT5" t="s">
        <v>484</v>
      </c>
      <c r="AU5" t="s">
        <v>490</v>
      </c>
      <c r="AV5" t="s">
        <v>491</v>
      </c>
      <c r="AW5" t="s">
        <v>486</v>
      </c>
      <c r="BF5" s="1"/>
      <c r="BG5" t="s">
        <v>71</v>
      </c>
      <c r="BH5" t="s">
        <v>487</v>
      </c>
      <c r="BP5" t="s">
        <v>1489</v>
      </c>
      <c r="BQ5" t="s">
        <v>491</v>
      </c>
    </row>
    <row r="6" spans="1:69" x14ac:dyDescent="0.25">
      <c r="A6" t="s">
        <v>5713</v>
      </c>
      <c r="B6" t="s">
        <v>474</v>
      </c>
      <c r="C6" t="s">
        <v>1487</v>
      </c>
      <c r="E6" t="s">
        <v>480</v>
      </c>
      <c r="G6" s="1" t="s">
        <v>1488</v>
      </c>
      <c r="H6" t="s">
        <v>500</v>
      </c>
      <c r="J6">
        <v>400015</v>
      </c>
      <c r="M6" t="s">
        <v>1417</v>
      </c>
      <c r="P6" t="s">
        <v>133</v>
      </c>
      <c r="R6" t="s">
        <v>1494</v>
      </c>
      <c r="S6" t="s">
        <v>1495</v>
      </c>
      <c r="T6" t="s">
        <v>1496</v>
      </c>
      <c r="V6" t="s">
        <v>477</v>
      </c>
      <c r="W6" t="s">
        <v>70</v>
      </c>
      <c r="AE6" t="s">
        <v>478</v>
      </c>
      <c r="AF6" t="s">
        <v>479</v>
      </c>
      <c r="AL6">
        <v>227.52</v>
      </c>
      <c r="AM6" t="s">
        <v>1497</v>
      </c>
      <c r="AO6" t="s">
        <v>480</v>
      </c>
      <c r="AP6" t="s">
        <v>481</v>
      </c>
      <c r="AQ6" t="s">
        <v>505</v>
      </c>
      <c r="AR6" t="s">
        <v>482</v>
      </c>
      <c r="AS6" t="s">
        <v>483</v>
      </c>
      <c r="AT6" t="s">
        <v>484</v>
      </c>
      <c r="AU6" t="s">
        <v>490</v>
      </c>
      <c r="AV6" t="s">
        <v>491</v>
      </c>
      <c r="AW6" t="s">
        <v>486</v>
      </c>
      <c r="BF6" s="1"/>
      <c r="BG6" t="s">
        <v>71</v>
      </c>
      <c r="BH6" t="s">
        <v>487</v>
      </c>
      <c r="BP6" t="s">
        <v>1489</v>
      </c>
      <c r="BQ6" t="s">
        <v>491</v>
      </c>
    </row>
    <row r="7" spans="1:69" x14ac:dyDescent="0.25">
      <c r="A7" t="s">
        <v>5713</v>
      </c>
      <c r="B7" t="s">
        <v>474</v>
      </c>
      <c r="C7" t="s">
        <v>1487</v>
      </c>
      <c r="E7" t="s">
        <v>480</v>
      </c>
      <c r="G7" s="1" t="s">
        <v>1488</v>
      </c>
      <c r="H7" t="s">
        <v>517</v>
      </c>
      <c r="J7">
        <v>400015</v>
      </c>
      <c r="M7" t="s">
        <v>1430</v>
      </c>
      <c r="P7" t="s">
        <v>167</v>
      </c>
      <c r="R7" t="s">
        <v>488</v>
      </c>
      <c r="S7" t="s">
        <v>1498</v>
      </c>
      <c r="T7" t="s">
        <v>1499</v>
      </c>
      <c r="V7" t="s">
        <v>477</v>
      </c>
      <c r="W7" t="s">
        <v>70</v>
      </c>
      <c r="AE7" t="s">
        <v>478</v>
      </c>
      <c r="AF7" t="s">
        <v>479</v>
      </c>
      <c r="AL7">
        <v>557.9</v>
      </c>
      <c r="AM7" t="s">
        <v>772</v>
      </c>
      <c r="AO7" t="s">
        <v>480</v>
      </c>
      <c r="AP7" t="s">
        <v>481</v>
      </c>
      <c r="AQ7" t="s">
        <v>759</v>
      </c>
      <c r="AR7" t="s">
        <v>482</v>
      </c>
      <c r="AS7" t="s">
        <v>483</v>
      </c>
      <c r="AT7" t="s">
        <v>484</v>
      </c>
      <c r="AU7" t="s">
        <v>490</v>
      </c>
      <c r="AV7" t="s">
        <v>491</v>
      </c>
      <c r="AW7" t="s">
        <v>486</v>
      </c>
      <c r="BF7" s="1"/>
      <c r="BG7" t="s">
        <v>71</v>
      </c>
      <c r="BH7" t="s">
        <v>487</v>
      </c>
      <c r="BP7" t="s">
        <v>1489</v>
      </c>
      <c r="BQ7" t="s">
        <v>491</v>
      </c>
    </row>
    <row r="8" spans="1:69" x14ac:dyDescent="0.25">
      <c r="A8" t="s">
        <v>5713</v>
      </c>
      <c r="B8" t="s">
        <v>474</v>
      </c>
      <c r="C8" t="s">
        <v>1487</v>
      </c>
      <c r="E8" t="s">
        <v>480</v>
      </c>
      <c r="G8" s="1" t="s">
        <v>1488</v>
      </c>
      <c r="H8" t="s">
        <v>537</v>
      </c>
      <c r="J8">
        <v>400015</v>
      </c>
      <c r="M8" t="s">
        <v>1417</v>
      </c>
      <c r="P8" t="s">
        <v>121</v>
      </c>
      <c r="R8" t="s">
        <v>1500</v>
      </c>
      <c r="S8" t="s">
        <v>1501</v>
      </c>
      <c r="T8" t="s">
        <v>1502</v>
      </c>
      <c r="V8" t="s">
        <v>477</v>
      </c>
      <c r="W8" t="s">
        <v>70</v>
      </c>
      <c r="AE8" t="s">
        <v>478</v>
      </c>
      <c r="AF8" t="s">
        <v>479</v>
      </c>
      <c r="AL8">
        <v>1590.386</v>
      </c>
      <c r="AM8" t="s">
        <v>1503</v>
      </c>
      <c r="AO8" t="s">
        <v>480</v>
      </c>
      <c r="AP8" t="s">
        <v>481</v>
      </c>
      <c r="AQ8" t="s">
        <v>499</v>
      </c>
      <c r="AR8" t="s">
        <v>482</v>
      </c>
      <c r="AS8" t="s">
        <v>483</v>
      </c>
      <c r="AT8" t="s">
        <v>484</v>
      </c>
      <c r="AU8" t="s">
        <v>490</v>
      </c>
      <c r="AV8" t="s">
        <v>491</v>
      </c>
      <c r="AW8" t="s">
        <v>486</v>
      </c>
      <c r="BF8" s="1"/>
      <c r="BG8" t="s">
        <v>71</v>
      </c>
      <c r="BH8" t="s">
        <v>487</v>
      </c>
      <c r="BP8" t="s">
        <v>1489</v>
      </c>
      <c r="BQ8" t="s">
        <v>491</v>
      </c>
    </row>
    <row r="9" spans="1:69" x14ac:dyDescent="0.25">
      <c r="A9" t="s">
        <v>5713</v>
      </c>
      <c r="B9" t="s">
        <v>474</v>
      </c>
      <c r="C9" t="s">
        <v>1487</v>
      </c>
      <c r="E9" t="s">
        <v>480</v>
      </c>
      <c r="G9" s="1" t="s">
        <v>1488</v>
      </c>
      <c r="H9" t="s">
        <v>542</v>
      </c>
      <c r="J9">
        <v>400015</v>
      </c>
      <c r="M9" t="s">
        <v>1417</v>
      </c>
      <c r="P9" t="s">
        <v>121</v>
      </c>
      <c r="R9" t="s">
        <v>501</v>
      </c>
      <c r="S9" t="s">
        <v>659</v>
      </c>
      <c r="T9" t="s">
        <v>660</v>
      </c>
      <c r="V9" t="s">
        <v>477</v>
      </c>
      <c r="W9" t="s">
        <v>70</v>
      </c>
      <c r="AE9" t="s">
        <v>478</v>
      </c>
      <c r="AF9" t="s">
        <v>479</v>
      </c>
      <c r="AL9">
        <v>3654.5039999999999</v>
      </c>
      <c r="AM9" t="s">
        <v>504</v>
      </c>
      <c r="AO9" t="s">
        <v>480</v>
      </c>
      <c r="AP9" t="s">
        <v>481</v>
      </c>
      <c r="AQ9" t="s">
        <v>499</v>
      </c>
      <c r="AR9" t="s">
        <v>482</v>
      </c>
      <c r="AS9" t="s">
        <v>483</v>
      </c>
      <c r="AT9" t="s">
        <v>484</v>
      </c>
      <c r="AU9" t="s">
        <v>490</v>
      </c>
      <c r="AV9" t="s">
        <v>491</v>
      </c>
      <c r="AW9" t="s">
        <v>486</v>
      </c>
      <c r="BF9" s="1"/>
      <c r="BG9" t="s">
        <v>71</v>
      </c>
      <c r="BH9" t="s">
        <v>487</v>
      </c>
      <c r="BP9" t="s">
        <v>1489</v>
      </c>
      <c r="BQ9" t="s">
        <v>491</v>
      </c>
    </row>
    <row r="10" spans="1:69" x14ac:dyDescent="0.25">
      <c r="A10" t="s">
        <v>5713</v>
      </c>
      <c r="B10" t="s">
        <v>474</v>
      </c>
      <c r="C10" t="s">
        <v>1504</v>
      </c>
      <c r="E10" t="s">
        <v>480</v>
      </c>
      <c r="G10" s="1" t="s">
        <v>1505</v>
      </c>
      <c r="H10" t="s">
        <v>476</v>
      </c>
      <c r="J10">
        <v>400015</v>
      </c>
      <c r="M10" t="s">
        <v>1429</v>
      </c>
      <c r="P10" t="s">
        <v>144</v>
      </c>
      <c r="R10" t="s">
        <v>722</v>
      </c>
      <c r="S10" t="s">
        <v>723</v>
      </c>
      <c r="T10" t="s">
        <v>724</v>
      </c>
      <c r="V10" t="s">
        <v>477</v>
      </c>
      <c r="W10" t="s">
        <v>70</v>
      </c>
      <c r="AE10" t="s">
        <v>478</v>
      </c>
      <c r="AF10" t="s">
        <v>479</v>
      </c>
      <c r="AL10">
        <v>4308.12</v>
      </c>
      <c r="AM10" t="s">
        <v>725</v>
      </c>
      <c r="AO10" t="s">
        <v>480</v>
      </c>
      <c r="AP10" t="s">
        <v>481</v>
      </c>
      <c r="AQ10" t="s">
        <v>726</v>
      </c>
      <c r="AR10" t="s">
        <v>482</v>
      </c>
      <c r="AS10" t="s">
        <v>483</v>
      </c>
      <c r="AT10" t="s">
        <v>484</v>
      </c>
      <c r="AU10" t="s">
        <v>490</v>
      </c>
      <c r="AV10" t="s">
        <v>511</v>
      </c>
      <c r="AW10" t="s">
        <v>486</v>
      </c>
      <c r="BF10" s="1"/>
      <c r="BG10" t="s">
        <v>71</v>
      </c>
      <c r="BH10" t="s">
        <v>487</v>
      </c>
      <c r="BP10" t="s">
        <v>1489</v>
      </c>
      <c r="BQ10" t="s">
        <v>511</v>
      </c>
    </row>
    <row r="11" spans="1:69" x14ac:dyDescent="0.25">
      <c r="A11" t="s">
        <v>5713</v>
      </c>
      <c r="B11" t="s">
        <v>474</v>
      </c>
      <c r="C11" t="s">
        <v>1506</v>
      </c>
      <c r="E11" t="s">
        <v>480</v>
      </c>
      <c r="G11" s="1" t="s">
        <v>1507</v>
      </c>
      <c r="H11" t="s">
        <v>476</v>
      </c>
      <c r="J11">
        <v>400015</v>
      </c>
      <c r="M11" t="s">
        <v>1417</v>
      </c>
      <c r="P11" t="s">
        <v>121</v>
      </c>
      <c r="R11" t="s">
        <v>1508</v>
      </c>
      <c r="S11" t="s">
        <v>1509</v>
      </c>
      <c r="T11" t="s">
        <v>1510</v>
      </c>
      <c r="V11" t="s">
        <v>477</v>
      </c>
      <c r="W11" t="s">
        <v>70</v>
      </c>
      <c r="AE11" t="s">
        <v>478</v>
      </c>
      <c r="AF11" t="s">
        <v>479</v>
      </c>
      <c r="AL11">
        <v>2358.9919999999997</v>
      </c>
      <c r="AM11" t="s">
        <v>1511</v>
      </c>
      <c r="AO11" t="s">
        <v>480</v>
      </c>
      <c r="AP11" t="s">
        <v>481</v>
      </c>
      <c r="AQ11" t="s">
        <v>499</v>
      </c>
      <c r="AR11" t="s">
        <v>482</v>
      </c>
      <c r="AS11" t="s">
        <v>483</v>
      </c>
      <c r="AT11" t="s">
        <v>484</v>
      </c>
      <c r="AU11" t="s">
        <v>490</v>
      </c>
      <c r="AV11" t="s">
        <v>491</v>
      </c>
      <c r="AW11" t="s">
        <v>486</v>
      </c>
      <c r="BF11" s="1"/>
      <c r="BG11" t="s">
        <v>71</v>
      </c>
      <c r="BH11" t="s">
        <v>487</v>
      </c>
      <c r="BP11" t="s">
        <v>1489</v>
      </c>
      <c r="BQ11" t="s">
        <v>491</v>
      </c>
    </row>
    <row r="12" spans="1:69" x14ac:dyDescent="0.25">
      <c r="A12" t="s">
        <v>5713</v>
      </c>
      <c r="B12" t="s">
        <v>474</v>
      </c>
      <c r="C12" t="s">
        <v>1506</v>
      </c>
      <c r="E12" t="s">
        <v>480</v>
      </c>
      <c r="G12" s="1" t="s">
        <v>1507</v>
      </c>
      <c r="H12" t="s">
        <v>492</v>
      </c>
      <c r="J12">
        <v>400015</v>
      </c>
      <c r="M12" t="s">
        <v>1417</v>
      </c>
      <c r="P12" t="s">
        <v>133</v>
      </c>
      <c r="R12" t="s">
        <v>1512</v>
      </c>
      <c r="S12" t="s">
        <v>1513</v>
      </c>
      <c r="T12" t="s">
        <v>1514</v>
      </c>
      <c r="V12" t="s">
        <v>477</v>
      </c>
      <c r="W12" t="s">
        <v>70</v>
      </c>
      <c r="AE12" t="s">
        <v>478</v>
      </c>
      <c r="AF12" t="s">
        <v>479</v>
      </c>
      <c r="AL12">
        <v>1270.3200000000002</v>
      </c>
      <c r="AM12" t="s">
        <v>890</v>
      </c>
      <c r="AO12" t="s">
        <v>480</v>
      </c>
      <c r="AP12" t="s">
        <v>481</v>
      </c>
      <c r="AQ12" t="s">
        <v>505</v>
      </c>
      <c r="AR12" t="s">
        <v>482</v>
      </c>
      <c r="AS12" t="s">
        <v>483</v>
      </c>
      <c r="AT12" t="s">
        <v>484</v>
      </c>
      <c r="AU12" t="s">
        <v>490</v>
      </c>
      <c r="AV12" t="s">
        <v>491</v>
      </c>
      <c r="AW12" t="s">
        <v>486</v>
      </c>
      <c r="BF12" s="1"/>
      <c r="BG12" t="s">
        <v>71</v>
      </c>
      <c r="BH12" t="s">
        <v>487</v>
      </c>
      <c r="BP12" t="s">
        <v>1489</v>
      </c>
      <c r="BQ12" t="s">
        <v>491</v>
      </c>
    </row>
    <row r="13" spans="1:69" x14ac:dyDescent="0.25">
      <c r="A13" t="s">
        <v>5713</v>
      </c>
      <c r="B13" t="s">
        <v>474</v>
      </c>
      <c r="C13" t="s">
        <v>1506</v>
      </c>
      <c r="E13" t="s">
        <v>480</v>
      </c>
      <c r="G13" s="1" t="s">
        <v>1515</v>
      </c>
      <c r="H13" t="s">
        <v>476</v>
      </c>
      <c r="J13">
        <v>400015</v>
      </c>
      <c r="M13" t="s">
        <v>1416</v>
      </c>
      <c r="P13" t="s">
        <v>83</v>
      </c>
      <c r="R13" t="s">
        <v>1516</v>
      </c>
      <c r="S13" t="s">
        <v>1517</v>
      </c>
      <c r="T13" t="s">
        <v>1518</v>
      </c>
      <c r="V13" t="s">
        <v>477</v>
      </c>
      <c r="W13" t="s">
        <v>70</v>
      </c>
      <c r="AE13" t="s">
        <v>478</v>
      </c>
      <c r="AF13" t="s">
        <v>479</v>
      </c>
      <c r="AL13">
        <v>3254.328</v>
      </c>
      <c r="AM13" t="s">
        <v>1519</v>
      </c>
      <c r="AO13" t="s">
        <v>480</v>
      </c>
      <c r="AP13" t="s">
        <v>481</v>
      </c>
      <c r="AQ13" t="s">
        <v>497</v>
      </c>
      <c r="AR13" t="s">
        <v>482</v>
      </c>
      <c r="AS13" t="s">
        <v>483</v>
      </c>
      <c r="AT13" t="s">
        <v>484</v>
      </c>
      <c r="AU13" t="s">
        <v>490</v>
      </c>
      <c r="AV13" t="s">
        <v>491</v>
      </c>
      <c r="AW13" t="s">
        <v>486</v>
      </c>
      <c r="BF13" s="1"/>
      <c r="BG13" t="s">
        <v>71</v>
      </c>
      <c r="BH13" t="s">
        <v>487</v>
      </c>
      <c r="BP13" t="s">
        <v>1489</v>
      </c>
      <c r="BQ13" t="s">
        <v>491</v>
      </c>
    </row>
    <row r="14" spans="1:69" x14ac:dyDescent="0.25">
      <c r="A14" t="s">
        <v>5713</v>
      </c>
      <c r="B14" t="s">
        <v>474</v>
      </c>
      <c r="C14" t="s">
        <v>1506</v>
      </c>
      <c r="E14" t="s">
        <v>475</v>
      </c>
      <c r="G14" s="1" t="s">
        <v>1520</v>
      </c>
      <c r="H14" t="s">
        <v>476</v>
      </c>
      <c r="J14">
        <v>400015</v>
      </c>
      <c r="M14" t="s">
        <v>1424</v>
      </c>
      <c r="P14" t="s">
        <v>438</v>
      </c>
      <c r="R14" t="s">
        <v>488</v>
      </c>
      <c r="S14" t="s">
        <v>1521</v>
      </c>
      <c r="T14" t="s">
        <v>1522</v>
      </c>
      <c r="V14" t="s">
        <v>477</v>
      </c>
      <c r="W14" t="s">
        <v>235</v>
      </c>
      <c r="AE14" t="s">
        <v>478</v>
      </c>
      <c r="AF14" t="s">
        <v>479</v>
      </c>
      <c r="AL14">
        <v>540.9</v>
      </c>
      <c r="AM14" t="s">
        <v>882</v>
      </c>
      <c r="AO14" t="s">
        <v>480</v>
      </c>
      <c r="AP14" t="s">
        <v>481</v>
      </c>
      <c r="AQ14" t="s">
        <v>1523</v>
      </c>
      <c r="AR14" t="s">
        <v>482</v>
      </c>
      <c r="AS14" t="s">
        <v>483</v>
      </c>
      <c r="AT14" t="s">
        <v>484</v>
      </c>
      <c r="AU14" t="s">
        <v>130</v>
      </c>
      <c r="AV14" t="s">
        <v>485</v>
      </c>
      <c r="AW14" t="s">
        <v>486</v>
      </c>
      <c r="BF14" s="1"/>
      <c r="BG14" t="s">
        <v>266</v>
      </c>
      <c r="BH14" t="s">
        <v>487</v>
      </c>
      <c r="BP14" t="s">
        <v>1489</v>
      </c>
      <c r="BQ14" t="s">
        <v>485</v>
      </c>
    </row>
    <row r="15" spans="1:69" x14ac:dyDescent="0.25">
      <c r="A15" t="s">
        <v>5713</v>
      </c>
      <c r="B15" t="s">
        <v>474</v>
      </c>
      <c r="C15" t="s">
        <v>1506</v>
      </c>
      <c r="E15" t="s">
        <v>475</v>
      </c>
      <c r="G15" s="1" t="s">
        <v>1520</v>
      </c>
      <c r="H15" t="s">
        <v>492</v>
      </c>
      <c r="J15">
        <v>400015</v>
      </c>
      <c r="M15" t="s">
        <v>1424</v>
      </c>
      <c r="P15" t="s">
        <v>100</v>
      </c>
      <c r="R15" t="s">
        <v>769</v>
      </c>
      <c r="S15" t="s">
        <v>1524</v>
      </c>
      <c r="T15" t="s">
        <v>1525</v>
      </c>
      <c r="V15" t="s">
        <v>477</v>
      </c>
      <c r="W15" t="s">
        <v>235</v>
      </c>
      <c r="AE15" t="s">
        <v>478</v>
      </c>
      <c r="AF15" t="s">
        <v>479</v>
      </c>
      <c r="AL15">
        <v>786</v>
      </c>
      <c r="AM15" t="s">
        <v>746</v>
      </c>
      <c r="AO15" t="s">
        <v>480</v>
      </c>
      <c r="AP15" t="s">
        <v>481</v>
      </c>
      <c r="AQ15" t="s">
        <v>709</v>
      </c>
      <c r="AR15" t="s">
        <v>482</v>
      </c>
      <c r="AS15" t="s">
        <v>483</v>
      </c>
      <c r="AT15" t="s">
        <v>484</v>
      </c>
      <c r="AU15" t="s">
        <v>130</v>
      </c>
      <c r="AV15" t="s">
        <v>485</v>
      </c>
      <c r="AW15" t="s">
        <v>486</v>
      </c>
      <c r="BF15" s="1"/>
      <c r="BG15" t="s">
        <v>266</v>
      </c>
      <c r="BH15" t="s">
        <v>487</v>
      </c>
      <c r="BP15" t="s">
        <v>1489</v>
      </c>
      <c r="BQ15" t="s">
        <v>485</v>
      </c>
    </row>
    <row r="16" spans="1:69" x14ac:dyDescent="0.25">
      <c r="A16" t="s">
        <v>5713</v>
      </c>
      <c r="B16" t="s">
        <v>474</v>
      </c>
      <c r="C16" t="s">
        <v>1506</v>
      </c>
      <c r="E16" t="s">
        <v>475</v>
      </c>
      <c r="G16" s="1" t="s">
        <v>1520</v>
      </c>
      <c r="H16" t="s">
        <v>498</v>
      </c>
      <c r="J16">
        <v>400015</v>
      </c>
      <c r="M16" t="s">
        <v>1424</v>
      </c>
      <c r="P16" t="s">
        <v>122</v>
      </c>
      <c r="R16" t="s">
        <v>1526</v>
      </c>
      <c r="S16" t="s">
        <v>1527</v>
      </c>
      <c r="T16" t="s">
        <v>1528</v>
      </c>
      <c r="V16" t="s">
        <v>477</v>
      </c>
      <c r="W16" t="s">
        <v>235</v>
      </c>
      <c r="AE16" t="s">
        <v>478</v>
      </c>
      <c r="AF16" t="s">
        <v>479</v>
      </c>
      <c r="AL16">
        <v>3266.12</v>
      </c>
      <c r="AM16" t="s">
        <v>1529</v>
      </c>
      <c r="AO16" t="s">
        <v>480</v>
      </c>
      <c r="AP16" t="s">
        <v>481</v>
      </c>
      <c r="AQ16" t="s">
        <v>721</v>
      </c>
      <c r="AR16" t="s">
        <v>482</v>
      </c>
      <c r="AS16" t="s">
        <v>483</v>
      </c>
      <c r="AT16" t="s">
        <v>484</v>
      </c>
      <c r="AU16" t="s">
        <v>130</v>
      </c>
      <c r="AV16" t="s">
        <v>485</v>
      </c>
      <c r="AW16" t="s">
        <v>486</v>
      </c>
      <c r="BF16" s="1"/>
      <c r="BG16" t="s">
        <v>266</v>
      </c>
      <c r="BH16" t="s">
        <v>487</v>
      </c>
      <c r="BP16" t="s">
        <v>1489</v>
      </c>
      <c r="BQ16" t="s">
        <v>485</v>
      </c>
    </row>
    <row r="17" spans="1:69" x14ac:dyDescent="0.25">
      <c r="A17" t="s">
        <v>5713</v>
      </c>
      <c r="B17" t="s">
        <v>474</v>
      </c>
      <c r="C17" t="s">
        <v>1506</v>
      </c>
      <c r="E17" t="s">
        <v>475</v>
      </c>
      <c r="G17" s="1" t="s">
        <v>1520</v>
      </c>
      <c r="H17" t="s">
        <v>500</v>
      </c>
      <c r="J17">
        <v>400015</v>
      </c>
      <c r="M17" t="s">
        <v>1424</v>
      </c>
      <c r="P17" t="s">
        <v>90</v>
      </c>
      <c r="R17" t="s">
        <v>633</v>
      </c>
      <c r="S17" t="s">
        <v>1530</v>
      </c>
      <c r="T17" t="s">
        <v>1531</v>
      </c>
      <c r="V17" t="s">
        <v>477</v>
      </c>
      <c r="W17" t="s">
        <v>235</v>
      </c>
      <c r="AE17" t="s">
        <v>478</v>
      </c>
      <c r="AF17" t="s">
        <v>479</v>
      </c>
      <c r="AL17">
        <v>301.392</v>
      </c>
      <c r="AM17" t="s">
        <v>1532</v>
      </c>
      <c r="AO17" t="s">
        <v>480</v>
      </c>
      <c r="AP17" t="s">
        <v>481</v>
      </c>
      <c r="AQ17" t="s">
        <v>740</v>
      </c>
      <c r="AR17" t="s">
        <v>482</v>
      </c>
      <c r="AS17" t="s">
        <v>483</v>
      </c>
      <c r="AT17" t="s">
        <v>484</v>
      </c>
      <c r="AU17" t="s">
        <v>130</v>
      </c>
      <c r="AV17" t="s">
        <v>485</v>
      </c>
      <c r="AW17" t="s">
        <v>486</v>
      </c>
      <c r="BF17" s="1"/>
      <c r="BG17" t="s">
        <v>266</v>
      </c>
      <c r="BH17" t="s">
        <v>487</v>
      </c>
      <c r="BP17" t="s">
        <v>1489</v>
      </c>
      <c r="BQ17" t="s">
        <v>485</v>
      </c>
    </row>
    <row r="18" spans="1:69" x14ac:dyDescent="0.25">
      <c r="A18" t="s">
        <v>5713</v>
      </c>
      <c r="B18" t="s">
        <v>474</v>
      </c>
      <c r="C18" t="s">
        <v>1506</v>
      </c>
      <c r="E18" t="s">
        <v>475</v>
      </c>
      <c r="G18" s="1" t="s">
        <v>1533</v>
      </c>
      <c r="H18" t="s">
        <v>476</v>
      </c>
      <c r="J18">
        <v>400015</v>
      </c>
      <c r="M18" t="s">
        <v>1424</v>
      </c>
      <c r="P18" t="s">
        <v>438</v>
      </c>
      <c r="R18" t="s">
        <v>1534</v>
      </c>
      <c r="S18" t="s">
        <v>1535</v>
      </c>
      <c r="T18" t="s">
        <v>1536</v>
      </c>
      <c r="V18" t="s">
        <v>477</v>
      </c>
      <c r="W18" t="s">
        <v>235</v>
      </c>
      <c r="AE18" t="s">
        <v>478</v>
      </c>
      <c r="AF18" t="s">
        <v>479</v>
      </c>
      <c r="AL18">
        <v>2536.8209999999999</v>
      </c>
      <c r="AM18" t="s">
        <v>1537</v>
      </c>
      <c r="AO18" t="s">
        <v>480</v>
      </c>
      <c r="AP18" t="s">
        <v>481</v>
      </c>
      <c r="AQ18" t="s">
        <v>1523</v>
      </c>
      <c r="AR18" t="s">
        <v>482</v>
      </c>
      <c r="AS18" t="s">
        <v>483</v>
      </c>
      <c r="AT18" t="s">
        <v>484</v>
      </c>
      <c r="AU18" t="s">
        <v>130</v>
      </c>
      <c r="AV18" t="s">
        <v>485</v>
      </c>
      <c r="AW18" t="s">
        <v>486</v>
      </c>
      <c r="BF18" s="1"/>
      <c r="BG18" t="s">
        <v>266</v>
      </c>
      <c r="BH18" t="s">
        <v>487</v>
      </c>
      <c r="BP18" t="s">
        <v>1489</v>
      </c>
      <c r="BQ18" t="s">
        <v>485</v>
      </c>
    </row>
    <row r="19" spans="1:69" x14ac:dyDescent="0.25">
      <c r="A19" t="s">
        <v>5713</v>
      </c>
      <c r="B19" t="s">
        <v>474</v>
      </c>
      <c r="C19" t="s">
        <v>1506</v>
      </c>
      <c r="E19" t="s">
        <v>475</v>
      </c>
      <c r="G19" s="1" t="s">
        <v>1533</v>
      </c>
      <c r="H19" t="s">
        <v>492</v>
      </c>
      <c r="J19">
        <v>400015</v>
      </c>
      <c r="M19" t="s">
        <v>1414</v>
      </c>
      <c r="P19" t="s">
        <v>117</v>
      </c>
      <c r="R19" t="s">
        <v>715</v>
      </c>
      <c r="S19" t="s">
        <v>716</v>
      </c>
      <c r="T19" t="s">
        <v>1538</v>
      </c>
      <c r="V19" t="s">
        <v>477</v>
      </c>
      <c r="W19" t="s">
        <v>235</v>
      </c>
      <c r="AE19" t="s">
        <v>478</v>
      </c>
      <c r="AF19" t="s">
        <v>479</v>
      </c>
      <c r="AL19">
        <v>3115.4759999999997</v>
      </c>
      <c r="AM19" t="s">
        <v>717</v>
      </c>
      <c r="AO19" t="s">
        <v>480</v>
      </c>
      <c r="AP19" t="s">
        <v>481</v>
      </c>
      <c r="AQ19" t="s">
        <v>718</v>
      </c>
      <c r="AR19" t="s">
        <v>482</v>
      </c>
      <c r="AS19" t="s">
        <v>483</v>
      </c>
      <c r="AT19" t="s">
        <v>484</v>
      </c>
      <c r="AU19" t="s">
        <v>130</v>
      </c>
      <c r="AV19" t="s">
        <v>485</v>
      </c>
      <c r="AW19" t="s">
        <v>486</v>
      </c>
      <c r="BF19" s="1"/>
      <c r="BG19" t="s">
        <v>266</v>
      </c>
      <c r="BH19" t="s">
        <v>487</v>
      </c>
      <c r="BP19" t="s">
        <v>1489</v>
      </c>
      <c r="BQ19" t="s">
        <v>485</v>
      </c>
    </row>
    <row r="20" spans="1:69" x14ac:dyDescent="0.25">
      <c r="A20" t="s">
        <v>5713</v>
      </c>
      <c r="B20" t="s">
        <v>474</v>
      </c>
      <c r="C20" t="s">
        <v>1506</v>
      </c>
      <c r="E20" t="s">
        <v>475</v>
      </c>
      <c r="G20" s="1" t="s">
        <v>1533</v>
      </c>
      <c r="H20" t="s">
        <v>498</v>
      </c>
      <c r="J20">
        <v>400015</v>
      </c>
      <c r="M20" t="s">
        <v>1424</v>
      </c>
      <c r="P20" t="s">
        <v>100</v>
      </c>
      <c r="R20" t="s">
        <v>1462</v>
      </c>
      <c r="S20" t="s">
        <v>1539</v>
      </c>
      <c r="T20" t="s">
        <v>1540</v>
      </c>
      <c r="V20" t="s">
        <v>477</v>
      </c>
      <c r="W20" t="s">
        <v>235</v>
      </c>
      <c r="AE20" t="s">
        <v>478</v>
      </c>
      <c r="AF20" t="s">
        <v>479</v>
      </c>
      <c r="AL20">
        <v>2515.2000000000003</v>
      </c>
      <c r="AM20" t="s">
        <v>1541</v>
      </c>
      <c r="AO20" t="s">
        <v>480</v>
      </c>
      <c r="AP20" t="s">
        <v>481</v>
      </c>
      <c r="AQ20" t="s">
        <v>709</v>
      </c>
      <c r="AR20" t="s">
        <v>482</v>
      </c>
      <c r="AS20" t="s">
        <v>483</v>
      </c>
      <c r="AT20" t="s">
        <v>484</v>
      </c>
      <c r="AU20" t="s">
        <v>130</v>
      </c>
      <c r="AV20" t="s">
        <v>485</v>
      </c>
      <c r="AW20" t="s">
        <v>486</v>
      </c>
      <c r="BF20" s="1"/>
      <c r="BG20" t="s">
        <v>266</v>
      </c>
      <c r="BH20" t="s">
        <v>487</v>
      </c>
      <c r="BP20" t="s">
        <v>1489</v>
      </c>
      <c r="BQ20" t="s">
        <v>485</v>
      </c>
    </row>
    <row r="21" spans="1:69" x14ac:dyDescent="0.25">
      <c r="A21" t="s">
        <v>5713</v>
      </c>
      <c r="B21" t="s">
        <v>474</v>
      </c>
      <c r="C21" t="s">
        <v>1506</v>
      </c>
      <c r="E21" t="s">
        <v>475</v>
      </c>
      <c r="G21" s="1" t="s">
        <v>1533</v>
      </c>
      <c r="H21" t="s">
        <v>500</v>
      </c>
      <c r="J21">
        <v>400015</v>
      </c>
      <c r="M21" t="s">
        <v>1424</v>
      </c>
      <c r="P21" t="s">
        <v>100</v>
      </c>
      <c r="R21" t="s">
        <v>706</v>
      </c>
      <c r="S21" t="s">
        <v>707</v>
      </c>
      <c r="T21" t="s">
        <v>1542</v>
      </c>
      <c r="V21" t="s">
        <v>477</v>
      </c>
      <c r="W21" t="s">
        <v>235</v>
      </c>
      <c r="AE21" t="s">
        <v>478</v>
      </c>
      <c r="AF21" t="s">
        <v>479</v>
      </c>
      <c r="AL21">
        <v>3301.2000000000003</v>
      </c>
      <c r="AM21" t="s">
        <v>708</v>
      </c>
      <c r="AO21" t="s">
        <v>480</v>
      </c>
      <c r="AP21" t="s">
        <v>481</v>
      </c>
      <c r="AQ21" t="s">
        <v>709</v>
      </c>
      <c r="AR21" t="s">
        <v>482</v>
      </c>
      <c r="AS21" t="s">
        <v>483</v>
      </c>
      <c r="AT21" t="s">
        <v>484</v>
      </c>
      <c r="AU21" t="s">
        <v>130</v>
      </c>
      <c r="AV21" t="s">
        <v>485</v>
      </c>
      <c r="AW21" t="s">
        <v>486</v>
      </c>
      <c r="BF21" s="1"/>
      <c r="BG21" t="s">
        <v>266</v>
      </c>
      <c r="BH21" t="s">
        <v>487</v>
      </c>
      <c r="BP21" t="s">
        <v>1489</v>
      </c>
      <c r="BQ21" t="s">
        <v>485</v>
      </c>
    </row>
    <row r="22" spans="1:69" x14ac:dyDescent="0.25">
      <c r="A22" t="s">
        <v>5713</v>
      </c>
      <c r="B22" t="s">
        <v>474</v>
      </c>
      <c r="C22" t="s">
        <v>1506</v>
      </c>
      <c r="E22" t="s">
        <v>475</v>
      </c>
      <c r="G22" s="1" t="s">
        <v>1533</v>
      </c>
      <c r="H22" t="s">
        <v>517</v>
      </c>
      <c r="J22">
        <v>400015</v>
      </c>
      <c r="M22" t="s">
        <v>1424</v>
      </c>
      <c r="P22" t="s">
        <v>122</v>
      </c>
      <c r="R22" t="s">
        <v>557</v>
      </c>
      <c r="S22" t="s">
        <v>1543</v>
      </c>
      <c r="T22" t="s">
        <v>1544</v>
      </c>
      <c r="V22" t="s">
        <v>477</v>
      </c>
      <c r="W22" t="s">
        <v>235</v>
      </c>
      <c r="AE22" t="s">
        <v>478</v>
      </c>
      <c r="AF22" t="s">
        <v>479</v>
      </c>
      <c r="AL22">
        <v>31.404999999999998</v>
      </c>
      <c r="AM22" t="s">
        <v>636</v>
      </c>
      <c r="AO22" t="s">
        <v>480</v>
      </c>
      <c r="AP22" t="s">
        <v>481</v>
      </c>
      <c r="AQ22" t="s">
        <v>721</v>
      </c>
      <c r="AR22" t="s">
        <v>482</v>
      </c>
      <c r="AS22" t="s">
        <v>483</v>
      </c>
      <c r="AT22" t="s">
        <v>484</v>
      </c>
      <c r="AU22" t="s">
        <v>130</v>
      </c>
      <c r="AV22" t="s">
        <v>485</v>
      </c>
      <c r="AW22" t="s">
        <v>486</v>
      </c>
      <c r="BF22" s="1"/>
      <c r="BG22" t="s">
        <v>266</v>
      </c>
      <c r="BH22" t="s">
        <v>487</v>
      </c>
      <c r="BP22" t="s">
        <v>1489</v>
      </c>
      <c r="BQ22" t="s">
        <v>485</v>
      </c>
    </row>
    <row r="23" spans="1:69" x14ac:dyDescent="0.25">
      <c r="A23" t="s">
        <v>5713</v>
      </c>
      <c r="B23" t="s">
        <v>474</v>
      </c>
      <c r="C23" t="s">
        <v>1506</v>
      </c>
      <c r="E23" t="s">
        <v>475</v>
      </c>
      <c r="G23" s="1" t="s">
        <v>1533</v>
      </c>
      <c r="H23" t="s">
        <v>537</v>
      </c>
      <c r="J23">
        <v>400015</v>
      </c>
      <c r="M23" t="s">
        <v>1424</v>
      </c>
      <c r="P23" t="s">
        <v>122</v>
      </c>
      <c r="R23" t="s">
        <v>706</v>
      </c>
      <c r="S23" t="s">
        <v>719</v>
      </c>
      <c r="T23" t="s">
        <v>1545</v>
      </c>
      <c r="V23" t="s">
        <v>477</v>
      </c>
      <c r="W23" t="s">
        <v>235</v>
      </c>
      <c r="AE23" t="s">
        <v>478</v>
      </c>
      <c r="AF23" t="s">
        <v>479</v>
      </c>
      <c r="AL23">
        <v>3297.5249999999996</v>
      </c>
      <c r="AM23" t="s">
        <v>720</v>
      </c>
      <c r="AO23" t="s">
        <v>480</v>
      </c>
      <c r="AP23" t="s">
        <v>481</v>
      </c>
      <c r="AQ23" t="s">
        <v>721</v>
      </c>
      <c r="AR23" t="s">
        <v>482</v>
      </c>
      <c r="AS23" t="s">
        <v>483</v>
      </c>
      <c r="AT23" t="s">
        <v>484</v>
      </c>
      <c r="AU23" t="s">
        <v>130</v>
      </c>
      <c r="AV23" t="s">
        <v>485</v>
      </c>
      <c r="AW23" t="s">
        <v>486</v>
      </c>
      <c r="BF23" s="1"/>
      <c r="BG23" t="s">
        <v>266</v>
      </c>
      <c r="BH23" t="s">
        <v>487</v>
      </c>
      <c r="BP23" t="s">
        <v>1489</v>
      </c>
      <c r="BQ23" t="s">
        <v>485</v>
      </c>
    </row>
    <row r="24" spans="1:69" x14ac:dyDescent="0.25">
      <c r="A24" t="s">
        <v>5713</v>
      </c>
      <c r="B24" t="s">
        <v>474</v>
      </c>
      <c r="C24" t="s">
        <v>1506</v>
      </c>
      <c r="E24" t="s">
        <v>475</v>
      </c>
      <c r="G24" s="1" t="s">
        <v>1533</v>
      </c>
      <c r="H24" t="s">
        <v>542</v>
      </c>
      <c r="J24">
        <v>400015</v>
      </c>
      <c r="M24" t="s">
        <v>1425</v>
      </c>
      <c r="P24" t="s">
        <v>92</v>
      </c>
      <c r="R24" t="s">
        <v>670</v>
      </c>
      <c r="S24" t="s">
        <v>1546</v>
      </c>
      <c r="T24" t="s">
        <v>1547</v>
      </c>
      <c r="V24" t="s">
        <v>477</v>
      </c>
      <c r="W24" t="s">
        <v>235</v>
      </c>
      <c r="AE24" t="s">
        <v>478</v>
      </c>
      <c r="AF24" t="s">
        <v>479</v>
      </c>
      <c r="AL24">
        <v>78.86</v>
      </c>
      <c r="AM24" t="s">
        <v>694</v>
      </c>
      <c r="AO24" t="s">
        <v>480</v>
      </c>
      <c r="AP24" t="s">
        <v>481</v>
      </c>
      <c r="AQ24" t="s">
        <v>713</v>
      </c>
      <c r="AR24" t="s">
        <v>482</v>
      </c>
      <c r="AS24" t="s">
        <v>483</v>
      </c>
      <c r="AT24" t="s">
        <v>484</v>
      </c>
      <c r="AU24" t="s">
        <v>130</v>
      </c>
      <c r="AV24" t="s">
        <v>485</v>
      </c>
      <c r="AW24" t="s">
        <v>486</v>
      </c>
      <c r="BF24" s="1"/>
      <c r="BG24" t="s">
        <v>266</v>
      </c>
      <c r="BH24" t="s">
        <v>487</v>
      </c>
      <c r="BP24" t="s">
        <v>1489</v>
      </c>
      <c r="BQ24" t="s">
        <v>485</v>
      </c>
    </row>
    <row r="25" spans="1:69" x14ac:dyDescent="0.25">
      <c r="A25" t="s">
        <v>5713</v>
      </c>
      <c r="B25" t="s">
        <v>474</v>
      </c>
      <c r="C25" t="s">
        <v>1506</v>
      </c>
      <c r="E25" t="s">
        <v>475</v>
      </c>
      <c r="G25" s="1" t="s">
        <v>1533</v>
      </c>
      <c r="H25" t="s">
        <v>546</v>
      </c>
      <c r="J25">
        <v>400015</v>
      </c>
      <c r="M25" t="s">
        <v>1414</v>
      </c>
      <c r="P25" t="s">
        <v>91</v>
      </c>
      <c r="R25" t="s">
        <v>1548</v>
      </c>
      <c r="S25" t="s">
        <v>1549</v>
      </c>
      <c r="T25" t="s">
        <v>1550</v>
      </c>
      <c r="V25" t="s">
        <v>477</v>
      </c>
      <c r="W25" t="s">
        <v>235</v>
      </c>
      <c r="AE25" t="s">
        <v>478</v>
      </c>
      <c r="AF25" t="s">
        <v>479</v>
      </c>
      <c r="AL25">
        <v>3046.1129999999998</v>
      </c>
      <c r="AM25" t="s">
        <v>1551</v>
      </c>
      <c r="AO25" t="s">
        <v>480</v>
      </c>
      <c r="AP25" t="s">
        <v>481</v>
      </c>
      <c r="AQ25" t="s">
        <v>738</v>
      </c>
      <c r="AR25" t="s">
        <v>482</v>
      </c>
      <c r="AS25" t="s">
        <v>483</v>
      </c>
      <c r="AT25" t="s">
        <v>484</v>
      </c>
      <c r="AU25" t="s">
        <v>130</v>
      </c>
      <c r="AV25" t="s">
        <v>485</v>
      </c>
      <c r="AW25" t="s">
        <v>486</v>
      </c>
      <c r="BF25" s="1"/>
      <c r="BG25" t="s">
        <v>266</v>
      </c>
      <c r="BH25" t="s">
        <v>487</v>
      </c>
      <c r="BP25" t="s">
        <v>1489</v>
      </c>
      <c r="BQ25" t="s">
        <v>485</v>
      </c>
    </row>
    <row r="26" spans="1:69" x14ac:dyDescent="0.25">
      <c r="A26" t="s">
        <v>5713</v>
      </c>
      <c r="B26" t="s">
        <v>474</v>
      </c>
      <c r="C26" t="s">
        <v>1552</v>
      </c>
      <c r="E26" t="s">
        <v>480</v>
      </c>
      <c r="G26" s="1" t="s">
        <v>1553</v>
      </c>
      <c r="H26" t="s">
        <v>476</v>
      </c>
      <c r="J26">
        <v>400015</v>
      </c>
      <c r="M26" t="s">
        <v>1420</v>
      </c>
      <c r="P26" t="s">
        <v>139</v>
      </c>
      <c r="R26" t="s">
        <v>582</v>
      </c>
      <c r="S26" t="s">
        <v>1554</v>
      </c>
      <c r="T26" t="s">
        <v>1555</v>
      </c>
      <c r="V26" t="s">
        <v>477</v>
      </c>
      <c r="W26" t="s">
        <v>73</v>
      </c>
      <c r="AE26" t="s">
        <v>478</v>
      </c>
      <c r="AF26" t="s">
        <v>479</v>
      </c>
      <c r="AL26">
        <v>72.875</v>
      </c>
      <c r="AM26" t="s">
        <v>1556</v>
      </c>
      <c r="AO26" t="s">
        <v>480</v>
      </c>
      <c r="AP26" t="s">
        <v>481</v>
      </c>
      <c r="AQ26" t="s">
        <v>618</v>
      </c>
      <c r="AR26" t="s">
        <v>482</v>
      </c>
      <c r="AS26" t="s">
        <v>483</v>
      </c>
      <c r="AT26" t="s">
        <v>484</v>
      </c>
      <c r="AU26" t="s">
        <v>521</v>
      </c>
      <c r="AV26" t="s">
        <v>522</v>
      </c>
      <c r="AW26" t="s">
        <v>486</v>
      </c>
      <c r="BF26" s="1"/>
      <c r="BG26" t="s">
        <v>523</v>
      </c>
      <c r="BH26" t="s">
        <v>487</v>
      </c>
      <c r="BP26" t="s">
        <v>1489</v>
      </c>
      <c r="BQ26" t="s">
        <v>522</v>
      </c>
    </row>
    <row r="27" spans="1:69" x14ac:dyDescent="0.25">
      <c r="A27" t="s">
        <v>5713</v>
      </c>
      <c r="B27" t="s">
        <v>474</v>
      </c>
      <c r="C27" t="s">
        <v>1552</v>
      </c>
      <c r="E27" t="s">
        <v>480</v>
      </c>
      <c r="G27" s="1" t="s">
        <v>1553</v>
      </c>
      <c r="H27" t="s">
        <v>492</v>
      </c>
      <c r="J27">
        <v>400015</v>
      </c>
      <c r="M27" t="s">
        <v>1426</v>
      </c>
      <c r="P27" t="s">
        <v>155</v>
      </c>
      <c r="R27" t="s">
        <v>605</v>
      </c>
      <c r="S27" t="s">
        <v>1557</v>
      </c>
      <c r="T27" t="s">
        <v>1558</v>
      </c>
      <c r="V27" t="s">
        <v>477</v>
      </c>
      <c r="W27" t="s">
        <v>73</v>
      </c>
      <c r="AE27" t="s">
        <v>478</v>
      </c>
      <c r="AF27" t="s">
        <v>479</v>
      </c>
      <c r="AL27">
        <v>42.783999999999999</v>
      </c>
      <c r="AM27" t="s">
        <v>643</v>
      </c>
      <c r="AO27" t="s">
        <v>480</v>
      </c>
      <c r="AP27" t="s">
        <v>481</v>
      </c>
      <c r="AQ27" t="s">
        <v>610</v>
      </c>
      <c r="AR27" t="s">
        <v>482</v>
      </c>
      <c r="AS27" t="s">
        <v>483</v>
      </c>
      <c r="AT27" t="s">
        <v>484</v>
      </c>
      <c r="AU27" t="s">
        <v>521</v>
      </c>
      <c r="AV27" t="s">
        <v>522</v>
      </c>
      <c r="AW27" t="s">
        <v>486</v>
      </c>
      <c r="BF27" s="1"/>
      <c r="BG27" t="s">
        <v>523</v>
      </c>
      <c r="BH27" t="s">
        <v>487</v>
      </c>
      <c r="BP27" t="s">
        <v>1489</v>
      </c>
      <c r="BQ27" t="s">
        <v>522</v>
      </c>
    </row>
    <row r="28" spans="1:69" x14ac:dyDescent="0.25">
      <c r="A28" t="s">
        <v>5713</v>
      </c>
      <c r="B28" t="s">
        <v>474</v>
      </c>
      <c r="C28" t="s">
        <v>1552</v>
      </c>
      <c r="E28" t="s">
        <v>480</v>
      </c>
      <c r="G28" s="1" t="s">
        <v>1553</v>
      </c>
      <c r="H28" t="s">
        <v>498</v>
      </c>
      <c r="J28">
        <v>400015</v>
      </c>
      <c r="M28" t="s">
        <v>1415</v>
      </c>
      <c r="P28" t="s">
        <v>82</v>
      </c>
      <c r="R28" t="s">
        <v>579</v>
      </c>
      <c r="S28" t="s">
        <v>1559</v>
      </c>
      <c r="T28" t="s">
        <v>1560</v>
      </c>
      <c r="V28" t="s">
        <v>477</v>
      </c>
      <c r="W28" t="s">
        <v>73</v>
      </c>
      <c r="AE28" t="s">
        <v>478</v>
      </c>
      <c r="AF28" t="s">
        <v>479</v>
      </c>
      <c r="AL28">
        <v>115.804</v>
      </c>
      <c r="AM28" t="s">
        <v>656</v>
      </c>
      <c r="AO28" t="s">
        <v>480</v>
      </c>
      <c r="AP28" t="s">
        <v>481</v>
      </c>
      <c r="AQ28" t="s">
        <v>541</v>
      </c>
      <c r="AR28" t="s">
        <v>482</v>
      </c>
      <c r="AS28" t="s">
        <v>483</v>
      </c>
      <c r="AT28" t="s">
        <v>484</v>
      </c>
      <c r="AU28" t="s">
        <v>521</v>
      </c>
      <c r="AV28" t="s">
        <v>522</v>
      </c>
      <c r="AW28" t="s">
        <v>486</v>
      </c>
      <c r="BF28" s="1"/>
      <c r="BG28" t="s">
        <v>523</v>
      </c>
      <c r="BH28" t="s">
        <v>487</v>
      </c>
      <c r="BP28" t="s">
        <v>1489</v>
      </c>
      <c r="BQ28" t="s">
        <v>522</v>
      </c>
    </row>
    <row r="29" spans="1:69" x14ac:dyDescent="0.25">
      <c r="A29" t="s">
        <v>5713</v>
      </c>
      <c r="B29" t="s">
        <v>474</v>
      </c>
      <c r="C29" t="s">
        <v>1552</v>
      </c>
      <c r="E29" t="s">
        <v>480</v>
      </c>
      <c r="G29" s="1" t="s">
        <v>1553</v>
      </c>
      <c r="H29" t="s">
        <v>500</v>
      </c>
      <c r="J29">
        <v>400015</v>
      </c>
      <c r="M29" t="s">
        <v>1423</v>
      </c>
      <c r="P29" t="s">
        <v>124</v>
      </c>
      <c r="R29" t="s">
        <v>1561</v>
      </c>
      <c r="S29" t="s">
        <v>1562</v>
      </c>
      <c r="T29" t="s">
        <v>1563</v>
      </c>
      <c r="V29" t="s">
        <v>477</v>
      </c>
      <c r="W29" t="s">
        <v>73</v>
      </c>
      <c r="AE29" t="s">
        <v>478</v>
      </c>
      <c r="AF29" t="s">
        <v>479</v>
      </c>
      <c r="AL29">
        <v>708.34599999999989</v>
      </c>
      <c r="AM29" t="s">
        <v>1564</v>
      </c>
      <c r="AO29" t="s">
        <v>480</v>
      </c>
      <c r="AP29" t="s">
        <v>481</v>
      </c>
      <c r="AQ29" t="s">
        <v>588</v>
      </c>
      <c r="AR29" t="s">
        <v>482</v>
      </c>
      <c r="AS29" t="s">
        <v>483</v>
      </c>
      <c r="AT29" t="s">
        <v>484</v>
      </c>
      <c r="AU29" t="s">
        <v>521</v>
      </c>
      <c r="AV29" t="s">
        <v>522</v>
      </c>
      <c r="AW29" t="s">
        <v>486</v>
      </c>
      <c r="BF29" s="1"/>
      <c r="BG29" t="s">
        <v>523</v>
      </c>
      <c r="BH29" t="s">
        <v>487</v>
      </c>
      <c r="BP29" t="s">
        <v>1489</v>
      </c>
      <c r="BQ29" t="s">
        <v>522</v>
      </c>
    </row>
    <row r="30" spans="1:69" x14ac:dyDescent="0.25">
      <c r="A30" t="s">
        <v>5713</v>
      </c>
      <c r="B30" t="s">
        <v>474</v>
      </c>
      <c r="C30" t="s">
        <v>1552</v>
      </c>
      <c r="E30" t="s">
        <v>480</v>
      </c>
      <c r="G30" s="1" t="s">
        <v>1553</v>
      </c>
      <c r="H30" t="s">
        <v>517</v>
      </c>
      <c r="J30">
        <v>400015</v>
      </c>
      <c r="M30" t="s">
        <v>1431</v>
      </c>
      <c r="P30" t="s">
        <v>72</v>
      </c>
      <c r="R30" t="s">
        <v>623</v>
      </c>
      <c r="S30" t="s">
        <v>1565</v>
      </c>
      <c r="T30" t="s">
        <v>1566</v>
      </c>
      <c r="V30" t="s">
        <v>477</v>
      </c>
      <c r="W30" t="s">
        <v>73</v>
      </c>
      <c r="AE30" t="s">
        <v>478</v>
      </c>
      <c r="AF30" t="s">
        <v>479</v>
      </c>
      <c r="AL30">
        <v>76.59</v>
      </c>
      <c r="AM30" t="s">
        <v>791</v>
      </c>
      <c r="AO30" t="s">
        <v>480</v>
      </c>
      <c r="AP30" t="s">
        <v>481</v>
      </c>
      <c r="AQ30" t="s">
        <v>757</v>
      </c>
      <c r="AR30" t="s">
        <v>482</v>
      </c>
      <c r="AS30" t="s">
        <v>483</v>
      </c>
      <c r="AT30" t="s">
        <v>484</v>
      </c>
      <c r="AU30" t="s">
        <v>521</v>
      </c>
      <c r="AV30" t="s">
        <v>522</v>
      </c>
      <c r="AW30" t="s">
        <v>486</v>
      </c>
      <c r="BF30" s="1"/>
      <c r="BG30" t="s">
        <v>523</v>
      </c>
      <c r="BH30" t="s">
        <v>487</v>
      </c>
      <c r="BP30" t="s">
        <v>1489</v>
      </c>
      <c r="BQ30" t="s">
        <v>522</v>
      </c>
    </row>
    <row r="31" spans="1:69" x14ac:dyDescent="0.25">
      <c r="A31" t="s">
        <v>5713</v>
      </c>
      <c r="B31" t="s">
        <v>474</v>
      </c>
      <c r="C31" t="s">
        <v>1552</v>
      </c>
      <c r="E31" t="s">
        <v>480</v>
      </c>
      <c r="G31" s="1" t="s">
        <v>1553</v>
      </c>
      <c r="H31" t="s">
        <v>537</v>
      </c>
      <c r="J31">
        <v>400015</v>
      </c>
      <c r="M31" t="s">
        <v>1420</v>
      </c>
      <c r="P31" t="s">
        <v>103</v>
      </c>
      <c r="R31" t="s">
        <v>524</v>
      </c>
      <c r="S31" t="s">
        <v>1567</v>
      </c>
      <c r="T31" t="s">
        <v>1568</v>
      </c>
      <c r="V31" t="s">
        <v>477</v>
      </c>
      <c r="W31" t="s">
        <v>73</v>
      </c>
      <c r="AE31" t="s">
        <v>478</v>
      </c>
      <c r="AF31" t="s">
        <v>479</v>
      </c>
      <c r="AL31">
        <v>116.61000000000001</v>
      </c>
      <c r="AM31" t="s">
        <v>758</v>
      </c>
      <c r="AO31" t="s">
        <v>480</v>
      </c>
      <c r="AP31" t="s">
        <v>481</v>
      </c>
      <c r="AQ31" t="s">
        <v>545</v>
      </c>
      <c r="AR31" t="s">
        <v>482</v>
      </c>
      <c r="AS31" t="s">
        <v>483</v>
      </c>
      <c r="AT31" t="s">
        <v>484</v>
      </c>
      <c r="AU31" t="s">
        <v>521</v>
      </c>
      <c r="AV31" t="s">
        <v>522</v>
      </c>
      <c r="AW31" t="s">
        <v>486</v>
      </c>
      <c r="BF31" s="1"/>
      <c r="BG31" t="s">
        <v>523</v>
      </c>
      <c r="BH31" t="s">
        <v>487</v>
      </c>
      <c r="BP31" t="s">
        <v>1489</v>
      </c>
      <c r="BQ31" t="s">
        <v>522</v>
      </c>
    </row>
    <row r="32" spans="1:69" x14ac:dyDescent="0.25">
      <c r="A32" t="s">
        <v>5713</v>
      </c>
      <c r="B32" t="s">
        <v>474</v>
      </c>
      <c r="C32" t="s">
        <v>1552</v>
      </c>
      <c r="E32" t="s">
        <v>480</v>
      </c>
      <c r="G32" s="1" t="s">
        <v>1553</v>
      </c>
      <c r="H32" t="s">
        <v>542</v>
      </c>
      <c r="J32">
        <v>400015</v>
      </c>
      <c r="M32" t="s">
        <v>1428</v>
      </c>
      <c r="P32" t="s">
        <v>113</v>
      </c>
      <c r="R32" t="s">
        <v>853</v>
      </c>
      <c r="S32" t="s">
        <v>1569</v>
      </c>
      <c r="T32" t="s">
        <v>1570</v>
      </c>
      <c r="V32" t="s">
        <v>477</v>
      </c>
      <c r="W32" t="s">
        <v>73</v>
      </c>
      <c r="AE32" t="s">
        <v>478</v>
      </c>
      <c r="AF32" t="s">
        <v>479</v>
      </c>
      <c r="AL32">
        <v>188.08800000000002</v>
      </c>
      <c r="AM32" t="s">
        <v>1571</v>
      </c>
      <c r="AO32" t="s">
        <v>480</v>
      </c>
      <c r="AP32" t="s">
        <v>481</v>
      </c>
      <c r="AQ32" t="s">
        <v>657</v>
      </c>
      <c r="AR32" t="s">
        <v>482</v>
      </c>
      <c r="AS32" t="s">
        <v>483</v>
      </c>
      <c r="AT32" t="s">
        <v>484</v>
      </c>
      <c r="AU32" t="s">
        <v>521</v>
      </c>
      <c r="AV32" t="s">
        <v>522</v>
      </c>
      <c r="AW32" t="s">
        <v>486</v>
      </c>
      <c r="BF32" s="1"/>
      <c r="BG32" t="s">
        <v>523</v>
      </c>
      <c r="BH32" t="s">
        <v>487</v>
      </c>
      <c r="BP32" t="s">
        <v>1489</v>
      </c>
      <c r="BQ32" t="s">
        <v>522</v>
      </c>
    </row>
    <row r="33" spans="1:69" x14ac:dyDescent="0.25">
      <c r="A33" t="s">
        <v>5713</v>
      </c>
      <c r="B33" t="s">
        <v>474</v>
      </c>
      <c r="C33" t="s">
        <v>1552</v>
      </c>
      <c r="E33" t="s">
        <v>480</v>
      </c>
      <c r="G33" s="1" t="s">
        <v>1553</v>
      </c>
      <c r="H33" t="s">
        <v>546</v>
      </c>
      <c r="J33">
        <v>400015</v>
      </c>
      <c r="M33" t="s">
        <v>1424</v>
      </c>
      <c r="P33" t="s">
        <v>157</v>
      </c>
      <c r="R33" t="s">
        <v>605</v>
      </c>
      <c r="S33" t="s">
        <v>880</v>
      </c>
      <c r="T33" t="s">
        <v>881</v>
      </c>
      <c r="V33" t="s">
        <v>477</v>
      </c>
      <c r="W33" t="s">
        <v>73</v>
      </c>
      <c r="AE33" t="s">
        <v>478</v>
      </c>
      <c r="AF33" t="s">
        <v>479</v>
      </c>
      <c r="AL33">
        <v>56.08</v>
      </c>
      <c r="AM33" t="s">
        <v>583</v>
      </c>
      <c r="AO33" t="s">
        <v>480</v>
      </c>
      <c r="AP33" t="s">
        <v>481</v>
      </c>
      <c r="AQ33" t="s">
        <v>667</v>
      </c>
      <c r="AR33" t="s">
        <v>482</v>
      </c>
      <c r="AS33" t="s">
        <v>483</v>
      </c>
      <c r="AT33" t="s">
        <v>484</v>
      </c>
      <c r="AU33" t="s">
        <v>521</v>
      </c>
      <c r="AV33" t="s">
        <v>522</v>
      </c>
      <c r="AW33" t="s">
        <v>486</v>
      </c>
      <c r="BF33" s="1"/>
      <c r="BG33" t="s">
        <v>523</v>
      </c>
      <c r="BH33" t="s">
        <v>487</v>
      </c>
      <c r="BP33" t="s">
        <v>1489</v>
      </c>
      <c r="BQ33" t="s">
        <v>522</v>
      </c>
    </row>
    <row r="34" spans="1:69" x14ac:dyDescent="0.25">
      <c r="A34" t="s">
        <v>5713</v>
      </c>
      <c r="B34" t="s">
        <v>474</v>
      </c>
      <c r="C34" t="s">
        <v>1552</v>
      </c>
      <c r="E34" t="s">
        <v>480</v>
      </c>
      <c r="G34" s="1" t="s">
        <v>1553</v>
      </c>
      <c r="H34" t="s">
        <v>549</v>
      </c>
      <c r="J34">
        <v>400015</v>
      </c>
      <c r="M34" t="s">
        <v>1420</v>
      </c>
      <c r="P34" t="s">
        <v>78</v>
      </c>
      <c r="R34" t="s">
        <v>518</v>
      </c>
      <c r="S34" t="s">
        <v>1572</v>
      </c>
      <c r="T34" t="s">
        <v>1573</v>
      </c>
      <c r="V34" t="s">
        <v>477</v>
      </c>
      <c r="W34" t="s">
        <v>73</v>
      </c>
      <c r="AE34" t="s">
        <v>478</v>
      </c>
      <c r="AF34" t="s">
        <v>479</v>
      </c>
      <c r="AL34">
        <v>51.650999999999996</v>
      </c>
      <c r="AM34" t="s">
        <v>519</v>
      </c>
      <c r="AO34" t="s">
        <v>480</v>
      </c>
      <c r="AP34" t="s">
        <v>481</v>
      </c>
      <c r="AQ34" t="s">
        <v>631</v>
      </c>
      <c r="AR34" t="s">
        <v>482</v>
      </c>
      <c r="AS34" t="s">
        <v>483</v>
      </c>
      <c r="AT34" t="s">
        <v>484</v>
      </c>
      <c r="AU34" t="s">
        <v>521</v>
      </c>
      <c r="AV34" t="s">
        <v>522</v>
      </c>
      <c r="AW34" t="s">
        <v>486</v>
      </c>
      <c r="BF34" s="1"/>
      <c r="BG34" t="s">
        <v>523</v>
      </c>
      <c r="BH34" t="s">
        <v>487</v>
      </c>
      <c r="BP34" t="s">
        <v>1489</v>
      </c>
      <c r="BQ34" t="s">
        <v>522</v>
      </c>
    </row>
    <row r="35" spans="1:69" x14ac:dyDescent="0.25">
      <c r="A35" t="s">
        <v>5713</v>
      </c>
      <c r="B35" t="s">
        <v>474</v>
      </c>
      <c r="C35" t="s">
        <v>1552</v>
      </c>
      <c r="E35" t="s">
        <v>480</v>
      </c>
      <c r="G35" s="1" t="s">
        <v>1553</v>
      </c>
      <c r="H35" t="s">
        <v>553</v>
      </c>
      <c r="J35">
        <v>400015</v>
      </c>
      <c r="M35" t="s">
        <v>1422</v>
      </c>
      <c r="P35" t="s">
        <v>77</v>
      </c>
      <c r="R35" t="s">
        <v>679</v>
      </c>
      <c r="S35" t="s">
        <v>1574</v>
      </c>
      <c r="T35" t="s">
        <v>1575</v>
      </c>
      <c r="V35" t="s">
        <v>477</v>
      </c>
      <c r="W35" t="s">
        <v>73</v>
      </c>
      <c r="AE35" t="s">
        <v>478</v>
      </c>
      <c r="AF35" t="s">
        <v>479</v>
      </c>
      <c r="AL35">
        <v>116.35</v>
      </c>
      <c r="AM35" t="s">
        <v>680</v>
      </c>
      <c r="AO35" t="s">
        <v>480</v>
      </c>
      <c r="AP35" t="s">
        <v>481</v>
      </c>
      <c r="AQ35" t="s">
        <v>533</v>
      </c>
      <c r="AR35" t="s">
        <v>482</v>
      </c>
      <c r="AS35" t="s">
        <v>483</v>
      </c>
      <c r="AT35" t="s">
        <v>484</v>
      </c>
      <c r="AU35" t="s">
        <v>521</v>
      </c>
      <c r="AV35" t="s">
        <v>522</v>
      </c>
      <c r="AW35" t="s">
        <v>486</v>
      </c>
      <c r="BF35" s="1"/>
      <c r="BG35" t="s">
        <v>523</v>
      </c>
      <c r="BH35" t="s">
        <v>487</v>
      </c>
      <c r="BP35" t="s">
        <v>1489</v>
      </c>
      <c r="BQ35" t="s">
        <v>522</v>
      </c>
    </row>
    <row r="36" spans="1:69" x14ac:dyDescent="0.25">
      <c r="A36" t="s">
        <v>5713</v>
      </c>
      <c r="B36" t="s">
        <v>474</v>
      </c>
      <c r="C36" t="s">
        <v>1552</v>
      </c>
      <c r="E36" t="s">
        <v>480</v>
      </c>
      <c r="G36" s="1" t="s">
        <v>1553</v>
      </c>
      <c r="H36" t="s">
        <v>556</v>
      </c>
      <c r="J36">
        <v>400015</v>
      </c>
      <c r="M36" t="s">
        <v>1425</v>
      </c>
      <c r="P36" t="s">
        <v>170</v>
      </c>
      <c r="R36" t="s">
        <v>836</v>
      </c>
      <c r="S36" t="s">
        <v>1576</v>
      </c>
      <c r="T36" t="s">
        <v>1577</v>
      </c>
      <c r="V36" t="s">
        <v>477</v>
      </c>
      <c r="W36" t="s">
        <v>73</v>
      </c>
      <c r="AE36" t="s">
        <v>478</v>
      </c>
      <c r="AF36" t="s">
        <v>479</v>
      </c>
      <c r="AL36">
        <v>755.88599999999997</v>
      </c>
      <c r="AM36" t="s">
        <v>837</v>
      </c>
      <c r="AO36" t="s">
        <v>480</v>
      </c>
      <c r="AP36" t="s">
        <v>481</v>
      </c>
      <c r="AQ36" t="s">
        <v>854</v>
      </c>
      <c r="AR36" t="s">
        <v>482</v>
      </c>
      <c r="AS36" t="s">
        <v>483</v>
      </c>
      <c r="AT36" t="s">
        <v>484</v>
      </c>
      <c r="AU36" t="s">
        <v>521</v>
      </c>
      <c r="AV36" t="s">
        <v>522</v>
      </c>
      <c r="AW36" t="s">
        <v>486</v>
      </c>
      <c r="BF36" s="1"/>
      <c r="BG36" t="s">
        <v>523</v>
      </c>
      <c r="BH36" t="s">
        <v>487</v>
      </c>
      <c r="BP36" t="s">
        <v>1489</v>
      </c>
      <c r="BQ36" t="s">
        <v>522</v>
      </c>
    </row>
    <row r="37" spans="1:69" x14ac:dyDescent="0.25">
      <c r="A37" t="s">
        <v>5713</v>
      </c>
      <c r="B37" t="s">
        <v>474</v>
      </c>
      <c r="C37" t="s">
        <v>1552</v>
      </c>
      <c r="E37" t="s">
        <v>480</v>
      </c>
      <c r="G37" s="1" t="s">
        <v>1553</v>
      </c>
      <c r="H37" t="s">
        <v>559</v>
      </c>
      <c r="J37">
        <v>400015</v>
      </c>
      <c r="M37" t="s">
        <v>1425</v>
      </c>
      <c r="P37" t="s">
        <v>116</v>
      </c>
      <c r="R37" t="s">
        <v>568</v>
      </c>
      <c r="S37" t="s">
        <v>1578</v>
      </c>
      <c r="T37" t="s">
        <v>1579</v>
      </c>
      <c r="V37" t="s">
        <v>477</v>
      </c>
      <c r="W37" t="s">
        <v>73</v>
      </c>
      <c r="AE37" t="s">
        <v>478</v>
      </c>
      <c r="AF37" t="s">
        <v>479</v>
      </c>
      <c r="AL37">
        <v>331.2</v>
      </c>
      <c r="AM37" t="s">
        <v>765</v>
      </c>
      <c r="AO37" t="s">
        <v>480</v>
      </c>
      <c r="AP37" t="s">
        <v>481</v>
      </c>
      <c r="AQ37" t="s">
        <v>645</v>
      </c>
      <c r="AR37" t="s">
        <v>482</v>
      </c>
      <c r="AS37" t="s">
        <v>483</v>
      </c>
      <c r="AT37" t="s">
        <v>484</v>
      </c>
      <c r="AU37" t="s">
        <v>521</v>
      </c>
      <c r="AV37" t="s">
        <v>522</v>
      </c>
      <c r="AW37" t="s">
        <v>486</v>
      </c>
      <c r="BF37" s="1"/>
      <c r="BG37" t="s">
        <v>523</v>
      </c>
      <c r="BH37" t="s">
        <v>487</v>
      </c>
      <c r="BP37" t="s">
        <v>1489</v>
      </c>
      <c r="BQ37" t="s">
        <v>522</v>
      </c>
    </row>
    <row r="38" spans="1:69" x14ac:dyDescent="0.25">
      <c r="A38" t="s">
        <v>5713</v>
      </c>
      <c r="B38" t="s">
        <v>474</v>
      </c>
      <c r="C38" t="s">
        <v>1552</v>
      </c>
      <c r="E38" t="s">
        <v>480</v>
      </c>
      <c r="G38" s="1" t="s">
        <v>1553</v>
      </c>
      <c r="H38" t="s">
        <v>562</v>
      </c>
      <c r="J38">
        <v>400015</v>
      </c>
      <c r="M38" t="s">
        <v>1426</v>
      </c>
      <c r="P38" t="s">
        <v>155</v>
      </c>
      <c r="R38" t="s">
        <v>605</v>
      </c>
      <c r="S38" t="s">
        <v>1557</v>
      </c>
      <c r="T38" t="s">
        <v>1558</v>
      </c>
      <c r="V38" t="s">
        <v>477</v>
      </c>
      <c r="W38" t="s">
        <v>73</v>
      </c>
      <c r="AE38" t="s">
        <v>478</v>
      </c>
      <c r="AF38" t="s">
        <v>479</v>
      </c>
      <c r="AL38">
        <v>42.783999999999999</v>
      </c>
      <c r="AM38" t="s">
        <v>643</v>
      </c>
      <c r="AO38" t="s">
        <v>480</v>
      </c>
      <c r="AP38" t="s">
        <v>481</v>
      </c>
      <c r="AQ38" t="s">
        <v>610</v>
      </c>
      <c r="AR38" t="s">
        <v>482</v>
      </c>
      <c r="AS38" t="s">
        <v>483</v>
      </c>
      <c r="AT38" t="s">
        <v>484</v>
      </c>
      <c r="AU38" t="s">
        <v>521</v>
      </c>
      <c r="AV38" t="s">
        <v>522</v>
      </c>
      <c r="AW38" t="s">
        <v>486</v>
      </c>
      <c r="BF38" s="1"/>
      <c r="BG38" t="s">
        <v>523</v>
      </c>
      <c r="BH38" t="s">
        <v>487</v>
      </c>
      <c r="BP38" t="s">
        <v>1489</v>
      </c>
      <c r="BQ38" t="s">
        <v>522</v>
      </c>
    </row>
    <row r="39" spans="1:69" x14ac:dyDescent="0.25">
      <c r="A39" t="s">
        <v>5713</v>
      </c>
      <c r="B39" t="s">
        <v>474</v>
      </c>
      <c r="C39" t="s">
        <v>1552</v>
      </c>
      <c r="E39" t="s">
        <v>480</v>
      </c>
      <c r="G39" s="1" t="s">
        <v>1553</v>
      </c>
      <c r="H39" t="s">
        <v>564</v>
      </c>
      <c r="J39">
        <v>400015</v>
      </c>
      <c r="M39" t="s">
        <v>1425</v>
      </c>
      <c r="P39" t="s">
        <v>101</v>
      </c>
      <c r="R39" t="s">
        <v>700</v>
      </c>
      <c r="S39" t="s">
        <v>912</v>
      </c>
      <c r="T39" t="s">
        <v>913</v>
      </c>
      <c r="V39" t="s">
        <v>477</v>
      </c>
      <c r="W39" t="s">
        <v>73</v>
      </c>
      <c r="AE39" t="s">
        <v>478</v>
      </c>
      <c r="AF39" t="s">
        <v>479</v>
      </c>
      <c r="AL39">
        <v>273.29200000000003</v>
      </c>
      <c r="AM39" t="s">
        <v>701</v>
      </c>
      <c r="AO39" t="s">
        <v>480</v>
      </c>
      <c r="AP39" t="s">
        <v>481</v>
      </c>
      <c r="AQ39" t="s">
        <v>699</v>
      </c>
      <c r="AR39" t="s">
        <v>482</v>
      </c>
      <c r="AS39" t="s">
        <v>483</v>
      </c>
      <c r="AT39" t="s">
        <v>484</v>
      </c>
      <c r="AU39" t="s">
        <v>521</v>
      </c>
      <c r="AV39" t="s">
        <v>522</v>
      </c>
      <c r="AW39" t="s">
        <v>486</v>
      </c>
      <c r="BF39" s="1"/>
      <c r="BG39" t="s">
        <v>523</v>
      </c>
      <c r="BH39" t="s">
        <v>487</v>
      </c>
      <c r="BP39" t="s">
        <v>1489</v>
      </c>
      <c r="BQ39" t="s">
        <v>522</v>
      </c>
    </row>
    <row r="40" spans="1:69" x14ac:dyDescent="0.25">
      <c r="A40" t="s">
        <v>5713</v>
      </c>
      <c r="B40" t="s">
        <v>474</v>
      </c>
      <c r="C40" t="s">
        <v>1552</v>
      </c>
      <c r="E40" t="s">
        <v>480</v>
      </c>
      <c r="G40" s="1" t="s">
        <v>1553</v>
      </c>
      <c r="H40" t="s">
        <v>567</v>
      </c>
      <c r="J40">
        <v>400015</v>
      </c>
      <c r="M40" t="s">
        <v>1421</v>
      </c>
      <c r="P40" t="s">
        <v>126</v>
      </c>
      <c r="R40" t="s">
        <v>633</v>
      </c>
      <c r="S40" t="s">
        <v>1580</v>
      </c>
      <c r="T40" t="s">
        <v>1581</v>
      </c>
      <c r="V40" t="s">
        <v>477</v>
      </c>
      <c r="W40" t="s">
        <v>73</v>
      </c>
      <c r="AE40" t="s">
        <v>478</v>
      </c>
      <c r="AF40" t="s">
        <v>479</v>
      </c>
      <c r="AL40">
        <v>198.78300000000002</v>
      </c>
      <c r="AM40" t="s">
        <v>634</v>
      </c>
      <c r="AO40" t="s">
        <v>480</v>
      </c>
      <c r="AP40" t="s">
        <v>481</v>
      </c>
      <c r="AQ40" t="s">
        <v>639</v>
      </c>
      <c r="AR40" t="s">
        <v>482</v>
      </c>
      <c r="AS40" t="s">
        <v>483</v>
      </c>
      <c r="AT40" t="s">
        <v>484</v>
      </c>
      <c r="AU40" t="s">
        <v>521</v>
      </c>
      <c r="AV40" t="s">
        <v>522</v>
      </c>
      <c r="AW40" t="s">
        <v>486</v>
      </c>
      <c r="BF40" s="1"/>
      <c r="BG40" t="s">
        <v>523</v>
      </c>
      <c r="BH40" t="s">
        <v>487</v>
      </c>
      <c r="BP40" t="s">
        <v>1489</v>
      </c>
      <c r="BQ40" t="s">
        <v>522</v>
      </c>
    </row>
    <row r="41" spans="1:69" x14ac:dyDescent="0.25">
      <c r="A41" t="s">
        <v>5713</v>
      </c>
      <c r="B41" t="s">
        <v>474</v>
      </c>
      <c r="C41" t="s">
        <v>1552</v>
      </c>
      <c r="E41" t="s">
        <v>480</v>
      </c>
      <c r="G41" s="1" t="s">
        <v>1553</v>
      </c>
      <c r="H41" t="s">
        <v>571</v>
      </c>
      <c r="J41">
        <v>400015</v>
      </c>
      <c r="M41" t="s">
        <v>1422</v>
      </c>
      <c r="P41" t="s">
        <v>75</v>
      </c>
      <c r="R41" t="s">
        <v>529</v>
      </c>
      <c r="S41" t="s">
        <v>1582</v>
      </c>
      <c r="T41" t="s">
        <v>1583</v>
      </c>
      <c r="V41" t="s">
        <v>477</v>
      </c>
      <c r="W41" t="s">
        <v>73</v>
      </c>
      <c r="AE41" t="s">
        <v>478</v>
      </c>
      <c r="AF41" t="s">
        <v>479</v>
      </c>
      <c r="AL41">
        <v>67.456000000000003</v>
      </c>
      <c r="AM41" t="s">
        <v>530</v>
      </c>
      <c r="AO41" t="s">
        <v>480</v>
      </c>
      <c r="AP41" t="s">
        <v>481</v>
      </c>
      <c r="AQ41" t="s">
        <v>599</v>
      </c>
      <c r="AR41" t="s">
        <v>482</v>
      </c>
      <c r="AS41" t="s">
        <v>483</v>
      </c>
      <c r="AT41" t="s">
        <v>484</v>
      </c>
      <c r="AU41" t="s">
        <v>521</v>
      </c>
      <c r="AV41" t="s">
        <v>522</v>
      </c>
      <c r="AW41" t="s">
        <v>486</v>
      </c>
      <c r="BF41" s="1"/>
      <c r="BG41" t="s">
        <v>523</v>
      </c>
      <c r="BH41" t="s">
        <v>487</v>
      </c>
      <c r="BP41" t="s">
        <v>1489</v>
      </c>
      <c r="BQ41" t="s">
        <v>522</v>
      </c>
    </row>
    <row r="42" spans="1:69" x14ac:dyDescent="0.25">
      <c r="A42" t="s">
        <v>5713</v>
      </c>
      <c r="B42" t="s">
        <v>474</v>
      </c>
      <c r="C42" t="s">
        <v>1552</v>
      </c>
      <c r="E42" t="s">
        <v>480</v>
      </c>
      <c r="G42" s="1" t="s">
        <v>1553</v>
      </c>
      <c r="H42" t="s">
        <v>575</v>
      </c>
      <c r="J42">
        <v>400015</v>
      </c>
      <c r="M42" t="s">
        <v>1420</v>
      </c>
      <c r="P42" t="s">
        <v>89</v>
      </c>
      <c r="R42" t="s">
        <v>572</v>
      </c>
      <c r="S42" t="s">
        <v>1584</v>
      </c>
      <c r="T42" t="s">
        <v>1585</v>
      </c>
      <c r="V42" t="s">
        <v>477</v>
      </c>
      <c r="W42" t="s">
        <v>73</v>
      </c>
      <c r="AE42" t="s">
        <v>478</v>
      </c>
      <c r="AF42" t="s">
        <v>479</v>
      </c>
      <c r="AL42">
        <v>135.21600000000001</v>
      </c>
      <c r="AM42" t="s">
        <v>788</v>
      </c>
      <c r="AO42" t="s">
        <v>480</v>
      </c>
      <c r="AP42" t="s">
        <v>481</v>
      </c>
      <c r="AQ42" t="s">
        <v>561</v>
      </c>
      <c r="AR42" t="s">
        <v>482</v>
      </c>
      <c r="AS42" t="s">
        <v>483</v>
      </c>
      <c r="AT42" t="s">
        <v>484</v>
      </c>
      <c r="AU42" t="s">
        <v>521</v>
      </c>
      <c r="AV42" t="s">
        <v>522</v>
      </c>
      <c r="AW42" t="s">
        <v>486</v>
      </c>
      <c r="BF42" s="1"/>
      <c r="BG42" t="s">
        <v>523</v>
      </c>
      <c r="BH42" t="s">
        <v>487</v>
      </c>
      <c r="BP42" t="s">
        <v>1489</v>
      </c>
      <c r="BQ42" t="s">
        <v>522</v>
      </c>
    </row>
    <row r="43" spans="1:69" x14ac:dyDescent="0.25">
      <c r="A43" t="s">
        <v>5713</v>
      </c>
      <c r="B43" t="s">
        <v>474</v>
      </c>
      <c r="C43" t="s">
        <v>1552</v>
      </c>
      <c r="E43" t="s">
        <v>480</v>
      </c>
      <c r="G43" s="1" t="s">
        <v>1553</v>
      </c>
      <c r="H43" t="s">
        <v>578</v>
      </c>
      <c r="J43">
        <v>400015</v>
      </c>
      <c r="M43" t="s">
        <v>1423</v>
      </c>
      <c r="P43" t="s">
        <v>140</v>
      </c>
      <c r="R43" t="s">
        <v>871</v>
      </c>
      <c r="S43" t="s">
        <v>872</v>
      </c>
      <c r="T43" t="s">
        <v>873</v>
      </c>
      <c r="V43" t="s">
        <v>477</v>
      </c>
      <c r="W43" t="s">
        <v>73</v>
      </c>
      <c r="AE43" t="s">
        <v>478</v>
      </c>
      <c r="AF43" t="s">
        <v>479</v>
      </c>
      <c r="AL43">
        <v>3461.6669999999999</v>
      </c>
      <c r="AM43" t="s">
        <v>874</v>
      </c>
      <c r="AO43" t="s">
        <v>480</v>
      </c>
      <c r="AP43" t="s">
        <v>481</v>
      </c>
      <c r="AQ43" t="s">
        <v>681</v>
      </c>
      <c r="AR43" t="s">
        <v>482</v>
      </c>
      <c r="AS43" t="s">
        <v>483</v>
      </c>
      <c r="AT43" t="s">
        <v>484</v>
      </c>
      <c r="AU43" t="s">
        <v>521</v>
      </c>
      <c r="AV43" t="s">
        <v>522</v>
      </c>
      <c r="AW43" t="s">
        <v>486</v>
      </c>
      <c r="BF43" s="1"/>
      <c r="BG43" t="s">
        <v>523</v>
      </c>
      <c r="BH43" t="s">
        <v>487</v>
      </c>
      <c r="BP43" t="s">
        <v>1489</v>
      </c>
      <c r="BQ43" t="s">
        <v>522</v>
      </c>
    </row>
    <row r="44" spans="1:69" x14ac:dyDescent="0.25">
      <c r="A44" t="s">
        <v>5713</v>
      </c>
      <c r="B44" t="s">
        <v>474</v>
      </c>
      <c r="C44" t="s">
        <v>1552</v>
      </c>
      <c r="E44" t="s">
        <v>480</v>
      </c>
      <c r="G44" s="1" t="s">
        <v>1586</v>
      </c>
      <c r="H44" t="s">
        <v>476</v>
      </c>
      <c r="J44">
        <v>400015</v>
      </c>
      <c r="M44" t="s">
        <v>1420</v>
      </c>
      <c r="P44" t="s">
        <v>119</v>
      </c>
      <c r="R44" t="s">
        <v>593</v>
      </c>
      <c r="S44" t="s">
        <v>1587</v>
      </c>
      <c r="T44" t="s">
        <v>1588</v>
      </c>
      <c r="V44" t="s">
        <v>477</v>
      </c>
      <c r="W44" t="s">
        <v>73</v>
      </c>
      <c r="AE44" t="s">
        <v>478</v>
      </c>
      <c r="AF44" t="s">
        <v>479</v>
      </c>
      <c r="AL44">
        <v>176.148</v>
      </c>
      <c r="AM44" t="s">
        <v>682</v>
      </c>
      <c r="AO44" t="s">
        <v>480</v>
      </c>
      <c r="AP44" t="s">
        <v>481</v>
      </c>
      <c r="AQ44" t="s">
        <v>756</v>
      </c>
      <c r="AR44" t="s">
        <v>482</v>
      </c>
      <c r="AS44" t="s">
        <v>483</v>
      </c>
      <c r="AT44" t="s">
        <v>484</v>
      </c>
      <c r="AU44" t="s">
        <v>521</v>
      </c>
      <c r="AV44" t="s">
        <v>522</v>
      </c>
      <c r="AW44" t="s">
        <v>486</v>
      </c>
      <c r="BF44" s="1"/>
      <c r="BG44" t="s">
        <v>523</v>
      </c>
      <c r="BH44" t="s">
        <v>487</v>
      </c>
      <c r="BP44" t="s">
        <v>1489</v>
      </c>
      <c r="BQ44" t="s">
        <v>522</v>
      </c>
    </row>
    <row r="45" spans="1:69" x14ac:dyDescent="0.25">
      <c r="A45" t="s">
        <v>5713</v>
      </c>
      <c r="B45" t="s">
        <v>474</v>
      </c>
      <c r="C45" t="s">
        <v>1552</v>
      </c>
      <c r="E45" t="s">
        <v>480</v>
      </c>
      <c r="G45" s="1" t="s">
        <v>1586</v>
      </c>
      <c r="H45" t="s">
        <v>492</v>
      </c>
      <c r="J45">
        <v>400015</v>
      </c>
      <c r="M45" t="s">
        <v>1427</v>
      </c>
      <c r="P45" t="s">
        <v>104</v>
      </c>
      <c r="R45" t="s">
        <v>878</v>
      </c>
      <c r="S45" t="s">
        <v>1589</v>
      </c>
      <c r="T45" t="s">
        <v>1590</v>
      </c>
      <c r="V45" t="s">
        <v>477</v>
      </c>
      <c r="W45" t="s">
        <v>73</v>
      </c>
      <c r="AE45" t="s">
        <v>478</v>
      </c>
      <c r="AF45" t="s">
        <v>479</v>
      </c>
      <c r="AL45">
        <v>160.53700000000001</v>
      </c>
      <c r="AM45" t="s">
        <v>1591</v>
      </c>
      <c r="AO45" t="s">
        <v>480</v>
      </c>
      <c r="AP45" t="s">
        <v>481</v>
      </c>
      <c r="AQ45" t="s">
        <v>637</v>
      </c>
      <c r="AR45" t="s">
        <v>482</v>
      </c>
      <c r="AS45" t="s">
        <v>483</v>
      </c>
      <c r="AT45" t="s">
        <v>484</v>
      </c>
      <c r="AU45" t="s">
        <v>521</v>
      </c>
      <c r="AV45" t="s">
        <v>522</v>
      </c>
      <c r="AW45" t="s">
        <v>486</v>
      </c>
      <c r="BF45" s="1"/>
      <c r="BG45" t="s">
        <v>523</v>
      </c>
      <c r="BH45" t="s">
        <v>487</v>
      </c>
      <c r="BP45" t="s">
        <v>1489</v>
      </c>
      <c r="BQ45" t="s">
        <v>522</v>
      </c>
    </row>
    <row r="46" spans="1:69" x14ac:dyDescent="0.25">
      <c r="A46" t="s">
        <v>5713</v>
      </c>
      <c r="B46" t="s">
        <v>474</v>
      </c>
      <c r="C46" t="s">
        <v>1552</v>
      </c>
      <c r="E46" t="s">
        <v>480</v>
      </c>
      <c r="G46" s="1" t="s">
        <v>1586</v>
      </c>
      <c r="H46" t="s">
        <v>498</v>
      </c>
      <c r="J46">
        <v>400015</v>
      </c>
      <c r="M46" t="s">
        <v>1425</v>
      </c>
      <c r="P46" t="s">
        <v>116</v>
      </c>
      <c r="R46" t="s">
        <v>753</v>
      </c>
      <c r="S46" t="s">
        <v>1592</v>
      </c>
      <c r="T46" t="s">
        <v>1593</v>
      </c>
      <c r="V46" t="s">
        <v>477</v>
      </c>
      <c r="W46" t="s">
        <v>73</v>
      </c>
      <c r="AE46" t="s">
        <v>478</v>
      </c>
      <c r="AF46" t="s">
        <v>479</v>
      </c>
      <c r="AL46">
        <v>16.559999999999999</v>
      </c>
      <c r="AM46" t="s">
        <v>816</v>
      </c>
      <c r="AO46" t="s">
        <v>480</v>
      </c>
      <c r="AP46" t="s">
        <v>481</v>
      </c>
      <c r="AQ46" t="s">
        <v>645</v>
      </c>
      <c r="AR46" t="s">
        <v>482</v>
      </c>
      <c r="AS46" t="s">
        <v>483</v>
      </c>
      <c r="AT46" t="s">
        <v>484</v>
      </c>
      <c r="AU46" t="s">
        <v>521</v>
      </c>
      <c r="AV46" t="s">
        <v>522</v>
      </c>
      <c r="AW46" t="s">
        <v>486</v>
      </c>
      <c r="BF46" s="1"/>
      <c r="BG46" t="s">
        <v>523</v>
      </c>
      <c r="BH46" t="s">
        <v>487</v>
      </c>
      <c r="BP46" t="s">
        <v>1489</v>
      </c>
      <c r="BQ46" t="s">
        <v>522</v>
      </c>
    </row>
    <row r="47" spans="1:69" x14ac:dyDescent="0.25">
      <c r="A47" t="s">
        <v>5713</v>
      </c>
      <c r="B47" t="s">
        <v>474</v>
      </c>
      <c r="C47" t="s">
        <v>1552</v>
      </c>
      <c r="E47" t="s">
        <v>480</v>
      </c>
      <c r="G47" s="1" t="s">
        <v>1586</v>
      </c>
      <c r="H47" t="s">
        <v>500</v>
      </c>
      <c r="J47">
        <v>400015</v>
      </c>
      <c r="M47" t="s">
        <v>1423</v>
      </c>
      <c r="P47" t="s">
        <v>140</v>
      </c>
      <c r="R47" t="s">
        <v>684</v>
      </c>
      <c r="S47" t="s">
        <v>1594</v>
      </c>
      <c r="T47" t="s">
        <v>1595</v>
      </c>
      <c r="V47" t="s">
        <v>477</v>
      </c>
      <c r="W47" t="s">
        <v>73</v>
      </c>
      <c r="AE47" t="s">
        <v>478</v>
      </c>
      <c r="AF47" t="s">
        <v>479</v>
      </c>
      <c r="AL47">
        <v>927.52800000000002</v>
      </c>
      <c r="AM47" t="s">
        <v>1596</v>
      </c>
      <c r="AO47" t="s">
        <v>480</v>
      </c>
      <c r="AP47" t="s">
        <v>481</v>
      </c>
      <c r="AQ47" t="s">
        <v>681</v>
      </c>
      <c r="AR47" t="s">
        <v>482</v>
      </c>
      <c r="AS47" t="s">
        <v>483</v>
      </c>
      <c r="AT47" t="s">
        <v>484</v>
      </c>
      <c r="AU47" t="s">
        <v>521</v>
      </c>
      <c r="AV47" t="s">
        <v>522</v>
      </c>
      <c r="AW47" t="s">
        <v>486</v>
      </c>
      <c r="BF47" s="1"/>
      <c r="BG47" t="s">
        <v>523</v>
      </c>
      <c r="BH47" t="s">
        <v>487</v>
      </c>
      <c r="BP47" t="s">
        <v>1489</v>
      </c>
      <c r="BQ47" t="s">
        <v>522</v>
      </c>
    </row>
    <row r="48" spans="1:69" x14ac:dyDescent="0.25">
      <c r="A48" t="s">
        <v>5713</v>
      </c>
      <c r="B48" t="s">
        <v>474</v>
      </c>
      <c r="C48" t="s">
        <v>1552</v>
      </c>
      <c r="E48" t="s">
        <v>480</v>
      </c>
      <c r="G48" s="1" t="s">
        <v>1586</v>
      </c>
      <c r="H48" t="s">
        <v>517</v>
      </c>
      <c r="J48">
        <v>400015</v>
      </c>
      <c r="M48" t="s">
        <v>1416</v>
      </c>
      <c r="P48" t="s">
        <v>150</v>
      </c>
      <c r="R48" t="s">
        <v>909</v>
      </c>
      <c r="S48" t="s">
        <v>1597</v>
      </c>
      <c r="T48" t="s">
        <v>1598</v>
      </c>
      <c r="V48" t="s">
        <v>477</v>
      </c>
      <c r="W48" t="s">
        <v>73</v>
      </c>
      <c r="AE48" t="s">
        <v>478</v>
      </c>
      <c r="AF48" t="s">
        <v>479</v>
      </c>
      <c r="AL48">
        <v>426.214</v>
      </c>
      <c r="AM48" t="s">
        <v>910</v>
      </c>
      <c r="AO48" t="s">
        <v>480</v>
      </c>
      <c r="AP48" t="s">
        <v>481</v>
      </c>
      <c r="AQ48" t="s">
        <v>570</v>
      </c>
      <c r="AR48" t="s">
        <v>482</v>
      </c>
      <c r="AS48" t="s">
        <v>483</v>
      </c>
      <c r="AT48" t="s">
        <v>484</v>
      </c>
      <c r="AU48" t="s">
        <v>521</v>
      </c>
      <c r="AV48" t="s">
        <v>522</v>
      </c>
      <c r="AW48" t="s">
        <v>486</v>
      </c>
      <c r="BF48" s="1"/>
      <c r="BG48" t="s">
        <v>523</v>
      </c>
      <c r="BH48" t="s">
        <v>487</v>
      </c>
      <c r="BP48" t="s">
        <v>1489</v>
      </c>
      <c r="BQ48" t="s">
        <v>522</v>
      </c>
    </row>
    <row r="49" spans="1:69" x14ac:dyDescent="0.25">
      <c r="A49" t="s">
        <v>5713</v>
      </c>
      <c r="B49" t="s">
        <v>474</v>
      </c>
      <c r="C49" t="s">
        <v>1552</v>
      </c>
      <c r="E49" t="s">
        <v>480</v>
      </c>
      <c r="G49" s="1" t="s">
        <v>1586</v>
      </c>
      <c r="H49" t="s">
        <v>537</v>
      </c>
      <c r="J49">
        <v>400015</v>
      </c>
      <c r="M49" t="s">
        <v>1420</v>
      </c>
      <c r="P49" t="s">
        <v>119</v>
      </c>
      <c r="R49" t="s">
        <v>739</v>
      </c>
      <c r="S49" t="s">
        <v>798</v>
      </c>
      <c r="T49" t="s">
        <v>799</v>
      </c>
      <c r="V49" t="s">
        <v>477</v>
      </c>
      <c r="W49" t="s">
        <v>73</v>
      </c>
      <c r="AE49" t="s">
        <v>478</v>
      </c>
      <c r="AF49" t="s">
        <v>479</v>
      </c>
      <c r="AL49">
        <v>13.048</v>
      </c>
      <c r="AM49" t="s">
        <v>754</v>
      </c>
      <c r="AO49" t="s">
        <v>480</v>
      </c>
      <c r="AP49" t="s">
        <v>481</v>
      </c>
      <c r="AQ49" t="s">
        <v>756</v>
      </c>
      <c r="AR49" t="s">
        <v>482</v>
      </c>
      <c r="AS49" t="s">
        <v>483</v>
      </c>
      <c r="AT49" t="s">
        <v>484</v>
      </c>
      <c r="AU49" t="s">
        <v>521</v>
      </c>
      <c r="AV49" t="s">
        <v>522</v>
      </c>
      <c r="AW49" t="s">
        <v>486</v>
      </c>
      <c r="BF49" s="1"/>
      <c r="BG49" t="s">
        <v>523</v>
      </c>
      <c r="BH49" t="s">
        <v>487</v>
      </c>
      <c r="BP49" t="s">
        <v>1489</v>
      </c>
      <c r="BQ49" t="s">
        <v>522</v>
      </c>
    </row>
    <row r="50" spans="1:69" x14ac:dyDescent="0.25">
      <c r="A50" t="s">
        <v>5713</v>
      </c>
      <c r="B50" t="s">
        <v>474</v>
      </c>
      <c r="C50" t="s">
        <v>1552</v>
      </c>
      <c r="E50" t="s">
        <v>480</v>
      </c>
      <c r="G50" s="1" t="s">
        <v>1586</v>
      </c>
      <c r="H50" t="s">
        <v>542</v>
      </c>
      <c r="J50">
        <v>400015</v>
      </c>
      <c r="M50" t="s">
        <v>1425</v>
      </c>
      <c r="P50" t="s">
        <v>170</v>
      </c>
      <c r="R50" t="s">
        <v>653</v>
      </c>
      <c r="S50" t="s">
        <v>1599</v>
      </c>
      <c r="T50" t="s">
        <v>1600</v>
      </c>
      <c r="V50" t="s">
        <v>477</v>
      </c>
      <c r="W50" t="s">
        <v>73</v>
      </c>
      <c r="AE50" t="s">
        <v>478</v>
      </c>
      <c r="AF50" t="s">
        <v>479</v>
      </c>
      <c r="AL50">
        <v>133.11199999999999</v>
      </c>
      <c r="AM50" t="s">
        <v>654</v>
      </c>
      <c r="AO50" t="s">
        <v>480</v>
      </c>
      <c r="AP50" t="s">
        <v>481</v>
      </c>
      <c r="AQ50" t="s">
        <v>854</v>
      </c>
      <c r="AR50" t="s">
        <v>482</v>
      </c>
      <c r="AS50" t="s">
        <v>483</v>
      </c>
      <c r="AT50" t="s">
        <v>484</v>
      </c>
      <c r="AU50" t="s">
        <v>521</v>
      </c>
      <c r="AV50" t="s">
        <v>522</v>
      </c>
      <c r="AW50" t="s">
        <v>486</v>
      </c>
      <c r="BF50" s="1"/>
      <c r="BG50" t="s">
        <v>523</v>
      </c>
      <c r="BH50" t="s">
        <v>487</v>
      </c>
      <c r="BP50" t="s">
        <v>1489</v>
      </c>
      <c r="BQ50" t="s">
        <v>522</v>
      </c>
    </row>
    <row r="51" spans="1:69" x14ac:dyDescent="0.25">
      <c r="A51" t="s">
        <v>5713</v>
      </c>
      <c r="B51" t="s">
        <v>474</v>
      </c>
      <c r="C51" t="s">
        <v>1552</v>
      </c>
      <c r="E51" t="s">
        <v>480</v>
      </c>
      <c r="G51" s="1" t="s">
        <v>1586</v>
      </c>
      <c r="H51" t="s">
        <v>546</v>
      </c>
      <c r="J51">
        <v>400015</v>
      </c>
      <c r="M51" t="s">
        <v>1420</v>
      </c>
      <c r="P51" t="s">
        <v>109</v>
      </c>
      <c r="R51" t="s">
        <v>796</v>
      </c>
      <c r="S51" t="s">
        <v>1601</v>
      </c>
      <c r="T51" t="s">
        <v>1602</v>
      </c>
      <c r="V51" t="s">
        <v>477</v>
      </c>
      <c r="W51" t="s">
        <v>73</v>
      </c>
      <c r="AE51" t="s">
        <v>478</v>
      </c>
      <c r="AF51" t="s">
        <v>479</v>
      </c>
      <c r="AL51">
        <v>81.647999999999996</v>
      </c>
      <c r="AM51" t="s">
        <v>791</v>
      </c>
      <c r="AO51" t="s">
        <v>480</v>
      </c>
      <c r="AP51" t="s">
        <v>481</v>
      </c>
      <c r="AQ51" t="s">
        <v>536</v>
      </c>
      <c r="AR51" t="s">
        <v>482</v>
      </c>
      <c r="AS51" t="s">
        <v>483</v>
      </c>
      <c r="AT51" t="s">
        <v>484</v>
      </c>
      <c r="AU51" t="s">
        <v>521</v>
      </c>
      <c r="AV51" t="s">
        <v>522</v>
      </c>
      <c r="AW51" t="s">
        <v>486</v>
      </c>
      <c r="BF51" s="1"/>
      <c r="BG51" t="s">
        <v>523</v>
      </c>
      <c r="BH51" t="s">
        <v>487</v>
      </c>
      <c r="BP51" t="s">
        <v>1489</v>
      </c>
      <c r="BQ51" t="s">
        <v>522</v>
      </c>
    </row>
    <row r="52" spans="1:69" x14ac:dyDescent="0.25">
      <c r="A52" t="s">
        <v>5713</v>
      </c>
      <c r="B52" t="s">
        <v>474</v>
      </c>
      <c r="C52" t="s">
        <v>1552</v>
      </c>
      <c r="E52" t="s">
        <v>480</v>
      </c>
      <c r="G52" s="1" t="s">
        <v>1586</v>
      </c>
      <c r="H52" t="s">
        <v>549</v>
      </c>
      <c r="J52">
        <v>400015</v>
      </c>
      <c r="M52" t="s">
        <v>1415</v>
      </c>
      <c r="P52" t="s">
        <v>87</v>
      </c>
      <c r="R52" t="s">
        <v>534</v>
      </c>
      <c r="S52" t="s">
        <v>1603</v>
      </c>
      <c r="T52" t="s">
        <v>1604</v>
      </c>
      <c r="V52" t="s">
        <v>477</v>
      </c>
      <c r="W52" t="s">
        <v>73</v>
      </c>
      <c r="AE52" t="s">
        <v>478</v>
      </c>
      <c r="AF52" t="s">
        <v>479</v>
      </c>
      <c r="AL52">
        <v>23.225999999999999</v>
      </c>
      <c r="AM52" t="s">
        <v>797</v>
      </c>
      <c r="AO52" t="s">
        <v>480</v>
      </c>
      <c r="AP52" t="s">
        <v>481</v>
      </c>
      <c r="AQ52" t="s">
        <v>552</v>
      </c>
      <c r="AR52" t="s">
        <v>482</v>
      </c>
      <c r="AS52" t="s">
        <v>483</v>
      </c>
      <c r="AT52" t="s">
        <v>484</v>
      </c>
      <c r="AU52" t="s">
        <v>521</v>
      </c>
      <c r="AV52" t="s">
        <v>522</v>
      </c>
      <c r="AW52" t="s">
        <v>486</v>
      </c>
      <c r="BF52" s="1"/>
      <c r="BG52" t="s">
        <v>523</v>
      </c>
      <c r="BH52" t="s">
        <v>487</v>
      </c>
      <c r="BP52" t="s">
        <v>1489</v>
      </c>
      <c r="BQ52" t="s">
        <v>522</v>
      </c>
    </row>
    <row r="53" spans="1:69" x14ac:dyDescent="0.25">
      <c r="A53" t="s">
        <v>5713</v>
      </c>
      <c r="B53" t="s">
        <v>474</v>
      </c>
      <c r="C53" t="s">
        <v>1552</v>
      </c>
      <c r="E53" t="s">
        <v>480</v>
      </c>
      <c r="G53" s="1" t="s">
        <v>1586</v>
      </c>
      <c r="H53" t="s">
        <v>553</v>
      </c>
      <c r="J53">
        <v>400015</v>
      </c>
      <c r="M53" t="s">
        <v>1431</v>
      </c>
      <c r="P53" t="s">
        <v>72</v>
      </c>
      <c r="R53" t="s">
        <v>753</v>
      </c>
      <c r="S53" t="s">
        <v>1605</v>
      </c>
      <c r="T53" t="s">
        <v>1606</v>
      </c>
      <c r="V53" t="s">
        <v>477</v>
      </c>
      <c r="W53" t="s">
        <v>73</v>
      </c>
      <c r="AE53" t="s">
        <v>478</v>
      </c>
      <c r="AF53" t="s">
        <v>479</v>
      </c>
      <c r="AL53">
        <v>17.02</v>
      </c>
      <c r="AM53" t="s">
        <v>835</v>
      </c>
      <c r="AO53" t="s">
        <v>480</v>
      </c>
      <c r="AP53" t="s">
        <v>481</v>
      </c>
      <c r="AQ53" t="s">
        <v>757</v>
      </c>
      <c r="AR53" t="s">
        <v>482</v>
      </c>
      <c r="AS53" t="s">
        <v>483</v>
      </c>
      <c r="AT53" t="s">
        <v>484</v>
      </c>
      <c r="AU53" t="s">
        <v>521</v>
      </c>
      <c r="AV53" t="s">
        <v>522</v>
      </c>
      <c r="AW53" t="s">
        <v>486</v>
      </c>
      <c r="BF53" s="1"/>
      <c r="BG53" t="s">
        <v>523</v>
      </c>
      <c r="BH53" t="s">
        <v>487</v>
      </c>
      <c r="BP53" t="s">
        <v>1489</v>
      </c>
      <c r="BQ53" t="s">
        <v>522</v>
      </c>
    </row>
    <row r="54" spans="1:69" x14ac:dyDescent="0.25">
      <c r="A54" t="s">
        <v>5713</v>
      </c>
      <c r="B54" t="s">
        <v>474</v>
      </c>
      <c r="C54" t="s">
        <v>1552</v>
      </c>
      <c r="E54" t="s">
        <v>480</v>
      </c>
      <c r="G54" s="1" t="s">
        <v>1586</v>
      </c>
      <c r="H54" t="s">
        <v>556</v>
      </c>
      <c r="J54">
        <v>400015</v>
      </c>
      <c r="M54" t="s">
        <v>1420</v>
      </c>
      <c r="P54" t="s">
        <v>89</v>
      </c>
      <c r="R54" t="s">
        <v>653</v>
      </c>
      <c r="S54" t="s">
        <v>833</v>
      </c>
      <c r="T54" t="s">
        <v>834</v>
      </c>
      <c r="V54" t="s">
        <v>477</v>
      </c>
      <c r="W54" t="s">
        <v>73</v>
      </c>
      <c r="AE54" t="s">
        <v>478</v>
      </c>
      <c r="AF54" t="s">
        <v>479</v>
      </c>
      <c r="AL54">
        <v>157.75200000000001</v>
      </c>
      <c r="AM54" t="s">
        <v>793</v>
      </c>
      <c r="AO54" t="s">
        <v>480</v>
      </c>
      <c r="AP54" t="s">
        <v>481</v>
      </c>
      <c r="AQ54" t="s">
        <v>561</v>
      </c>
      <c r="AR54" t="s">
        <v>482</v>
      </c>
      <c r="AS54" t="s">
        <v>483</v>
      </c>
      <c r="AT54" t="s">
        <v>484</v>
      </c>
      <c r="AU54" t="s">
        <v>521</v>
      </c>
      <c r="AV54" t="s">
        <v>522</v>
      </c>
      <c r="AW54" t="s">
        <v>486</v>
      </c>
      <c r="BF54" s="1"/>
      <c r="BG54" t="s">
        <v>523</v>
      </c>
      <c r="BH54" t="s">
        <v>487</v>
      </c>
      <c r="BP54" t="s">
        <v>1489</v>
      </c>
      <c r="BQ54" t="s">
        <v>522</v>
      </c>
    </row>
    <row r="55" spans="1:69" x14ac:dyDescent="0.25">
      <c r="A55" t="s">
        <v>5713</v>
      </c>
      <c r="B55" t="s">
        <v>474</v>
      </c>
      <c r="C55" t="s">
        <v>1552</v>
      </c>
      <c r="E55" t="s">
        <v>480</v>
      </c>
      <c r="G55" s="1" t="s">
        <v>1586</v>
      </c>
      <c r="H55" t="s">
        <v>559</v>
      </c>
      <c r="J55">
        <v>400015</v>
      </c>
      <c r="M55" t="s">
        <v>1423</v>
      </c>
      <c r="P55" t="s">
        <v>124</v>
      </c>
      <c r="R55" t="s">
        <v>1607</v>
      </c>
      <c r="S55" t="s">
        <v>1608</v>
      </c>
      <c r="T55" t="s">
        <v>1609</v>
      </c>
      <c r="V55" t="s">
        <v>477</v>
      </c>
      <c r="W55" t="s">
        <v>73</v>
      </c>
      <c r="AE55" t="s">
        <v>478</v>
      </c>
      <c r="AF55" t="s">
        <v>479</v>
      </c>
      <c r="AL55">
        <v>527.69399999999996</v>
      </c>
      <c r="AM55" t="s">
        <v>1610</v>
      </c>
      <c r="AO55" t="s">
        <v>480</v>
      </c>
      <c r="AP55" t="s">
        <v>481</v>
      </c>
      <c r="AQ55" t="s">
        <v>588</v>
      </c>
      <c r="AR55" t="s">
        <v>482</v>
      </c>
      <c r="AS55" t="s">
        <v>483</v>
      </c>
      <c r="AT55" t="s">
        <v>484</v>
      </c>
      <c r="AU55" t="s">
        <v>521</v>
      </c>
      <c r="AV55" t="s">
        <v>522</v>
      </c>
      <c r="AW55" t="s">
        <v>486</v>
      </c>
      <c r="BF55" s="1"/>
      <c r="BG55" t="s">
        <v>523</v>
      </c>
      <c r="BH55" t="s">
        <v>487</v>
      </c>
      <c r="BP55" t="s">
        <v>1489</v>
      </c>
      <c r="BQ55" t="s">
        <v>522</v>
      </c>
    </row>
    <row r="56" spans="1:69" x14ac:dyDescent="0.25">
      <c r="A56" t="s">
        <v>5713</v>
      </c>
      <c r="B56" t="s">
        <v>474</v>
      </c>
      <c r="C56" t="s">
        <v>1552</v>
      </c>
      <c r="E56" t="s">
        <v>480</v>
      </c>
      <c r="G56" s="1" t="s">
        <v>1586</v>
      </c>
      <c r="H56" t="s">
        <v>562</v>
      </c>
      <c r="J56">
        <v>400015</v>
      </c>
      <c r="M56" t="s">
        <v>1424</v>
      </c>
      <c r="P56" t="s">
        <v>157</v>
      </c>
      <c r="R56" t="s">
        <v>848</v>
      </c>
      <c r="S56" t="s">
        <v>1611</v>
      </c>
      <c r="T56" t="s">
        <v>1612</v>
      </c>
      <c r="V56" t="s">
        <v>477</v>
      </c>
      <c r="W56" t="s">
        <v>73</v>
      </c>
      <c r="AE56" t="s">
        <v>478</v>
      </c>
      <c r="AF56" t="s">
        <v>479</v>
      </c>
      <c r="AL56">
        <v>154.22</v>
      </c>
      <c r="AM56" t="s">
        <v>1613</v>
      </c>
      <c r="AO56" t="s">
        <v>480</v>
      </c>
      <c r="AP56" t="s">
        <v>481</v>
      </c>
      <c r="AQ56" t="s">
        <v>667</v>
      </c>
      <c r="AR56" t="s">
        <v>482</v>
      </c>
      <c r="AS56" t="s">
        <v>483</v>
      </c>
      <c r="AT56" t="s">
        <v>484</v>
      </c>
      <c r="AU56" t="s">
        <v>521</v>
      </c>
      <c r="AV56" t="s">
        <v>522</v>
      </c>
      <c r="AW56" t="s">
        <v>486</v>
      </c>
      <c r="BF56" s="1"/>
      <c r="BG56" t="s">
        <v>523</v>
      </c>
      <c r="BH56" t="s">
        <v>487</v>
      </c>
      <c r="BP56" t="s">
        <v>1489</v>
      </c>
      <c r="BQ56" t="s">
        <v>522</v>
      </c>
    </row>
    <row r="57" spans="1:69" x14ac:dyDescent="0.25">
      <c r="A57" t="s">
        <v>5713</v>
      </c>
      <c r="B57" t="s">
        <v>474</v>
      </c>
      <c r="C57" t="s">
        <v>1552</v>
      </c>
      <c r="E57" t="s">
        <v>480</v>
      </c>
      <c r="G57" s="1" t="s">
        <v>1586</v>
      </c>
      <c r="H57" t="s">
        <v>564</v>
      </c>
      <c r="J57">
        <v>400015</v>
      </c>
      <c r="M57" t="s">
        <v>1424</v>
      </c>
      <c r="P57" t="s">
        <v>76</v>
      </c>
      <c r="R57" t="s">
        <v>848</v>
      </c>
      <c r="S57" t="s">
        <v>1614</v>
      </c>
      <c r="T57" t="s">
        <v>1615</v>
      </c>
      <c r="V57" t="s">
        <v>477</v>
      </c>
      <c r="W57" t="s">
        <v>73</v>
      </c>
      <c r="AE57" t="s">
        <v>478</v>
      </c>
      <c r="AF57" t="s">
        <v>479</v>
      </c>
      <c r="AL57">
        <v>129.51399999999998</v>
      </c>
      <c r="AM57" t="s">
        <v>787</v>
      </c>
      <c r="AO57" t="s">
        <v>480</v>
      </c>
      <c r="AP57" t="s">
        <v>481</v>
      </c>
      <c r="AQ57" t="s">
        <v>558</v>
      </c>
      <c r="AR57" t="s">
        <v>482</v>
      </c>
      <c r="AS57" t="s">
        <v>483</v>
      </c>
      <c r="AT57" t="s">
        <v>484</v>
      </c>
      <c r="AU57" t="s">
        <v>521</v>
      </c>
      <c r="AV57" t="s">
        <v>522</v>
      </c>
      <c r="AW57" t="s">
        <v>486</v>
      </c>
      <c r="BF57" s="1"/>
      <c r="BG57" t="s">
        <v>523</v>
      </c>
      <c r="BH57" t="s">
        <v>487</v>
      </c>
      <c r="BP57" t="s">
        <v>1489</v>
      </c>
      <c r="BQ57" t="s">
        <v>522</v>
      </c>
    </row>
    <row r="58" spans="1:69" x14ac:dyDescent="0.25">
      <c r="A58" t="s">
        <v>5713</v>
      </c>
      <c r="B58" t="s">
        <v>474</v>
      </c>
      <c r="C58" t="s">
        <v>1552</v>
      </c>
      <c r="E58" t="s">
        <v>480</v>
      </c>
      <c r="G58" s="1" t="s">
        <v>1586</v>
      </c>
      <c r="H58" t="s">
        <v>567</v>
      </c>
      <c r="J58">
        <v>400015</v>
      </c>
      <c r="M58" t="s">
        <v>1425</v>
      </c>
      <c r="P58" t="s">
        <v>110</v>
      </c>
      <c r="R58" t="s">
        <v>1616</v>
      </c>
      <c r="S58" t="s">
        <v>1617</v>
      </c>
      <c r="T58" t="s">
        <v>1618</v>
      </c>
      <c r="V58" t="s">
        <v>477</v>
      </c>
      <c r="W58" t="s">
        <v>73</v>
      </c>
      <c r="AE58" t="s">
        <v>478</v>
      </c>
      <c r="AF58" t="s">
        <v>479</v>
      </c>
      <c r="AL58">
        <v>326.02500000000003</v>
      </c>
      <c r="AM58" t="s">
        <v>1619</v>
      </c>
      <c r="AO58" t="s">
        <v>480</v>
      </c>
      <c r="AP58" t="s">
        <v>481</v>
      </c>
      <c r="AQ58" t="s">
        <v>624</v>
      </c>
      <c r="AR58" t="s">
        <v>482</v>
      </c>
      <c r="AS58" t="s">
        <v>483</v>
      </c>
      <c r="AT58" t="s">
        <v>484</v>
      </c>
      <c r="AU58" t="s">
        <v>521</v>
      </c>
      <c r="AV58" t="s">
        <v>522</v>
      </c>
      <c r="AW58" t="s">
        <v>486</v>
      </c>
      <c r="BF58" s="1"/>
      <c r="BG58" t="s">
        <v>523</v>
      </c>
      <c r="BH58" t="s">
        <v>487</v>
      </c>
      <c r="BP58" t="s">
        <v>1489</v>
      </c>
      <c r="BQ58" t="s">
        <v>522</v>
      </c>
    </row>
    <row r="59" spans="1:69" x14ac:dyDescent="0.25">
      <c r="A59" t="s">
        <v>5713</v>
      </c>
      <c r="B59" t="s">
        <v>474</v>
      </c>
      <c r="C59" t="s">
        <v>1552</v>
      </c>
      <c r="E59" t="s">
        <v>480</v>
      </c>
      <c r="G59" s="1" t="s">
        <v>1586</v>
      </c>
      <c r="H59" t="s">
        <v>571</v>
      </c>
      <c r="J59">
        <v>400015</v>
      </c>
      <c r="M59" t="s">
        <v>1420</v>
      </c>
      <c r="P59" t="s">
        <v>108</v>
      </c>
      <c r="R59" t="s">
        <v>753</v>
      </c>
      <c r="S59" t="s">
        <v>1620</v>
      </c>
      <c r="T59" t="s">
        <v>1621</v>
      </c>
      <c r="V59" t="s">
        <v>477</v>
      </c>
      <c r="W59" t="s">
        <v>73</v>
      </c>
      <c r="AE59" t="s">
        <v>478</v>
      </c>
      <c r="AF59" t="s">
        <v>479</v>
      </c>
      <c r="AL59">
        <v>23.224</v>
      </c>
      <c r="AM59" t="s">
        <v>812</v>
      </c>
      <c r="AO59" t="s">
        <v>480</v>
      </c>
      <c r="AP59" t="s">
        <v>481</v>
      </c>
      <c r="AQ59" t="s">
        <v>520</v>
      </c>
      <c r="AR59" t="s">
        <v>482</v>
      </c>
      <c r="AS59" t="s">
        <v>483</v>
      </c>
      <c r="AT59" t="s">
        <v>484</v>
      </c>
      <c r="AU59" t="s">
        <v>521</v>
      </c>
      <c r="AV59" t="s">
        <v>522</v>
      </c>
      <c r="AW59" t="s">
        <v>486</v>
      </c>
      <c r="BF59" s="1"/>
      <c r="BG59" t="s">
        <v>523</v>
      </c>
      <c r="BH59" t="s">
        <v>487</v>
      </c>
      <c r="BP59" t="s">
        <v>1489</v>
      </c>
      <c r="BQ59" t="s">
        <v>522</v>
      </c>
    </row>
    <row r="60" spans="1:69" x14ac:dyDescent="0.25">
      <c r="A60" t="s">
        <v>5713</v>
      </c>
      <c r="B60" t="s">
        <v>474</v>
      </c>
      <c r="C60" t="s">
        <v>1552</v>
      </c>
      <c r="E60" t="s">
        <v>480</v>
      </c>
      <c r="G60" s="1" t="s">
        <v>1586</v>
      </c>
      <c r="H60" t="s">
        <v>575</v>
      </c>
      <c r="J60">
        <v>400015</v>
      </c>
      <c r="M60" t="s">
        <v>1427</v>
      </c>
      <c r="P60" t="s">
        <v>104</v>
      </c>
      <c r="R60" t="s">
        <v>739</v>
      </c>
      <c r="S60" t="s">
        <v>1622</v>
      </c>
      <c r="T60" t="s">
        <v>1623</v>
      </c>
      <c r="V60" t="s">
        <v>477</v>
      </c>
      <c r="W60" t="s">
        <v>73</v>
      </c>
      <c r="AE60" t="s">
        <v>478</v>
      </c>
      <c r="AF60" t="s">
        <v>479</v>
      </c>
      <c r="AL60">
        <v>6.0579999999999998</v>
      </c>
      <c r="AM60" t="s">
        <v>1624</v>
      </c>
      <c r="AO60" t="s">
        <v>480</v>
      </c>
      <c r="AP60" t="s">
        <v>481</v>
      </c>
      <c r="AQ60" t="s">
        <v>637</v>
      </c>
      <c r="AR60" t="s">
        <v>482</v>
      </c>
      <c r="AS60" t="s">
        <v>483</v>
      </c>
      <c r="AT60" t="s">
        <v>484</v>
      </c>
      <c r="AU60" t="s">
        <v>521</v>
      </c>
      <c r="AV60" t="s">
        <v>522</v>
      </c>
      <c r="AW60" t="s">
        <v>486</v>
      </c>
      <c r="BF60" s="1"/>
      <c r="BG60" t="s">
        <v>523</v>
      </c>
      <c r="BH60" t="s">
        <v>487</v>
      </c>
      <c r="BP60" t="s">
        <v>1489</v>
      </c>
      <c r="BQ60" t="s">
        <v>522</v>
      </c>
    </row>
    <row r="61" spans="1:69" x14ac:dyDescent="0.25">
      <c r="A61" t="s">
        <v>5713</v>
      </c>
      <c r="B61" t="s">
        <v>474</v>
      </c>
      <c r="C61" t="s">
        <v>1552</v>
      </c>
      <c r="E61" t="s">
        <v>480</v>
      </c>
      <c r="G61" s="1" t="s">
        <v>1586</v>
      </c>
      <c r="H61" t="s">
        <v>578</v>
      </c>
      <c r="J61">
        <v>400015</v>
      </c>
      <c r="M61" t="s">
        <v>1414</v>
      </c>
      <c r="P61" t="s">
        <v>169</v>
      </c>
      <c r="R61" t="s">
        <v>702</v>
      </c>
      <c r="S61" t="s">
        <v>849</v>
      </c>
      <c r="T61" t="s">
        <v>850</v>
      </c>
      <c r="V61" t="s">
        <v>477</v>
      </c>
      <c r="W61" t="s">
        <v>73</v>
      </c>
      <c r="AE61" t="s">
        <v>478</v>
      </c>
      <c r="AF61" t="s">
        <v>479</v>
      </c>
      <c r="AL61">
        <v>3739.9320000000002</v>
      </c>
      <c r="AM61" t="s">
        <v>704</v>
      </c>
      <c r="AO61" t="s">
        <v>480</v>
      </c>
      <c r="AP61" t="s">
        <v>481</v>
      </c>
      <c r="AQ61" t="s">
        <v>852</v>
      </c>
      <c r="AR61" t="s">
        <v>482</v>
      </c>
      <c r="AS61" t="s">
        <v>483</v>
      </c>
      <c r="AT61" t="s">
        <v>484</v>
      </c>
      <c r="AU61" t="s">
        <v>521</v>
      </c>
      <c r="AV61" t="s">
        <v>522</v>
      </c>
      <c r="AW61" t="s">
        <v>486</v>
      </c>
      <c r="BF61" s="1"/>
      <c r="BG61" t="s">
        <v>523</v>
      </c>
      <c r="BH61" t="s">
        <v>487</v>
      </c>
      <c r="BP61" t="s">
        <v>1489</v>
      </c>
      <c r="BQ61" t="s">
        <v>522</v>
      </c>
    </row>
    <row r="62" spans="1:69" x14ac:dyDescent="0.25">
      <c r="A62" t="s">
        <v>5713</v>
      </c>
      <c r="B62" t="s">
        <v>474</v>
      </c>
      <c r="C62" t="s">
        <v>1552</v>
      </c>
      <c r="E62" t="s">
        <v>480</v>
      </c>
      <c r="G62" s="1" t="s">
        <v>1625</v>
      </c>
      <c r="H62" t="s">
        <v>476</v>
      </c>
      <c r="J62">
        <v>400015</v>
      </c>
      <c r="M62" t="s">
        <v>1420</v>
      </c>
      <c r="P62" t="s">
        <v>139</v>
      </c>
      <c r="R62" t="s">
        <v>590</v>
      </c>
      <c r="S62" t="s">
        <v>1626</v>
      </c>
      <c r="T62" t="s">
        <v>1627</v>
      </c>
      <c r="V62" t="s">
        <v>477</v>
      </c>
      <c r="W62" t="s">
        <v>73</v>
      </c>
      <c r="AE62" t="s">
        <v>478</v>
      </c>
      <c r="AF62" t="s">
        <v>479</v>
      </c>
      <c r="AL62">
        <v>19.875</v>
      </c>
      <c r="AM62" t="s">
        <v>1628</v>
      </c>
      <c r="AO62" t="s">
        <v>480</v>
      </c>
      <c r="AP62" t="s">
        <v>481</v>
      </c>
      <c r="AQ62" t="s">
        <v>618</v>
      </c>
      <c r="AR62" t="s">
        <v>482</v>
      </c>
      <c r="AS62" t="s">
        <v>483</v>
      </c>
      <c r="AT62" t="s">
        <v>484</v>
      </c>
      <c r="AU62" t="s">
        <v>521</v>
      </c>
      <c r="AV62" t="s">
        <v>522</v>
      </c>
      <c r="AW62" t="s">
        <v>486</v>
      </c>
      <c r="BF62" s="1"/>
      <c r="BG62" t="s">
        <v>523</v>
      </c>
      <c r="BH62" t="s">
        <v>487</v>
      </c>
      <c r="BP62" t="s">
        <v>1489</v>
      </c>
      <c r="BQ62" t="s">
        <v>522</v>
      </c>
    </row>
    <row r="63" spans="1:69" x14ac:dyDescent="0.25">
      <c r="A63" t="s">
        <v>5713</v>
      </c>
      <c r="B63" t="s">
        <v>474</v>
      </c>
      <c r="C63" t="s">
        <v>1552</v>
      </c>
      <c r="E63" t="s">
        <v>480</v>
      </c>
      <c r="G63" s="1" t="s">
        <v>1625</v>
      </c>
      <c r="H63" t="s">
        <v>492</v>
      </c>
      <c r="J63">
        <v>400015</v>
      </c>
      <c r="M63" t="s">
        <v>1420</v>
      </c>
      <c r="P63" t="s">
        <v>139</v>
      </c>
      <c r="R63" t="s">
        <v>623</v>
      </c>
      <c r="S63" t="s">
        <v>1629</v>
      </c>
      <c r="T63" t="s">
        <v>1630</v>
      </c>
      <c r="V63" t="s">
        <v>477</v>
      </c>
      <c r="W63" t="s">
        <v>73</v>
      </c>
      <c r="AE63" t="s">
        <v>478</v>
      </c>
      <c r="AF63" t="s">
        <v>479</v>
      </c>
      <c r="AL63">
        <v>119.25</v>
      </c>
      <c r="AM63" t="s">
        <v>787</v>
      </c>
      <c r="AO63" t="s">
        <v>480</v>
      </c>
      <c r="AP63" t="s">
        <v>481</v>
      </c>
      <c r="AQ63" t="s">
        <v>618</v>
      </c>
      <c r="AR63" t="s">
        <v>482</v>
      </c>
      <c r="AS63" t="s">
        <v>483</v>
      </c>
      <c r="AT63" t="s">
        <v>484</v>
      </c>
      <c r="AU63" t="s">
        <v>521</v>
      </c>
      <c r="AV63" t="s">
        <v>522</v>
      </c>
      <c r="AW63" t="s">
        <v>486</v>
      </c>
      <c r="BF63" s="1"/>
      <c r="BG63" t="s">
        <v>523</v>
      </c>
      <c r="BH63" t="s">
        <v>487</v>
      </c>
      <c r="BP63" t="s">
        <v>1489</v>
      </c>
      <c r="BQ63" t="s">
        <v>522</v>
      </c>
    </row>
    <row r="64" spans="1:69" x14ac:dyDescent="0.25">
      <c r="A64" t="s">
        <v>5713</v>
      </c>
      <c r="B64" t="s">
        <v>474</v>
      </c>
      <c r="C64" t="s">
        <v>1552</v>
      </c>
      <c r="E64" t="s">
        <v>480</v>
      </c>
      <c r="G64" s="1" t="s">
        <v>1625</v>
      </c>
      <c r="H64" t="s">
        <v>498</v>
      </c>
      <c r="J64">
        <v>400015</v>
      </c>
      <c r="M64" t="s">
        <v>1425</v>
      </c>
      <c r="P64" t="s">
        <v>101</v>
      </c>
      <c r="R64" t="s">
        <v>909</v>
      </c>
      <c r="S64" t="s">
        <v>1631</v>
      </c>
      <c r="T64" t="s">
        <v>1632</v>
      </c>
      <c r="V64" t="s">
        <v>477</v>
      </c>
      <c r="W64" t="s">
        <v>73</v>
      </c>
      <c r="AE64" t="s">
        <v>478</v>
      </c>
      <c r="AF64" t="s">
        <v>479</v>
      </c>
      <c r="AL64">
        <v>413.95699999999999</v>
      </c>
      <c r="AM64" t="s">
        <v>1633</v>
      </c>
      <c r="AO64" t="s">
        <v>480</v>
      </c>
      <c r="AP64" t="s">
        <v>481</v>
      </c>
      <c r="AQ64" t="s">
        <v>699</v>
      </c>
      <c r="AR64" t="s">
        <v>482</v>
      </c>
      <c r="AS64" t="s">
        <v>483</v>
      </c>
      <c r="AT64" t="s">
        <v>484</v>
      </c>
      <c r="AU64" t="s">
        <v>521</v>
      </c>
      <c r="AV64" t="s">
        <v>522</v>
      </c>
      <c r="AW64" t="s">
        <v>486</v>
      </c>
      <c r="BF64" s="1"/>
      <c r="BG64" t="s">
        <v>523</v>
      </c>
      <c r="BH64" t="s">
        <v>487</v>
      </c>
      <c r="BP64" t="s">
        <v>1489</v>
      </c>
      <c r="BQ64" t="s">
        <v>522</v>
      </c>
    </row>
    <row r="65" spans="1:69" x14ac:dyDescent="0.25">
      <c r="A65" t="s">
        <v>5713</v>
      </c>
      <c r="B65" t="s">
        <v>474</v>
      </c>
      <c r="C65" t="s">
        <v>1552</v>
      </c>
      <c r="E65" t="s">
        <v>480</v>
      </c>
      <c r="G65" s="1" t="s">
        <v>1625</v>
      </c>
      <c r="H65" t="s">
        <v>500</v>
      </c>
      <c r="J65">
        <v>400015</v>
      </c>
      <c r="M65" t="s">
        <v>1425</v>
      </c>
      <c r="P65" t="s">
        <v>170</v>
      </c>
      <c r="R65" t="s">
        <v>915</v>
      </c>
      <c r="S65" t="s">
        <v>1634</v>
      </c>
      <c r="T65" t="s">
        <v>1635</v>
      </c>
      <c r="V65" t="s">
        <v>477</v>
      </c>
      <c r="W65" t="s">
        <v>73</v>
      </c>
      <c r="AE65" t="s">
        <v>478</v>
      </c>
      <c r="AF65" t="s">
        <v>479</v>
      </c>
      <c r="AL65">
        <v>494.41599999999994</v>
      </c>
      <c r="AM65" t="s">
        <v>916</v>
      </c>
      <c r="AO65" t="s">
        <v>480</v>
      </c>
      <c r="AP65" t="s">
        <v>481</v>
      </c>
      <c r="AQ65" t="s">
        <v>854</v>
      </c>
      <c r="AR65" t="s">
        <v>482</v>
      </c>
      <c r="AS65" t="s">
        <v>483</v>
      </c>
      <c r="AT65" t="s">
        <v>484</v>
      </c>
      <c r="AU65" t="s">
        <v>521</v>
      </c>
      <c r="AV65" t="s">
        <v>522</v>
      </c>
      <c r="AW65" t="s">
        <v>486</v>
      </c>
      <c r="BF65" s="1"/>
      <c r="BG65" t="s">
        <v>523</v>
      </c>
      <c r="BH65" t="s">
        <v>487</v>
      </c>
      <c r="BP65" t="s">
        <v>1489</v>
      </c>
      <c r="BQ65" t="s">
        <v>522</v>
      </c>
    </row>
    <row r="66" spans="1:69" x14ac:dyDescent="0.25">
      <c r="A66" t="s">
        <v>5713</v>
      </c>
      <c r="B66" t="s">
        <v>474</v>
      </c>
      <c r="C66" t="s">
        <v>1552</v>
      </c>
      <c r="E66" t="s">
        <v>480</v>
      </c>
      <c r="G66" s="1" t="s">
        <v>1625</v>
      </c>
      <c r="H66" t="s">
        <v>517</v>
      </c>
      <c r="J66">
        <v>400015</v>
      </c>
      <c r="M66" t="s">
        <v>1424</v>
      </c>
      <c r="P66" t="s">
        <v>76</v>
      </c>
      <c r="R66" t="s">
        <v>572</v>
      </c>
      <c r="S66" t="s">
        <v>1636</v>
      </c>
      <c r="T66" t="s">
        <v>1637</v>
      </c>
      <c r="V66" t="s">
        <v>477</v>
      </c>
      <c r="W66" t="s">
        <v>73</v>
      </c>
      <c r="AE66" t="s">
        <v>478</v>
      </c>
      <c r="AF66" t="s">
        <v>479</v>
      </c>
      <c r="AL66">
        <v>141.28799999999998</v>
      </c>
      <c r="AM66" t="s">
        <v>788</v>
      </c>
      <c r="AO66" t="s">
        <v>480</v>
      </c>
      <c r="AP66" t="s">
        <v>481</v>
      </c>
      <c r="AQ66" t="s">
        <v>558</v>
      </c>
      <c r="AR66" t="s">
        <v>482</v>
      </c>
      <c r="AS66" t="s">
        <v>483</v>
      </c>
      <c r="AT66" t="s">
        <v>484</v>
      </c>
      <c r="AU66" t="s">
        <v>521</v>
      </c>
      <c r="AV66" t="s">
        <v>522</v>
      </c>
      <c r="AW66" t="s">
        <v>486</v>
      </c>
      <c r="BF66" s="1"/>
      <c r="BG66" t="s">
        <v>523</v>
      </c>
      <c r="BH66" t="s">
        <v>487</v>
      </c>
      <c r="BP66" t="s">
        <v>1489</v>
      </c>
      <c r="BQ66" t="s">
        <v>522</v>
      </c>
    </row>
    <row r="67" spans="1:69" x14ac:dyDescent="0.25">
      <c r="A67" t="s">
        <v>5713</v>
      </c>
      <c r="B67" t="s">
        <v>474</v>
      </c>
      <c r="C67" t="s">
        <v>1552</v>
      </c>
      <c r="E67" t="s">
        <v>480</v>
      </c>
      <c r="G67" s="1" t="s">
        <v>1625</v>
      </c>
      <c r="H67" t="s">
        <v>537</v>
      </c>
      <c r="J67">
        <v>400015</v>
      </c>
      <c r="M67" t="s">
        <v>1420</v>
      </c>
      <c r="P67" t="s">
        <v>119</v>
      </c>
      <c r="R67" t="s">
        <v>679</v>
      </c>
      <c r="S67" t="s">
        <v>1638</v>
      </c>
      <c r="T67" t="s">
        <v>1639</v>
      </c>
      <c r="V67" t="s">
        <v>477</v>
      </c>
      <c r="W67" t="s">
        <v>73</v>
      </c>
      <c r="AE67" t="s">
        <v>478</v>
      </c>
      <c r="AF67" t="s">
        <v>479</v>
      </c>
      <c r="AL67">
        <v>163.1</v>
      </c>
      <c r="AM67" t="s">
        <v>768</v>
      </c>
      <c r="AO67" t="s">
        <v>480</v>
      </c>
      <c r="AP67" t="s">
        <v>481</v>
      </c>
      <c r="AQ67" t="s">
        <v>756</v>
      </c>
      <c r="AR67" t="s">
        <v>482</v>
      </c>
      <c r="AS67" t="s">
        <v>483</v>
      </c>
      <c r="AT67" t="s">
        <v>484</v>
      </c>
      <c r="AU67" t="s">
        <v>521</v>
      </c>
      <c r="AV67" t="s">
        <v>522</v>
      </c>
      <c r="AW67" t="s">
        <v>486</v>
      </c>
      <c r="BF67" s="1"/>
      <c r="BG67" t="s">
        <v>523</v>
      </c>
      <c r="BH67" t="s">
        <v>487</v>
      </c>
      <c r="BP67" t="s">
        <v>1489</v>
      </c>
      <c r="BQ67" t="s">
        <v>522</v>
      </c>
    </row>
    <row r="68" spans="1:69" x14ac:dyDescent="0.25">
      <c r="A68" t="s">
        <v>5713</v>
      </c>
      <c r="B68" t="s">
        <v>474</v>
      </c>
      <c r="C68" t="s">
        <v>1552</v>
      </c>
      <c r="E68" t="s">
        <v>480</v>
      </c>
      <c r="G68" s="1" t="s">
        <v>1625</v>
      </c>
      <c r="H68" t="s">
        <v>542</v>
      </c>
      <c r="J68">
        <v>400015</v>
      </c>
      <c r="M68" t="s">
        <v>1423</v>
      </c>
      <c r="P68" t="s">
        <v>80</v>
      </c>
      <c r="R68" t="s">
        <v>1640</v>
      </c>
      <c r="S68" t="s">
        <v>1641</v>
      </c>
      <c r="T68" t="s">
        <v>1642</v>
      </c>
      <c r="V68" t="s">
        <v>477</v>
      </c>
      <c r="W68" t="s">
        <v>73</v>
      </c>
      <c r="AE68" t="s">
        <v>478</v>
      </c>
      <c r="AF68" t="s">
        <v>479</v>
      </c>
      <c r="AL68">
        <v>1342.874</v>
      </c>
      <c r="AM68" t="s">
        <v>1643</v>
      </c>
      <c r="AO68" t="s">
        <v>480</v>
      </c>
      <c r="AP68" t="s">
        <v>481</v>
      </c>
      <c r="AQ68" t="s">
        <v>603</v>
      </c>
      <c r="AR68" t="s">
        <v>482</v>
      </c>
      <c r="AS68" t="s">
        <v>483</v>
      </c>
      <c r="AT68" t="s">
        <v>484</v>
      </c>
      <c r="AU68" t="s">
        <v>521</v>
      </c>
      <c r="AV68" t="s">
        <v>522</v>
      </c>
      <c r="AW68" t="s">
        <v>486</v>
      </c>
      <c r="BF68" s="1"/>
      <c r="BG68" t="s">
        <v>523</v>
      </c>
      <c r="BH68" t="s">
        <v>487</v>
      </c>
      <c r="BP68" t="s">
        <v>1489</v>
      </c>
      <c r="BQ68" t="s">
        <v>522</v>
      </c>
    </row>
    <row r="69" spans="1:69" x14ac:dyDescent="0.25">
      <c r="A69" t="s">
        <v>5713</v>
      </c>
      <c r="B69" t="s">
        <v>474</v>
      </c>
      <c r="C69" t="s">
        <v>1552</v>
      </c>
      <c r="E69" t="s">
        <v>480</v>
      </c>
      <c r="G69" s="1" t="s">
        <v>1625</v>
      </c>
      <c r="H69" t="s">
        <v>546</v>
      </c>
      <c r="J69">
        <v>400015</v>
      </c>
      <c r="M69" t="s">
        <v>1423</v>
      </c>
      <c r="P69" t="s">
        <v>115</v>
      </c>
      <c r="R69" t="s">
        <v>1644</v>
      </c>
      <c r="S69" t="s">
        <v>1645</v>
      </c>
      <c r="T69" t="s">
        <v>1646</v>
      </c>
      <c r="V69" t="s">
        <v>477</v>
      </c>
      <c r="W69" t="s">
        <v>73</v>
      </c>
      <c r="AE69" t="s">
        <v>478</v>
      </c>
      <c r="AF69" t="s">
        <v>479</v>
      </c>
      <c r="AL69">
        <v>576.95399999999995</v>
      </c>
      <c r="AM69" t="s">
        <v>1647</v>
      </c>
      <c r="AO69" t="s">
        <v>480</v>
      </c>
      <c r="AP69" t="s">
        <v>481</v>
      </c>
      <c r="AQ69" t="s">
        <v>626</v>
      </c>
      <c r="AR69" t="s">
        <v>482</v>
      </c>
      <c r="AS69" t="s">
        <v>483</v>
      </c>
      <c r="AT69" t="s">
        <v>484</v>
      </c>
      <c r="AU69" t="s">
        <v>521</v>
      </c>
      <c r="AV69" t="s">
        <v>522</v>
      </c>
      <c r="AW69" t="s">
        <v>486</v>
      </c>
      <c r="BF69" s="1"/>
      <c r="BG69" t="s">
        <v>523</v>
      </c>
      <c r="BH69" t="s">
        <v>487</v>
      </c>
      <c r="BP69" t="s">
        <v>1489</v>
      </c>
      <c r="BQ69" t="s">
        <v>522</v>
      </c>
    </row>
    <row r="70" spans="1:69" x14ac:dyDescent="0.25">
      <c r="A70" t="s">
        <v>5713</v>
      </c>
      <c r="B70" t="s">
        <v>474</v>
      </c>
      <c r="C70" t="s">
        <v>1552</v>
      </c>
      <c r="E70" t="s">
        <v>480</v>
      </c>
      <c r="G70" s="1" t="s">
        <v>1625</v>
      </c>
      <c r="H70" t="s">
        <v>549</v>
      </c>
      <c r="J70">
        <v>400015</v>
      </c>
      <c r="M70" t="s">
        <v>1420</v>
      </c>
      <c r="P70" t="s">
        <v>108</v>
      </c>
      <c r="R70" t="s">
        <v>739</v>
      </c>
      <c r="S70" t="s">
        <v>1648</v>
      </c>
      <c r="T70" t="s">
        <v>1649</v>
      </c>
      <c r="V70" t="s">
        <v>477</v>
      </c>
      <c r="W70" t="s">
        <v>73</v>
      </c>
      <c r="AE70" t="s">
        <v>478</v>
      </c>
      <c r="AF70" t="s">
        <v>479</v>
      </c>
      <c r="AL70">
        <v>11.612</v>
      </c>
      <c r="AM70" t="s">
        <v>1650</v>
      </c>
      <c r="AO70" t="s">
        <v>480</v>
      </c>
      <c r="AP70" t="s">
        <v>481</v>
      </c>
      <c r="AQ70" t="s">
        <v>520</v>
      </c>
      <c r="AR70" t="s">
        <v>482</v>
      </c>
      <c r="AS70" t="s">
        <v>483</v>
      </c>
      <c r="AT70" t="s">
        <v>484</v>
      </c>
      <c r="AU70" t="s">
        <v>521</v>
      </c>
      <c r="AV70" t="s">
        <v>522</v>
      </c>
      <c r="AW70" t="s">
        <v>486</v>
      </c>
      <c r="BF70" s="1"/>
      <c r="BG70" t="s">
        <v>523</v>
      </c>
      <c r="BH70" t="s">
        <v>487</v>
      </c>
      <c r="BP70" t="s">
        <v>1489</v>
      </c>
      <c r="BQ70" t="s">
        <v>522</v>
      </c>
    </row>
    <row r="71" spans="1:69" x14ac:dyDescent="0.25">
      <c r="A71" t="s">
        <v>5713</v>
      </c>
      <c r="B71" t="s">
        <v>474</v>
      </c>
      <c r="C71" t="s">
        <v>1552</v>
      </c>
      <c r="E71" t="s">
        <v>480</v>
      </c>
      <c r="G71" s="1" t="s">
        <v>1625</v>
      </c>
      <c r="H71" t="s">
        <v>553</v>
      </c>
      <c r="J71">
        <v>400015</v>
      </c>
      <c r="M71" t="s">
        <v>1422</v>
      </c>
      <c r="P71" t="s">
        <v>75</v>
      </c>
      <c r="R71" t="s">
        <v>623</v>
      </c>
      <c r="S71" t="s">
        <v>1651</v>
      </c>
      <c r="T71" t="s">
        <v>1652</v>
      </c>
      <c r="V71" t="s">
        <v>477</v>
      </c>
      <c r="W71" t="s">
        <v>73</v>
      </c>
      <c r="AE71" t="s">
        <v>478</v>
      </c>
      <c r="AF71" t="s">
        <v>479</v>
      </c>
      <c r="AL71">
        <v>75.888000000000005</v>
      </c>
      <c r="AM71" t="s">
        <v>791</v>
      </c>
      <c r="AO71" t="s">
        <v>480</v>
      </c>
      <c r="AP71" t="s">
        <v>481</v>
      </c>
      <c r="AQ71" t="s">
        <v>599</v>
      </c>
      <c r="AR71" t="s">
        <v>482</v>
      </c>
      <c r="AS71" t="s">
        <v>483</v>
      </c>
      <c r="AT71" t="s">
        <v>484</v>
      </c>
      <c r="AU71" t="s">
        <v>521</v>
      </c>
      <c r="AV71" t="s">
        <v>522</v>
      </c>
      <c r="AW71" t="s">
        <v>486</v>
      </c>
      <c r="BF71" s="1"/>
      <c r="BG71" t="s">
        <v>523</v>
      </c>
      <c r="BH71" t="s">
        <v>487</v>
      </c>
      <c r="BP71" t="s">
        <v>1489</v>
      </c>
      <c r="BQ71" t="s">
        <v>522</v>
      </c>
    </row>
    <row r="72" spans="1:69" x14ac:dyDescent="0.25">
      <c r="A72" t="s">
        <v>5713</v>
      </c>
      <c r="B72" t="s">
        <v>474</v>
      </c>
      <c r="C72" t="s">
        <v>1552</v>
      </c>
      <c r="E72" t="s">
        <v>480</v>
      </c>
      <c r="G72" s="1" t="s">
        <v>1625</v>
      </c>
      <c r="H72" t="s">
        <v>556</v>
      </c>
      <c r="J72">
        <v>400015</v>
      </c>
      <c r="M72" t="s">
        <v>1422</v>
      </c>
      <c r="P72" t="s">
        <v>77</v>
      </c>
      <c r="R72" t="s">
        <v>557</v>
      </c>
      <c r="S72" t="s">
        <v>1653</v>
      </c>
      <c r="T72" t="s">
        <v>1654</v>
      </c>
      <c r="V72" t="s">
        <v>477</v>
      </c>
      <c r="W72" t="s">
        <v>73</v>
      </c>
      <c r="AE72" t="s">
        <v>478</v>
      </c>
      <c r="AF72" t="s">
        <v>479</v>
      </c>
      <c r="AL72">
        <v>23.27</v>
      </c>
      <c r="AM72" t="s">
        <v>622</v>
      </c>
      <c r="AO72" t="s">
        <v>480</v>
      </c>
      <c r="AP72" t="s">
        <v>481</v>
      </c>
      <c r="AQ72" t="s">
        <v>533</v>
      </c>
      <c r="AR72" t="s">
        <v>482</v>
      </c>
      <c r="AS72" t="s">
        <v>483</v>
      </c>
      <c r="AT72" t="s">
        <v>484</v>
      </c>
      <c r="AU72" t="s">
        <v>521</v>
      </c>
      <c r="AV72" t="s">
        <v>522</v>
      </c>
      <c r="AW72" t="s">
        <v>486</v>
      </c>
      <c r="BF72" s="1"/>
      <c r="BG72" t="s">
        <v>523</v>
      </c>
      <c r="BH72" t="s">
        <v>487</v>
      </c>
      <c r="BP72" t="s">
        <v>1489</v>
      </c>
      <c r="BQ72" t="s">
        <v>522</v>
      </c>
    </row>
    <row r="73" spans="1:69" x14ac:dyDescent="0.25">
      <c r="A73" t="s">
        <v>5713</v>
      </c>
      <c r="B73" t="s">
        <v>474</v>
      </c>
      <c r="C73" t="s">
        <v>1552</v>
      </c>
      <c r="E73" t="s">
        <v>480</v>
      </c>
      <c r="G73" s="1" t="s">
        <v>1625</v>
      </c>
      <c r="H73" t="s">
        <v>559</v>
      </c>
      <c r="J73">
        <v>400015</v>
      </c>
      <c r="M73" t="s">
        <v>1414</v>
      </c>
      <c r="P73" t="s">
        <v>169</v>
      </c>
      <c r="R73" t="s">
        <v>702</v>
      </c>
      <c r="S73" t="s">
        <v>849</v>
      </c>
      <c r="T73" t="s">
        <v>850</v>
      </c>
      <c r="V73" t="s">
        <v>477</v>
      </c>
      <c r="W73" t="s">
        <v>73</v>
      </c>
      <c r="AE73" t="s">
        <v>478</v>
      </c>
      <c r="AF73" t="s">
        <v>479</v>
      </c>
      <c r="AL73">
        <v>3739.9320000000002</v>
      </c>
      <c r="AM73" t="s">
        <v>704</v>
      </c>
      <c r="AO73" t="s">
        <v>480</v>
      </c>
      <c r="AP73" t="s">
        <v>481</v>
      </c>
      <c r="AQ73" t="s">
        <v>852</v>
      </c>
      <c r="AR73" t="s">
        <v>482</v>
      </c>
      <c r="AS73" t="s">
        <v>483</v>
      </c>
      <c r="AT73" t="s">
        <v>484</v>
      </c>
      <c r="AU73" t="s">
        <v>521</v>
      </c>
      <c r="AV73" t="s">
        <v>522</v>
      </c>
      <c r="AW73" t="s">
        <v>486</v>
      </c>
      <c r="BF73" s="1"/>
      <c r="BG73" t="s">
        <v>523</v>
      </c>
      <c r="BH73" t="s">
        <v>487</v>
      </c>
      <c r="BP73" t="s">
        <v>1489</v>
      </c>
      <c r="BQ73" t="s">
        <v>522</v>
      </c>
    </row>
    <row r="74" spans="1:69" x14ac:dyDescent="0.25">
      <c r="A74" t="s">
        <v>5713</v>
      </c>
      <c r="B74" t="s">
        <v>474</v>
      </c>
      <c r="C74" t="s">
        <v>1655</v>
      </c>
      <c r="E74" t="s">
        <v>480</v>
      </c>
      <c r="G74" s="1" t="s">
        <v>1656</v>
      </c>
      <c r="H74" t="s">
        <v>476</v>
      </c>
      <c r="J74">
        <v>400015</v>
      </c>
      <c r="M74" t="s">
        <v>1430</v>
      </c>
      <c r="P74" t="s">
        <v>167</v>
      </c>
      <c r="R74" t="s">
        <v>488</v>
      </c>
      <c r="S74" t="s">
        <v>1498</v>
      </c>
      <c r="T74" t="s">
        <v>1499</v>
      </c>
      <c r="V74" t="s">
        <v>477</v>
      </c>
      <c r="W74" t="s">
        <v>70</v>
      </c>
      <c r="AE74" t="s">
        <v>478</v>
      </c>
      <c r="AF74" t="s">
        <v>479</v>
      </c>
      <c r="AL74">
        <v>557.9</v>
      </c>
      <c r="AM74" t="s">
        <v>772</v>
      </c>
      <c r="AO74" t="s">
        <v>480</v>
      </c>
      <c r="AP74" t="s">
        <v>481</v>
      </c>
      <c r="AQ74" t="s">
        <v>759</v>
      </c>
      <c r="AR74" t="s">
        <v>482</v>
      </c>
      <c r="AS74" t="s">
        <v>483</v>
      </c>
      <c r="AT74" t="s">
        <v>484</v>
      </c>
      <c r="AU74" t="s">
        <v>490</v>
      </c>
      <c r="AV74" t="s">
        <v>491</v>
      </c>
      <c r="AW74" t="s">
        <v>486</v>
      </c>
      <c r="BF74" s="1"/>
      <c r="BG74" t="s">
        <v>71</v>
      </c>
      <c r="BH74" t="s">
        <v>487</v>
      </c>
      <c r="BP74" t="s">
        <v>1489</v>
      </c>
      <c r="BQ74" t="s">
        <v>491</v>
      </c>
    </row>
    <row r="75" spans="1:69" x14ac:dyDescent="0.25">
      <c r="A75" t="s">
        <v>5713</v>
      </c>
      <c r="B75" t="s">
        <v>474</v>
      </c>
      <c r="C75" t="s">
        <v>1655</v>
      </c>
      <c r="E75" t="s">
        <v>480</v>
      </c>
      <c r="G75" s="1" t="s">
        <v>1656</v>
      </c>
      <c r="H75" t="s">
        <v>492</v>
      </c>
      <c r="J75">
        <v>400015</v>
      </c>
      <c r="M75" t="s">
        <v>1417</v>
      </c>
      <c r="P75" t="s">
        <v>121</v>
      </c>
      <c r="R75" t="s">
        <v>1657</v>
      </c>
      <c r="S75" t="s">
        <v>1658</v>
      </c>
      <c r="T75" t="s">
        <v>1659</v>
      </c>
      <c r="V75" t="s">
        <v>477</v>
      </c>
      <c r="W75" t="s">
        <v>70</v>
      </c>
      <c r="AE75" t="s">
        <v>478</v>
      </c>
      <c r="AF75" t="s">
        <v>479</v>
      </c>
      <c r="AL75">
        <v>2102.79</v>
      </c>
      <c r="AM75" t="s">
        <v>1660</v>
      </c>
      <c r="AO75" t="s">
        <v>480</v>
      </c>
      <c r="AP75" t="s">
        <v>481</v>
      </c>
      <c r="AQ75" t="s">
        <v>499</v>
      </c>
      <c r="AR75" t="s">
        <v>482</v>
      </c>
      <c r="AS75" t="s">
        <v>483</v>
      </c>
      <c r="AT75" t="s">
        <v>484</v>
      </c>
      <c r="AU75" t="s">
        <v>490</v>
      </c>
      <c r="AV75" t="s">
        <v>491</v>
      </c>
      <c r="AW75" t="s">
        <v>486</v>
      </c>
      <c r="BF75" s="1"/>
      <c r="BG75" t="s">
        <v>71</v>
      </c>
      <c r="BH75" t="s">
        <v>487</v>
      </c>
      <c r="BP75" t="s">
        <v>1489</v>
      </c>
      <c r="BQ75" t="s">
        <v>491</v>
      </c>
    </row>
    <row r="76" spans="1:69" x14ac:dyDescent="0.25">
      <c r="A76" t="s">
        <v>5713</v>
      </c>
      <c r="B76" t="s">
        <v>474</v>
      </c>
      <c r="C76" t="s">
        <v>1655</v>
      </c>
      <c r="E76" t="s">
        <v>480</v>
      </c>
      <c r="G76" s="1" t="s">
        <v>1656</v>
      </c>
      <c r="H76" t="s">
        <v>498</v>
      </c>
      <c r="J76">
        <v>400015</v>
      </c>
      <c r="M76" t="s">
        <v>1417</v>
      </c>
      <c r="P76" t="s">
        <v>133</v>
      </c>
      <c r="R76" t="s">
        <v>1661</v>
      </c>
      <c r="S76" t="s">
        <v>1662</v>
      </c>
      <c r="T76" t="s">
        <v>1663</v>
      </c>
      <c r="V76" t="s">
        <v>477</v>
      </c>
      <c r="W76" t="s">
        <v>70</v>
      </c>
      <c r="AE76" t="s">
        <v>478</v>
      </c>
      <c r="AF76" t="s">
        <v>479</v>
      </c>
      <c r="AL76">
        <v>895.86</v>
      </c>
      <c r="AM76" t="s">
        <v>685</v>
      </c>
      <c r="AO76" t="s">
        <v>480</v>
      </c>
      <c r="AP76" t="s">
        <v>481</v>
      </c>
      <c r="AQ76" t="s">
        <v>505</v>
      </c>
      <c r="AR76" t="s">
        <v>482</v>
      </c>
      <c r="AS76" t="s">
        <v>483</v>
      </c>
      <c r="AT76" t="s">
        <v>484</v>
      </c>
      <c r="AU76" t="s">
        <v>490</v>
      </c>
      <c r="AV76" t="s">
        <v>491</v>
      </c>
      <c r="AW76" t="s">
        <v>486</v>
      </c>
      <c r="BF76" s="1"/>
      <c r="BG76" t="s">
        <v>71</v>
      </c>
      <c r="BH76" t="s">
        <v>487</v>
      </c>
      <c r="BP76" t="s">
        <v>1489</v>
      </c>
      <c r="BQ76" t="s">
        <v>491</v>
      </c>
    </row>
    <row r="77" spans="1:69" x14ac:dyDescent="0.25">
      <c r="A77" t="s">
        <v>5713</v>
      </c>
      <c r="B77" t="s">
        <v>474</v>
      </c>
      <c r="C77" t="s">
        <v>1655</v>
      </c>
      <c r="E77" t="s">
        <v>480</v>
      </c>
      <c r="G77" s="1" t="s">
        <v>1656</v>
      </c>
      <c r="H77" t="s">
        <v>500</v>
      </c>
      <c r="J77">
        <v>400015</v>
      </c>
      <c r="M77" t="s">
        <v>1417</v>
      </c>
      <c r="P77" t="s">
        <v>121</v>
      </c>
      <c r="R77" t="s">
        <v>501</v>
      </c>
      <c r="S77" t="s">
        <v>659</v>
      </c>
      <c r="T77" t="s">
        <v>660</v>
      </c>
      <c r="V77" t="s">
        <v>477</v>
      </c>
      <c r="W77" t="s">
        <v>70</v>
      </c>
      <c r="AE77" t="s">
        <v>478</v>
      </c>
      <c r="AF77" t="s">
        <v>479</v>
      </c>
      <c r="AL77">
        <v>3654.5039999999999</v>
      </c>
      <c r="AM77" t="s">
        <v>504</v>
      </c>
      <c r="AO77" t="s">
        <v>480</v>
      </c>
      <c r="AP77" t="s">
        <v>481</v>
      </c>
      <c r="AQ77" t="s">
        <v>499</v>
      </c>
      <c r="AR77" t="s">
        <v>482</v>
      </c>
      <c r="AS77" t="s">
        <v>483</v>
      </c>
      <c r="AT77" t="s">
        <v>484</v>
      </c>
      <c r="AU77" t="s">
        <v>490</v>
      </c>
      <c r="AV77" t="s">
        <v>491</v>
      </c>
      <c r="AW77" t="s">
        <v>486</v>
      </c>
      <c r="BF77" s="1"/>
      <c r="BG77" t="s">
        <v>71</v>
      </c>
      <c r="BH77" t="s">
        <v>487</v>
      </c>
      <c r="BP77" t="s">
        <v>1489</v>
      </c>
      <c r="BQ77" t="s">
        <v>491</v>
      </c>
    </row>
    <row r="78" spans="1:69" x14ac:dyDescent="0.25">
      <c r="A78" t="s">
        <v>5713</v>
      </c>
      <c r="B78" t="s">
        <v>474</v>
      </c>
      <c r="C78" t="s">
        <v>1655</v>
      </c>
      <c r="E78" t="s">
        <v>480</v>
      </c>
      <c r="G78" s="1" t="s">
        <v>1656</v>
      </c>
      <c r="H78" t="s">
        <v>517</v>
      </c>
      <c r="J78">
        <v>400015</v>
      </c>
      <c r="M78" t="s">
        <v>1417</v>
      </c>
      <c r="P78" t="s">
        <v>121</v>
      </c>
      <c r="R78" t="s">
        <v>501</v>
      </c>
      <c r="S78" t="s">
        <v>659</v>
      </c>
      <c r="T78" t="s">
        <v>660</v>
      </c>
      <c r="V78" t="s">
        <v>477</v>
      </c>
      <c r="W78" t="s">
        <v>70</v>
      </c>
      <c r="AE78" t="s">
        <v>478</v>
      </c>
      <c r="AF78" t="s">
        <v>479</v>
      </c>
      <c r="AL78">
        <v>3654.5039999999999</v>
      </c>
      <c r="AM78" t="s">
        <v>504</v>
      </c>
      <c r="AO78" t="s">
        <v>480</v>
      </c>
      <c r="AP78" t="s">
        <v>481</v>
      </c>
      <c r="AQ78" t="s">
        <v>499</v>
      </c>
      <c r="AR78" t="s">
        <v>482</v>
      </c>
      <c r="AS78" t="s">
        <v>483</v>
      </c>
      <c r="AT78" t="s">
        <v>484</v>
      </c>
      <c r="AU78" t="s">
        <v>490</v>
      </c>
      <c r="AV78" t="s">
        <v>491</v>
      </c>
      <c r="AW78" t="s">
        <v>486</v>
      </c>
      <c r="BF78" s="1"/>
      <c r="BG78" t="s">
        <v>71</v>
      </c>
      <c r="BH78" t="s">
        <v>487</v>
      </c>
      <c r="BP78" t="s">
        <v>1489</v>
      </c>
      <c r="BQ78" t="s">
        <v>491</v>
      </c>
    </row>
    <row r="79" spans="1:69" x14ac:dyDescent="0.25">
      <c r="A79" t="s">
        <v>5713</v>
      </c>
      <c r="B79" t="s">
        <v>474</v>
      </c>
      <c r="C79" t="s">
        <v>1487</v>
      </c>
      <c r="E79" t="s">
        <v>480</v>
      </c>
      <c r="G79" s="1" t="s">
        <v>1664</v>
      </c>
      <c r="H79" t="s">
        <v>476</v>
      </c>
      <c r="J79">
        <v>400015</v>
      </c>
      <c r="M79" t="s">
        <v>1418</v>
      </c>
      <c r="P79" t="s">
        <v>149</v>
      </c>
      <c r="R79" t="s">
        <v>506</v>
      </c>
      <c r="S79" t="s">
        <v>507</v>
      </c>
      <c r="T79" t="s">
        <v>508</v>
      </c>
      <c r="V79" t="s">
        <v>477</v>
      </c>
      <c r="W79" t="s">
        <v>70</v>
      </c>
      <c r="AE79" t="s">
        <v>478</v>
      </c>
      <c r="AF79" t="s">
        <v>479</v>
      </c>
      <c r="AL79">
        <v>4013.3879999999995</v>
      </c>
      <c r="AM79" t="s">
        <v>509</v>
      </c>
      <c r="AO79" t="s">
        <v>480</v>
      </c>
      <c r="AP79" t="s">
        <v>481</v>
      </c>
      <c r="AQ79" t="s">
        <v>510</v>
      </c>
      <c r="AR79" t="s">
        <v>482</v>
      </c>
      <c r="AS79" t="s">
        <v>483</v>
      </c>
      <c r="AT79" t="s">
        <v>484</v>
      </c>
      <c r="AU79" t="s">
        <v>490</v>
      </c>
      <c r="AV79" t="s">
        <v>511</v>
      </c>
      <c r="AW79" t="s">
        <v>486</v>
      </c>
      <c r="BF79" s="1"/>
      <c r="BG79" t="s">
        <v>71</v>
      </c>
      <c r="BH79" t="s">
        <v>487</v>
      </c>
      <c r="BP79" t="s">
        <v>1489</v>
      </c>
      <c r="BQ79" t="s">
        <v>511</v>
      </c>
    </row>
    <row r="80" spans="1:69" x14ac:dyDescent="0.25">
      <c r="A80" t="s">
        <v>5713</v>
      </c>
      <c r="B80" t="s">
        <v>474</v>
      </c>
      <c r="C80" t="s">
        <v>1487</v>
      </c>
      <c r="E80" t="s">
        <v>480</v>
      </c>
      <c r="G80" s="1" t="s">
        <v>1664</v>
      </c>
      <c r="H80" t="s">
        <v>492</v>
      </c>
      <c r="J80">
        <v>400015</v>
      </c>
      <c r="M80" t="s">
        <v>1418</v>
      </c>
      <c r="P80" t="s">
        <v>149</v>
      </c>
      <c r="R80" t="s">
        <v>506</v>
      </c>
      <c r="S80" t="s">
        <v>507</v>
      </c>
      <c r="T80" t="s">
        <v>508</v>
      </c>
      <c r="V80" t="s">
        <v>477</v>
      </c>
      <c r="W80" t="s">
        <v>70</v>
      </c>
      <c r="AE80" t="s">
        <v>478</v>
      </c>
      <c r="AF80" t="s">
        <v>479</v>
      </c>
      <c r="AL80">
        <v>4013.3879999999995</v>
      </c>
      <c r="AM80" t="s">
        <v>509</v>
      </c>
      <c r="AO80" t="s">
        <v>480</v>
      </c>
      <c r="AP80" t="s">
        <v>481</v>
      </c>
      <c r="AQ80" t="s">
        <v>510</v>
      </c>
      <c r="AR80" t="s">
        <v>482</v>
      </c>
      <c r="AS80" t="s">
        <v>483</v>
      </c>
      <c r="AT80" t="s">
        <v>484</v>
      </c>
      <c r="AU80" t="s">
        <v>490</v>
      </c>
      <c r="AV80" t="s">
        <v>511</v>
      </c>
      <c r="AW80" t="s">
        <v>486</v>
      </c>
      <c r="BF80" s="1"/>
      <c r="BG80" t="s">
        <v>71</v>
      </c>
      <c r="BH80" t="s">
        <v>487</v>
      </c>
      <c r="BP80" t="s">
        <v>1489</v>
      </c>
      <c r="BQ80" t="s">
        <v>511</v>
      </c>
    </row>
    <row r="81" spans="1:69" x14ac:dyDescent="0.25">
      <c r="A81" t="s">
        <v>5713</v>
      </c>
      <c r="B81" t="s">
        <v>474</v>
      </c>
      <c r="C81" t="s">
        <v>1487</v>
      </c>
      <c r="E81" t="s">
        <v>480</v>
      </c>
      <c r="G81" s="1" t="s">
        <v>1664</v>
      </c>
      <c r="H81" t="s">
        <v>498</v>
      </c>
      <c r="J81">
        <v>400015</v>
      </c>
      <c r="M81" t="s">
        <v>1429</v>
      </c>
      <c r="P81" t="s">
        <v>144</v>
      </c>
      <c r="R81" t="s">
        <v>722</v>
      </c>
      <c r="S81" t="s">
        <v>723</v>
      </c>
      <c r="T81" t="s">
        <v>724</v>
      </c>
      <c r="V81" t="s">
        <v>477</v>
      </c>
      <c r="W81" t="s">
        <v>70</v>
      </c>
      <c r="AE81" t="s">
        <v>478</v>
      </c>
      <c r="AF81" t="s">
        <v>479</v>
      </c>
      <c r="AL81">
        <v>4308.12</v>
      </c>
      <c r="AM81" t="s">
        <v>725</v>
      </c>
      <c r="AO81" t="s">
        <v>480</v>
      </c>
      <c r="AP81" t="s">
        <v>481</v>
      </c>
      <c r="AQ81" t="s">
        <v>726</v>
      </c>
      <c r="AR81" t="s">
        <v>482</v>
      </c>
      <c r="AS81" t="s">
        <v>483</v>
      </c>
      <c r="AT81" t="s">
        <v>484</v>
      </c>
      <c r="AU81" t="s">
        <v>490</v>
      </c>
      <c r="AV81" t="s">
        <v>511</v>
      </c>
      <c r="AW81" t="s">
        <v>486</v>
      </c>
      <c r="BF81" s="1"/>
      <c r="BG81" t="s">
        <v>71</v>
      </c>
      <c r="BH81" t="s">
        <v>487</v>
      </c>
      <c r="BP81" t="s">
        <v>1489</v>
      </c>
      <c r="BQ81" t="s">
        <v>511</v>
      </c>
    </row>
    <row r="82" spans="1:69" x14ac:dyDescent="0.25">
      <c r="A82" t="s">
        <v>5713</v>
      </c>
      <c r="B82" t="s">
        <v>474</v>
      </c>
      <c r="C82" t="s">
        <v>1487</v>
      </c>
      <c r="E82" t="s">
        <v>480</v>
      </c>
      <c r="G82" s="1" t="s">
        <v>1664</v>
      </c>
      <c r="H82" t="s">
        <v>500</v>
      </c>
      <c r="J82">
        <v>400015</v>
      </c>
      <c r="M82" t="s">
        <v>1429</v>
      </c>
      <c r="P82" t="s">
        <v>144</v>
      </c>
      <c r="R82" t="s">
        <v>722</v>
      </c>
      <c r="S82" t="s">
        <v>723</v>
      </c>
      <c r="T82" t="s">
        <v>724</v>
      </c>
      <c r="V82" t="s">
        <v>477</v>
      </c>
      <c r="W82" t="s">
        <v>70</v>
      </c>
      <c r="AE82" t="s">
        <v>478</v>
      </c>
      <c r="AF82" t="s">
        <v>479</v>
      </c>
      <c r="AL82">
        <v>4308.12</v>
      </c>
      <c r="AM82" t="s">
        <v>725</v>
      </c>
      <c r="AO82" t="s">
        <v>480</v>
      </c>
      <c r="AP82" t="s">
        <v>481</v>
      </c>
      <c r="AQ82" t="s">
        <v>726</v>
      </c>
      <c r="AR82" t="s">
        <v>482</v>
      </c>
      <c r="AS82" t="s">
        <v>483</v>
      </c>
      <c r="AT82" t="s">
        <v>484</v>
      </c>
      <c r="AU82" t="s">
        <v>490</v>
      </c>
      <c r="AV82" t="s">
        <v>511</v>
      </c>
      <c r="AW82" t="s">
        <v>486</v>
      </c>
      <c r="BF82" s="1"/>
      <c r="BG82" t="s">
        <v>71</v>
      </c>
      <c r="BH82" t="s">
        <v>487</v>
      </c>
      <c r="BP82" t="s">
        <v>1489</v>
      </c>
      <c r="BQ82" t="s">
        <v>511</v>
      </c>
    </row>
    <row r="83" spans="1:69" x14ac:dyDescent="0.25">
      <c r="A83" t="s">
        <v>5713</v>
      </c>
      <c r="B83" t="s">
        <v>474</v>
      </c>
      <c r="C83" t="s">
        <v>1487</v>
      </c>
      <c r="E83" t="s">
        <v>480</v>
      </c>
      <c r="G83" s="1" t="s">
        <v>1664</v>
      </c>
      <c r="H83" t="s">
        <v>517</v>
      </c>
      <c r="J83">
        <v>400015</v>
      </c>
      <c r="M83" t="s">
        <v>1429</v>
      </c>
      <c r="P83" t="s">
        <v>144</v>
      </c>
      <c r="R83" t="s">
        <v>722</v>
      </c>
      <c r="S83" t="s">
        <v>723</v>
      </c>
      <c r="T83" t="s">
        <v>724</v>
      </c>
      <c r="V83" t="s">
        <v>477</v>
      </c>
      <c r="W83" t="s">
        <v>70</v>
      </c>
      <c r="AE83" t="s">
        <v>478</v>
      </c>
      <c r="AF83" t="s">
        <v>479</v>
      </c>
      <c r="AL83">
        <v>4308.12</v>
      </c>
      <c r="AM83" t="s">
        <v>725</v>
      </c>
      <c r="AO83" t="s">
        <v>480</v>
      </c>
      <c r="AP83" t="s">
        <v>481</v>
      </c>
      <c r="AQ83" t="s">
        <v>726</v>
      </c>
      <c r="AR83" t="s">
        <v>482</v>
      </c>
      <c r="AS83" t="s">
        <v>483</v>
      </c>
      <c r="AT83" t="s">
        <v>484</v>
      </c>
      <c r="AU83" t="s">
        <v>490</v>
      </c>
      <c r="AV83" t="s">
        <v>511</v>
      </c>
      <c r="AW83" t="s">
        <v>486</v>
      </c>
      <c r="BF83" s="1"/>
      <c r="BG83" t="s">
        <v>71</v>
      </c>
      <c r="BH83" t="s">
        <v>487</v>
      </c>
      <c r="BP83" t="s">
        <v>1489</v>
      </c>
      <c r="BQ83" t="s">
        <v>511</v>
      </c>
    </row>
    <row r="84" spans="1:69" x14ac:dyDescent="0.25">
      <c r="A84" t="s">
        <v>5713</v>
      </c>
      <c r="B84" t="s">
        <v>474</v>
      </c>
      <c r="C84" t="s">
        <v>1665</v>
      </c>
      <c r="E84" t="s">
        <v>480</v>
      </c>
      <c r="G84" s="1" t="s">
        <v>1666</v>
      </c>
      <c r="H84" t="s">
        <v>476</v>
      </c>
      <c r="J84">
        <v>400015</v>
      </c>
      <c r="M84" t="s">
        <v>1425</v>
      </c>
      <c r="P84" t="s">
        <v>160</v>
      </c>
      <c r="R84" t="s">
        <v>753</v>
      </c>
      <c r="S84" t="s">
        <v>1667</v>
      </c>
      <c r="T84" t="s">
        <v>1668</v>
      </c>
      <c r="V84" t="s">
        <v>477</v>
      </c>
      <c r="W84" t="s">
        <v>70</v>
      </c>
      <c r="AE84" t="s">
        <v>478</v>
      </c>
      <c r="AF84" t="s">
        <v>479</v>
      </c>
      <c r="AL84">
        <v>16.404</v>
      </c>
      <c r="AM84" t="s">
        <v>1669</v>
      </c>
      <c r="AO84" t="s">
        <v>480</v>
      </c>
      <c r="AP84" t="s">
        <v>481</v>
      </c>
      <c r="AQ84" t="s">
        <v>730</v>
      </c>
      <c r="AR84" t="s">
        <v>482</v>
      </c>
      <c r="AS84" t="s">
        <v>483</v>
      </c>
      <c r="AT84" t="s">
        <v>484</v>
      </c>
      <c r="AU84" t="s">
        <v>490</v>
      </c>
      <c r="AV84" t="s">
        <v>511</v>
      </c>
      <c r="AW84" t="s">
        <v>486</v>
      </c>
      <c r="BF84" s="1"/>
      <c r="BG84" t="s">
        <v>71</v>
      </c>
      <c r="BH84" t="s">
        <v>487</v>
      </c>
      <c r="BP84" t="s">
        <v>1489</v>
      </c>
      <c r="BQ84" t="s">
        <v>511</v>
      </c>
    </row>
    <row r="85" spans="1:69" x14ac:dyDescent="0.25">
      <c r="A85" t="s">
        <v>5713</v>
      </c>
      <c r="B85" t="s">
        <v>474</v>
      </c>
      <c r="C85" t="s">
        <v>1665</v>
      </c>
      <c r="E85" t="s">
        <v>480</v>
      </c>
      <c r="G85" s="1" t="s">
        <v>1666</v>
      </c>
      <c r="H85" t="s">
        <v>492</v>
      </c>
      <c r="J85">
        <v>400015</v>
      </c>
      <c r="M85" t="s">
        <v>1418</v>
      </c>
      <c r="P85" t="s">
        <v>146</v>
      </c>
      <c r="R85" t="s">
        <v>590</v>
      </c>
      <c r="S85" t="s">
        <v>1670</v>
      </c>
      <c r="T85" t="s">
        <v>1671</v>
      </c>
      <c r="V85" t="s">
        <v>477</v>
      </c>
      <c r="W85" t="s">
        <v>70</v>
      </c>
      <c r="AE85" t="s">
        <v>478</v>
      </c>
      <c r="AF85" t="s">
        <v>479</v>
      </c>
      <c r="AL85">
        <v>14.370000000000001</v>
      </c>
      <c r="AM85" t="s">
        <v>816</v>
      </c>
      <c r="AO85" t="s">
        <v>480</v>
      </c>
      <c r="AP85" t="s">
        <v>481</v>
      </c>
      <c r="AQ85" t="s">
        <v>733</v>
      </c>
      <c r="AR85" t="s">
        <v>482</v>
      </c>
      <c r="AS85" t="s">
        <v>483</v>
      </c>
      <c r="AT85" t="s">
        <v>484</v>
      </c>
      <c r="AU85" t="s">
        <v>490</v>
      </c>
      <c r="AV85" t="s">
        <v>511</v>
      </c>
      <c r="AW85" t="s">
        <v>486</v>
      </c>
      <c r="BF85" s="1"/>
      <c r="BG85" t="s">
        <v>71</v>
      </c>
      <c r="BH85" t="s">
        <v>487</v>
      </c>
      <c r="BP85" t="s">
        <v>1489</v>
      </c>
      <c r="BQ85" t="s">
        <v>511</v>
      </c>
    </row>
    <row r="86" spans="1:69" x14ac:dyDescent="0.25">
      <c r="A86" t="s">
        <v>5713</v>
      </c>
      <c r="B86" t="s">
        <v>474</v>
      </c>
      <c r="C86" t="s">
        <v>1665</v>
      </c>
      <c r="E86" t="s">
        <v>480</v>
      </c>
      <c r="G86" s="1" t="s">
        <v>1666</v>
      </c>
      <c r="H86" t="s">
        <v>498</v>
      </c>
      <c r="J86">
        <v>400015</v>
      </c>
      <c r="M86" t="s">
        <v>1425</v>
      </c>
      <c r="P86" t="s">
        <v>172</v>
      </c>
      <c r="R86" t="s">
        <v>543</v>
      </c>
      <c r="S86" t="s">
        <v>1672</v>
      </c>
      <c r="T86" t="s">
        <v>1673</v>
      </c>
      <c r="V86" t="s">
        <v>477</v>
      </c>
      <c r="W86" t="s">
        <v>70</v>
      </c>
      <c r="AE86" t="s">
        <v>478</v>
      </c>
      <c r="AF86" t="s">
        <v>479</v>
      </c>
      <c r="AL86">
        <v>5.22</v>
      </c>
      <c r="AM86" t="s">
        <v>1674</v>
      </c>
      <c r="AO86" t="s">
        <v>480</v>
      </c>
      <c r="AP86" t="s">
        <v>481</v>
      </c>
      <c r="AQ86" t="s">
        <v>889</v>
      </c>
      <c r="AR86" t="s">
        <v>482</v>
      </c>
      <c r="AS86" t="s">
        <v>483</v>
      </c>
      <c r="AT86" t="s">
        <v>484</v>
      </c>
      <c r="AU86" t="s">
        <v>490</v>
      </c>
      <c r="AV86" t="s">
        <v>511</v>
      </c>
      <c r="AW86" t="s">
        <v>486</v>
      </c>
      <c r="BF86" s="1"/>
      <c r="BG86" t="s">
        <v>71</v>
      </c>
      <c r="BH86" t="s">
        <v>487</v>
      </c>
      <c r="BP86" t="s">
        <v>1489</v>
      </c>
      <c r="BQ86" t="s">
        <v>511</v>
      </c>
    </row>
    <row r="87" spans="1:69" x14ac:dyDescent="0.25">
      <c r="A87" t="s">
        <v>5713</v>
      </c>
      <c r="B87" t="s">
        <v>474</v>
      </c>
      <c r="C87" t="s">
        <v>1665</v>
      </c>
      <c r="E87" t="s">
        <v>480</v>
      </c>
      <c r="G87" s="1" t="s">
        <v>1666</v>
      </c>
      <c r="H87" t="s">
        <v>500</v>
      </c>
      <c r="J87">
        <v>400015</v>
      </c>
      <c r="M87" t="s">
        <v>1419</v>
      </c>
      <c r="P87" t="s">
        <v>131</v>
      </c>
      <c r="R87" t="s">
        <v>1675</v>
      </c>
      <c r="S87" t="s">
        <v>1676</v>
      </c>
      <c r="T87" t="s">
        <v>1677</v>
      </c>
      <c r="V87" t="s">
        <v>477</v>
      </c>
      <c r="W87" t="s">
        <v>70</v>
      </c>
      <c r="AE87" t="s">
        <v>478</v>
      </c>
      <c r="AF87" t="s">
        <v>479</v>
      </c>
      <c r="AL87">
        <v>4064.0429999999997</v>
      </c>
      <c r="AM87" t="s">
        <v>1678</v>
      </c>
      <c r="AO87" t="s">
        <v>480</v>
      </c>
      <c r="AP87" t="s">
        <v>481</v>
      </c>
      <c r="AQ87" t="s">
        <v>516</v>
      </c>
      <c r="AR87" t="s">
        <v>482</v>
      </c>
      <c r="AS87" t="s">
        <v>483</v>
      </c>
      <c r="AT87" t="s">
        <v>484</v>
      </c>
      <c r="AU87" t="s">
        <v>490</v>
      </c>
      <c r="AV87" t="s">
        <v>511</v>
      </c>
      <c r="AW87" t="s">
        <v>486</v>
      </c>
      <c r="BF87" s="1"/>
      <c r="BG87" t="s">
        <v>71</v>
      </c>
      <c r="BH87" t="s">
        <v>487</v>
      </c>
      <c r="BP87" t="s">
        <v>1489</v>
      </c>
      <c r="BQ87" t="s">
        <v>511</v>
      </c>
    </row>
    <row r="88" spans="1:69" x14ac:dyDescent="0.25">
      <c r="A88" t="s">
        <v>5713</v>
      </c>
      <c r="B88" t="s">
        <v>474</v>
      </c>
      <c r="C88" t="s">
        <v>1665</v>
      </c>
      <c r="E88" t="s">
        <v>480</v>
      </c>
      <c r="G88" s="1" t="s">
        <v>1666</v>
      </c>
      <c r="H88" t="s">
        <v>517</v>
      </c>
      <c r="J88">
        <v>400015</v>
      </c>
      <c r="M88" t="s">
        <v>1418</v>
      </c>
      <c r="P88" t="s">
        <v>149</v>
      </c>
      <c r="R88" t="s">
        <v>506</v>
      </c>
      <c r="S88" t="s">
        <v>507</v>
      </c>
      <c r="T88" t="s">
        <v>508</v>
      </c>
      <c r="V88" t="s">
        <v>477</v>
      </c>
      <c r="W88" t="s">
        <v>70</v>
      </c>
      <c r="AE88" t="s">
        <v>478</v>
      </c>
      <c r="AF88" t="s">
        <v>479</v>
      </c>
      <c r="AL88">
        <v>4013.3879999999995</v>
      </c>
      <c r="AM88" t="s">
        <v>509</v>
      </c>
      <c r="AO88" t="s">
        <v>480</v>
      </c>
      <c r="AP88" t="s">
        <v>481</v>
      </c>
      <c r="AQ88" t="s">
        <v>510</v>
      </c>
      <c r="AR88" t="s">
        <v>482</v>
      </c>
      <c r="AS88" t="s">
        <v>483</v>
      </c>
      <c r="AT88" t="s">
        <v>484</v>
      </c>
      <c r="AU88" t="s">
        <v>490</v>
      </c>
      <c r="AV88" t="s">
        <v>511</v>
      </c>
      <c r="AW88" t="s">
        <v>486</v>
      </c>
      <c r="BF88" s="1"/>
      <c r="BG88" t="s">
        <v>71</v>
      </c>
      <c r="BH88" t="s">
        <v>487</v>
      </c>
      <c r="BP88" t="s">
        <v>1489</v>
      </c>
      <c r="BQ88" t="s">
        <v>511</v>
      </c>
    </row>
    <row r="89" spans="1:69" x14ac:dyDescent="0.25">
      <c r="A89" t="s">
        <v>5713</v>
      </c>
      <c r="B89" t="s">
        <v>474</v>
      </c>
      <c r="C89" t="s">
        <v>1665</v>
      </c>
      <c r="E89" t="s">
        <v>480</v>
      </c>
      <c r="G89" s="1" t="s">
        <v>1666</v>
      </c>
      <c r="H89" t="s">
        <v>537</v>
      </c>
      <c r="J89">
        <v>400015</v>
      </c>
      <c r="M89" t="s">
        <v>1429</v>
      </c>
      <c r="P89" t="s">
        <v>144</v>
      </c>
      <c r="R89" t="s">
        <v>722</v>
      </c>
      <c r="S89" t="s">
        <v>723</v>
      </c>
      <c r="T89" t="s">
        <v>724</v>
      </c>
      <c r="V89" t="s">
        <v>477</v>
      </c>
      <c r="W89" t="s">
        <v>70</v>
      </c>
      <c r="AE89" t="s">
        <v>478</v>
      </c>
      <c r="AF89" t="s">
        <v>479</v>
      </c>
      <c r="AL89">
        <v>4308.12</v>
      </c>
      <c r="AM89" t="s">
        <v>725</v>
      </c>
      <c r="AO89" t="s">
        <v>480</v>
      </c>
      <c r="AP89" t="s">
        <v>481</v>
      </c>
      <c r="AQ89" t="s">
        <v>726</v>
      </c>
      <c r="AR89" t="s">
        <v>482</v>
      </c>
      <c r="AS89" t="s">
        <v>483</v>
      </c>
      <c r="AT89" t="s">
        <v>484</v>
      </c>
      <c r="AU89" t="s">
        <v>490</v>
      </c>
      <c r="AV89" t="s">
        <v>511</v>
      </c>
      <c r="AW89" t="s">
        <v>486</v>
      </c>
      <c r="BF89" s="1"/>
      <c r="BG89" t="s">
        <v>71</v>
      </c>
      <c r="BH89" t="s">
        <v>487</v>
      </c>
      <c r="BP89" t="s">
        <v>1489</v>
      </c>
      <c r="BQ89" t="s">
        <v>511</v>
      </c>
    </row>
    <row r="90" spans="1:69" x14ac:dyDescent="0.25">
      <c r="A90" t="s">
        <v>5713</v>
      </c>
      <c r="B90" t="s">
        <v>474</v>
      </c>
      <c r="C90" t="s">
        <v>1665</v>
      </c>
      <c r="E90" t="s">
        <v>480</v>
      </c>
      <c r="G90" s="1" t="s">
        <v>1666</v>
      </c>
      <c r="H90" t="s">
        <v>542</v>
      </c>
      <c r="J90">
        <v>400015</v>
      </c>
      <c r="M90" t="s">
        <v>1418</v>
      </c>
      <c r="P90" t="s">
        <v>165</v>
      </c>
      <c r="R90" t="s">
        <v>748</v>
      </c>
      <c r="S90" t="s">
        <v>749</v>
      </c>
      <c r="T90" t="s">
        <v>750</v>
      </c>
      <c r="V90" t="s">
        <v>477</v>
      </c>
      <c r="W90" t="s">
        <v>70</v>
      </c>
      <c r="AE90" t="s">
        <v>478</v>
      </c>
      <c r="AF90" t="s">
        <v>479</v>
      </c>
      <c r="AL90">
        <v>4047.1559999999999</v>
      </c>
      <c r="AM90" t="s">
        <v>751</v>
      </c>
      <c r="AO90" t="s">
        <v>480</v>
      </c>
      <c r="AP90" t="s">
        <v>481</v>
      </c>
      <c r="AQ90" t="s">
        <v>752</v>
      </c>
      <c r="AR90" t="s">
        <v>482</v>
      </c>
      <c r="AS90" t="s">
        <v>483</v>
      </c>
      <c r="AT90" t="s">
        <v>484</v>
      </c>
      <c r="AU90" t="s">
        <v>490</v>
      </c>
      <c r="AV90" t="s">
        <v>511</v>
      </c>
      <c r="AW90" t="s">
        <v>486</v>
      </c>
      <c r="BF90" s="1"/>
      <c r="BG90" t="s">
        <v>71</v>
      </c>
      <c r="BH90" t="s">
        <v>487</v>
      </c>
      <c r="BP90" t="s">
        <v>1489</v>
      </c>
      <c r="BQ90" t="s">
        <v>511</v>
      </c>
    </row>
    <row r="91" spans="1:69" x14ac:dyDescent="0.25">
      <c r="A91" t="s">
        <v>5713</v>
      </c>
      <c r="B91" t="s">
        <v>474</v>
      </c>
      <c r="C91" t="s">
        <v>1665</v>
      </c>
      <c r="E91" t="s">
        <v>480</v>
      </c>
      <c r="G91" s="1" t="s">
        <v>1666</v>
      </c>
      <c r="H91" t="s">
        <v>546</v>
      </c>
      <c r="J91">
        <v>400015</v>
      </c>
      <c r="M91" t="s">
        <v>1418</v>
      </c>
      <c r="P91" t="s">
        <v>165</v>
      </c>
      <c r="R91" t="s">
        <v>748</v>
      </c>
      <c r="S91" t="s">
        <v>749</v>
      </c>
      <c r="T91" t="s">
        <v>750</v>
      </c>
      <c r="V91" t="s">
        <v>477</v>
      </c>
      <c r="W91" t="s">
        <v>70</v>
      </c>
      <c r="AE91" t="s">
        <v>478</v>
      </c>
      <c r="AF91" t="s">
        <v>479</v>
      </c>
      <c r="AL91">
        <v>4047.1559999999999</v>
      </c>
      <c r="AM91" t="s">
        <v>751</v>
      </c>
      <c r="AO91" t="s">
        <v>480</v>
      </c>
      <c r="AP91" t="s">
        <v>481</v>
      </c>
      <c r="AQ91" t="s">
        <v>752</v>
      </c>
      <c r="AR91" t="s">
        <v>482</v>
      </c>
      <c r="AS91" t="s">
        <v>483</v>
      </c>
      <c r="AT91" t="s">
        <v>484</v>
      </c>
      <c r="AU91" t="s">
        <v>490</v>
      </c>
      <c r="AV91" t="s">
        <v>511</v>
      </c>
      <c r="AW91" t="s">
        <v>486</v>
      </c>
      <c r="BF91" s="1"/>
      <c r="BG91" t="s">
        <v>71</v>
      </c>
      <c r="BH91" t="s">
        <v>487</v>
      </c>
      <c r="BP91" t="s">
        <v>1489</v>
      </c>
      <c r="BQ91" t="s">
        <v>511</v>
      </c>
    </row>
    <row r="92" spans="1:69" x14ac:dyDescent="0.25">
      <c r="A92" t="s">
        <v>5713</v>
      </c>
      <c r="B92" t="s">
        <v>474</v>
      </c>
      <c r="C92" t="s">
        <v>1679</v>
      </c>
      <c r="E92" t="s">
        <v>480</v>
      </c>
      <c r="G92" s="1" t="s">
        <v>1680</v>
      </c>
      <c r="H92" t="s">
        <v>476</v>
      </c>
      <c r="J92">
        <v>400015</v>
      </c>
      <c r="M92" t="s">
        <v>1415</v>
      </c>
      <c r="P92" t="s">
        <v>87</v>
      </c>
      <c r="R92" t="s">
        <v>565</v>
      </c>
      <c r="S92" t="s">
        <v>1681</v>
      </c>
      <c r="T92" t="s">
        <v>1682</v>
      </c>
      <c r="V92" t="s">
        <v>477</v>
      </c>
      <c r="W92" t="s">
        <v>73</v>
      </c>
      <c r="AE92" t="s">
        <v>478</v>
      </c>
      <c r="AF92" t="s">
        <v>479</v>
      </c>
      <c r="AL92">
        <v>39.816000000000003</v>
      </c>
      <c r="AM92" t="s">
        <v>644</v>
      </c>
      <c r="AO92" t="s">
        <v>480</v>
      </c>
      <c r="AP92" t="s">
        <v>481</v>
      </c>
      <c r="AQ92" t="s">
        <v>552</v>
      </c>
      <c r="AR92" t="s">
        <v>482</v>
      </c>
      <c r="AS92" t="s">
        <v>483</v>
      </c>
      <c r="AT92" t="s">
        <v>484</v>
      </c>
      <c r="AU92" t="s">
        <v>521</v>
      </c>
      <c r="AV92" t="s">
        <v>522</v>
      </c>
      <c r="AW92" t="s">
        <v>486</v>
      </c>
      <c r="BF92" s="1"/>
      <c r="BG92" t="s">
        <v>523</v>
      </c>
      <c r="BH92" t="s">
        <v>487</v>
      </c>
      <c r="BP92" t="s">
        <v>1489</v>
      </c>
      <c r="BQ92" t="s">
        <v>522</v>
      </c>
    </row>
    <row r="93" spans="1:69" x14ac:dyDescent="0.25">
      <c r="A93" t="s">
        <v>5713</v>
      </c>
      <c r="B93" t="s">
        <v>474</v>
      </c>
      <c r="C93" t="s">
        <v>1679</v>
      </c>
      <c r="E93" t="s">
        <v>480</v>
      </c>
      <c r="G93" s="1" t="s">
        <v>1680</v>
      </c>
      <c r="H93" t="s">
        <v>492</v>
      </c>
      <c r="J93">
        <v>400015</v>
      </c>
      <c r="M93" t="s">
        <v>1422</v>
      </c>
      <c r="P93" t="s">
        <v>120</v>
      </c>
      <c r="R93" t="s">
        <v>832</v>
      </c>
      <c r="S93" t="s">
        <v>1683</v>
      </c>
      <c r="T93" t="s">
        <v>1684</v>
      </c>
      <c r="V93" t="s">
        <v>477</v>
      </c>
      <c r="W93" t="s">
        <v>73</v>
      </c>
      <c r="AE93" t="s">
        <v>478</v>
      </c>
      <c r="AF93" t="s">
        <v>479</v>
      </c>
      <c r="AL93">
        <v>162.50400000000002</v>
      </c>
      <c r="AM93" t="s">
        <v>1685</v>
      </c>
      <c r="AO93" t="s">
        <v>480</v>
      </c>
      <c r="AP93" t="s">
        <v>481</v>
      </c>
      <c r="AQ93" t="s">
        <v>632</v>
      </c>
      <c r="AR93" t="s">
        <v>482</v>
      </c>
      <c r="AS93" t="s">
        <v>483</v>
      </c>
      <c r="AT93" t="s">
        <v>484</v>
      </c>
      <c r="AU93" t="s">
        <v>521</v>
      </c>
      <c r="AV93" t="s">
        <v>522</v>
      </c>
      <c r="AW93" t="s">
        <v>486</v>
      </c>
      <c r="BF93" s="1"/>
      <c r="BG93" t="s">
        <v>523</v>
      </c>
      <c r="BH93" t="s">
        <v>487</v>
      </c>
      <c r="BP93" t="s">
        <v>1489</v>
      </c>
      <c r="BQ93" t="s">
        <v>522</v>
      </c>
    </row>
    <row r="94" spans="1:69" x14ac:dyDescent="0.25">
      <c r="A94" t="s">
        <v>5713</v>
      </c>
      <c r="B94" t="s">
        <v>474</v>
      </c>
      <c r="C94" t="s">
        <v>1679</v>
      </c>
      <c r="E94" t="s">
        <v>480</v>
      </c>
      <c r="G94" s="1" t="s">
        <v>1680</v>
      </c>
      <c r="H94" t="s">
        <v>498</v>
      </c>
      <c r="J94">
        <v>400015</v>
      </c>
      <c r="M94" t="s">
        <v>1427</v>
      </c>
      <c r="P94" t="s">
        <v>104</v>
      </c>
      <c r="R94" t="s">
        <v>547</v>
      </c>
      <c r="S94" t="s">
        <v>1686</v>
      </c>
      <c r="T94" t="s">
        <v>1687</v>
      </c>
      <c r="V94" t="s">
        <v>477</v>
      </c>
      <c r="W94" t="s">
        <v>73</v>
      </c>
      <c r="AE94" t="s">
        <v>478</v>
      </c>
      <c r="AF94" t="s">
        <v>479</v>
      </c>
      <c r="AL94">
        <v>63.608999999999995</v>
      </c>
      <c r="AM94" t="s">
        <v>898</v>
      </c>
      <c r="AO94" t="s">
        <v>480</v>
      </c>
      <c r="AP94" t="s">
        <v>481</v>
      </c>
      <c r="AQ94" t="s">
        <v>637</v>
      </c>
      <c r="AR94" t="s">
        <v>482</v>
      </c>
      <c r="AS94" t="s">
        <v>483</v>
      </c>
      <c r="AT94" t="s">
        <v>484</v>
      </c>
      <c r="AU94" t="s">
        <v>521</v>
      </c>
      <c r="AV94" t="s">
        <v>522</v>
      </c>
      <c r="AW94" t="s">
        <v>486</v>
      </c>
      <c r="BF94" s="1"/>
      <c r="BG94" t="s">
        <v>523</v>
      </c>
      <c r="BH94" t="s">
        <v>487</v>
      </c>
      <c r="BP94" t="s">
        <v>1489</v>
      </c>
      <c r="BQ94" t="s">
        <v>522</v>
      </c>
    </row>
    <row r="95" spans="1:69" x14ac:dyDescent="0.25">
      <c r="A95" t="s">
        <v>5713</v>
      </c>
      <c r="B95" t="s">
        <v>474</v>
      </c>
      <c r="C95" t="s">
        <v>1679</v>
      </c>
      <c r="E95" t="s">
        <v>480</v>
      </c>
      <c r="G95" s="1" t="s">
        <v>1680</v>
      </c>
      <c r="H95" t="s">
        <v>500</v>
      </c>
      <c r="J95">
        <v>400015</v>
      </c>
      <c r="M95" t="s">
        <v>1420</v>
      </c>
      <c r="P95" t="s">
        <v>95</v>
      </c>
      <c r="R95" t="s">
        <v>625</v>
      </c>
      <c r="S95" t="s">
        <v>627</v>
      </c>
      <c r="T95" t="s">
        <v>628</v>
      </c>
      <c r="V95" t="s">
        <v>477</v>
      </c>
      <c r="W95" t="s">
        <v>73</v>
      </c>
      <c r="AE95" t="s">
        <v>478</v>
      </c>
      <c r="AF95" t="s">
        <v>479</v>
      </c>
      <c r="AL95">
        <v>217.702</v>
      </c>
      <c r="AM95" t="s">
        <v>629</v>
      </c>
      <c r="AO95" t="s">
        <v>480</v>
      </c>
      <c r="AP95" t="s">
        <v>481</v>
      </c>
      <c r="AQ95" t="s">
        <v>563</v>
      </c>
      <c r="AR95" t="s">
        <v>482</v>
      </c>
      <c r="AS95" t="s">
        <v>483</v>
      </c>
      <c r="AT95" t="s">
        <v>484</v>
      </c>
      <c r="AU95" t="s">
        <v>521</v>
      </c>
      <c r="AV95" t="s">
        <v>522</v>
      </c>
      <c r="AW95" t="s">
        <v>486</v>
      </c>
      <c r="BF95" s="1"/>
      <c r="BG95" t="s">
        <v>523</v>
      </c>
      <c r="BH95" t="s">
        <v>487</v>
      </c>
      <c r="BP95" t="s">
        <v>1489</v>
      </c>
      <c r="BQ95" t="s">
        <v>522</v>
      </c>
    </row>
    <row r="96" spans="1:69" x14ac:dyDescent="0.25">
      <c r="A96" t="s">
        <v>5713</v>
      </c>
      <c r="B96" t="s">
        <v>474</v>
      </c>
      <c r="C96" t="s">
        <v>1679</v>
      </c>
      <c r="E96" t="s">
        <v>480</v>
      </c>
      <c r="G96" s="1" t="s">
        <v>1680</v>
      </c>
      <c r="H96" t="s">
        <v>517</v>
      </c>
      <c r="J96">
        <v>400015</v>
      </c>
      <c r="M96" t="s">
        <v>1420</v>
      </c>
      <c r="P96" t="s">
        <v>78</v>
      </c>
      <c r="R96" t="s">
        <v>804</v>
      </c>
      <c r="S96" t="s">
        <v>1688</v>
      </c>
      <c r="T96" t="s">
        <v>1689</v>
      </c>
      <c r="V96" t="s">
        <v>477</v>
      </c>
      <c r="W96" t="s">
        <v>73</v>
      </c>
      <c r="AE96" t="s">
        <v>478</v>
      </c>
      <c r="AF96" t="s">
        <v>479</v>
      </c>
      <c r="AL96">
        <v>166.43099999999998</v>
      </c>
      <c r="AM96" t="s">
        <v>1690</v>
      </c>
      <c r="AO96" t="s">
        <v>480</v>
      </c>
      <c r="AP96" t="s">
        <v>481</v>
      </c>
      <c r="AQ96" t="s">
        <v>631</v>
      </c>
      <c r="AR96" t="s">
        <v>482</v>
      </c>
      <c r="AS96" t="s">
        <v>483</v>
      </c>
      <c r="AT96" t="s">
        <v>484</v>
      </c>
      <c r="AU96" t="s">
        <v>521</v>
      </c>
      <c r="AV96" t="s">
        <v>522</v>
      </c>
      <c r="AW96" t="s">
        <v>486</v>
      </c>
      <c r="BF96" s="1"/>
      <c r="BG96" t="s">
        <v>523</v>
      </c>
      <c r="BH96" t="s">
        <v>487</v>
      </c>
      <c r="BP96" t="s">
        <v>1489</v>
      </c>
      <c r="BQ96" t="s">
        <v>522</v>
      </c>
    </row>
    <row r="97" spans="1:69" x14ac:dyDescent="0.25">
      <c r="A97" t="s">
        <v>5713</v>
      </c>
      <c r="B97" t="s">
        <v>474</v>
      </c>
      <c r="C97" t="s">
        <v>1679</v>
      </c>
      <c r="E97" t="s">
        <v>480</v>
      </c>
      <c r="G97" s="1" t="s">
        <v>1680</v>
      </c>
      <c r="H97" t="s">
        <v>537</v>
      </c>
      <c r="J97">
        <v>400015</v>
      </c>
      <c r="M97" t="s">
        <v>1425</v>
      </c>
      <c r="P97" t="s">
        <v>110</v>
      </c>
      <c r="R97" t="s">
        <v>572</v>
      </c>
      <c r="S97" t="s">
        <v>1691</v>
      </c>
      <c r="T97" t="s">
        <v>1692</v>
      </c>
      <c r="V97" t="s">
        <v>477</v>
      </c>
      <c r="W97" t="s">
        <v>73</v>
      </c>
      <c r="AE97" t="s">
        <v>478</v>
      </c>
      <c r="AF97" t="s">
        <v>479</v>
      </c>
      <c r="AL97">
        <v>96.600000000000009</v>
      </c>
      <c r="AM97" t="s">
        <v>573</v>
      </c>
      <c r="AO97" t="s">
        <v>480</v>
      </c>
      <c r="AP97" t="s">
        <v>481</v>
      </c>
      <c r="AQ97" t="s">
        <v>624</v>
      </c>
      <c r="AR97" t="s">
        <v>482</v>
      </c>
      <c r="AS97" t="s">
        <v>483</v>
      </c>
      <c r="AT97" t="s">
        <v>484</v>
      </c>
      <c r="AU97" t="s">
        <v>521</v>
      </c>
      <c r="AV97" t="s">
        <v>522</v>
      </c>
      <c r="AW97" t="s">
        <v>486</v>
      </c>
      <c r="BF97" s="1"/>
      <c r="BG97" t="s">
        <v>523</v>
      </c>
      <c r="BH97" t="s">
        <v>487</v>
      </c>
      <c r="BP97" t="s">
        <v>1489</v>
      </c>
      <c r="BQ97" t="s">
        <v>522</v>
      </c>
    </row>
    <row r="98" spans="1:69" x14ac:dyDescent="0.25">
      <c r="A98" t="s">
        <v>5713</v>
      </c>
      <c r="B98" t="s">
        <v>474</v>
      </c>
      <c r="C98" t="s">
        <v>1679</v>
      </c>
      <c r="E98" t="s">
        <v>480</v>
      </c>
      <c r="G98" s="1" t="s">
        <v>1680</v>
      </c>
      <c r="H98" t="s">
        <v>542</v>
      </c>
      <c r="J98">
        <v>400015</v>
      </c>
      <c r="M98" t="s">
        <v>1423</v>
      </c>
      <c r="P98" t="s">
        <v>111</v>
      </c>
      <c r="R98" t="s">
        <v>670</v>
      </c>
      <c r="S98" t="s">
        <v>1693</v>
      </c>
      <c r="T98" t="s">
        <v>1694</v>
      </c>
      <c r="V98" t="s">
        <v>477</v>
      </c>
      <c r="W98" t="s">
        <v>73</v>
      </c>
      <c r="AE98" t="s">
        <v>478</v>
      </c>
      <c r="AF98" t="s">
        <v>479</v>
      </c>
      <c r="AL98">
        <v>97.360000000000014</v>
      </c>
      <c r="AM98" t="s">
        <v>671</v>
      </c>
      <c r="AO98" t="s">
        <v>480</v>
      </c>
      <c r="AP98" t="s">
        <v>481</v>
      </c>
      <c r="AQ98" t="s">
        <v>548</v>
      </c>
      <c r="AR98" t="s">
        <v>482</v>
      </c>
      <c r="AS98" t="s">
        <v>483</v>
      </c>
      <c r="AT98" t="s">
        <v>484</v>
      </c>
      <c r="AU98" t="s">
        <v>521</v>
      </c>
      <c r="AV98" t="s">
        <v>522</v>
      </c>
      <c r="AW98" t="s">
        <v>486</v>
      </c>
      <c r="BF98" s="1"/>
      <c r="BG98" t="s">
        <v>523</v>
      </c>
      <c r="BH98" t="s">
        <v>487</v>
      </c>
      <c r="BP98" t="s">
        <v>1489</v>
      </c>
      <c r="BQ98" t="s">
        <v>522</v>
      </c>
    </row>
    <row r="99" spans="1:69" x14ac:dyDescent="0.25">
      <c r="A99" t="s">
        <v>5713</v>
      </c>
      <c r="B99" t="s">
        <v>474</v>
      </c>
      <c r="C99" t="s">
        <v>1679</v>
      </c>
      <c r="E99" t="s">
        <v>480</v>
      </c>
      <c r="G99" s="1" t="s">
        <v>1680</v>
      </c>
      <c r="H99" t="s">
        <v>546</v>
      </c>
      <c r="J99">
        <v>400015</v>
      </c>
      <c r="M99" t="s">
        <v>1422</v>
      </c>
      <c r="P99" t="s">
        <v>97</v>
      </c>
      <c r="R99" t="s">
        <v>649</v>
      </c>
      <c r="S99" t="s">
        <v>1695</v>
      </c>
      <c r="T99" t="s">
        <v>1696</v>
      </c>
      <c r="V99" t="s">
        <v>477</v>
      </c>
      <c r="W99" t="s">
        <v>73</v>
      </c>
      <c r="AE99" t="s">
        <v>478</v>
      </c>
      <c r="AF99" t="s">
        <v>479</v>
      </c>
      <c r="AL99">
        <v>149.76499999999999</v>
      </c>
      <c r="AM99" t="s">
        <v>1697</v>
      </c>
      <c r="AO99" t="s">
        <v>480</v>
      </c>
      <c r="AP99" t="s">
        <v>481</v>
      </c>
      <c r="AQ99" t="s">
        <v>677</v>
      </c>
      <c r="AR99" t="s">
        <v>482</v>
      </c>
      <c r="AS99" t="s">
        <v>483</v>
      </c>
      <c r="AT99" t="s">
        <v>484</v>
      </c>
      <c r="AU99" t="s">
        <v>521</v>
      </c>
      <c r="AV99" t="s">
        <v>522</v>
      </c>
      <c r="AW99" t="s">
        <v>486</v>
      </c>
      <c r="BF99" s="1"/>
      <c r="BG99" t="s">
        <v>523</v>
      </c>
      <c r="BH99" t="s">
        <v>487</v>
      </c>
      <c r="BP99" t="s">
        <v>1489</v>
      </c>
      <c r="BQ99" t="s">
        <v>522</v>
      </c>
    </row>
    <row r="100" spans="1:69" x14ac:dyDescent="0.25">
      <c r="A100" t="s">
        <v>5713</v>
      </c>
      <c r="B100" t="s">
        <v>474</v>
      </c>
      <c r="C100" t="s">
        <v>1679</v>
      </c>
      <c r="E100" t="s">
        <v>480</v>
      </c>
      <c r="G100" s="1" t="s">
        <v>1680</v>
      </c>
      <c r="H100" t="s">
        <v>549</v>
      </c>
      <c r="J100">
        <v>400015</v>
      </c>
      <c r="M100" t="s">
        <v>1416</v>
      </c>
      <c r="P100" t="s">
        <v>128</v>
      </c>
      <c r="R100" t="s">
        <v>869</v>
      </c>
      <c r="S100" t="s">
        <v>1698</v>
      </c>
      <c r="T100" t="s">
        <v>1699</v>
      </c>
      <c r="V100" t="s">
        <v>477</v>
      </c>
      <c r="W100" t="s">
        <v>73</v>
      </c>
      <c r="AE100" t="s">
        <v>478</v>
      </c>
      <c r="AF100" t="s">
        <v>479</v>
      </c>
      <c r="AL100">
        <v>156.864</v>
      </c>
      <c r="AM100" t="s">
        <v>1700</v>
      </c>
      <c r="AO100" t="s">
        <v>480</v>
      </c>
      <c r="AP100" t="s">
        <v>481</v>
      </c>
      <c r="AQ100" t="s">
        <v>528</v>
      </c>
      <c r="AR100" t="s">
        <v>482</v>
      </c>
      <c r="AS100" t="s">
        <v>483</v>
      </c>
      <c r="AT100" t="s">
        <v>484</v>
      </c>
      <c r="AU100" t="s">
        <v>521</v>
      </c>
      <c r="AV100" t="s">
        <v>522</v>
      </c>
      <c r="AW100" t="s">
        <v>486</v>
      </c>
      <c r="BF100" s="1"/>
      <c r="BG100" t="s">
        <v>523</v>
      </c>
      <c r="BH100" t="s">
        <v>487</v>
      </c>
      <c r="BP100" t="s">
        <v>1489</v>
      </c>
      <c r="BQ100" t="s">
        <v>522</v>
      </c>
    </row>
    <row r="101" spans="1:69" x14ac:dyDescent="0.25">
      <c r="A101" t="s">
        <v>5713</v>
      </c>
      <c r="B101" t="s">
        <v>474</v>
      </c>
      <c r="C101" t="s">
        <v>1679</v>
      </c>
      <c r="E101" t="s">
        <v>480</v>
      </c>
      <c r="G101" s="1" t="s">
        <v>1680</v>
      </c>
      <c r="H101" t="s">
        <v>553</v>
      </c>
      <c r="J101">
        <v>400015</v>
      </c>
      <c r="M101" t="s">
        <v>1420</v>
      </c>
      <c r="P101" t="s">
        <v>109</v>
      </c>
      <c r="R101" t="s">
        <v>593</v>
      </c>
      <c r="S101" t="s">
        <v>1701</v>
      </c>
      <c r="T101" t="s">
        <v>1702</v>
      </c>
      <c r="V101" t="s">
        <v>477</v>
      </c>
      <c r="W101" t="s">
        <v>73</v>
      </c>
      <c r="AE101" t="s">
        <v>478</v>
      </c>
      <c r="AF101" t="s">
        <v>479</v>
      </c>
      <c r="AL101">
        <v>157.464</v>
      </c>
      <c r="AM101" t="s">
        <v>596</v>
      </c>
      <c r="AO101" t="s">
        <v>480</v>
      </c>
      <c r="AP101" t="s">
        <v>481</v>
      </c>
      <c r="AQ101" t="s">
        <v>536</v>
      </c>
      <c r="AR101" t="s">
        <v>482</v>
      </c>
      <c r="AS101" t="s">
        <v>483</v>
      </c>
      <c r="AT101" t="s">
        <v>484</v>
      </c>
      <c r="AU101" t="s">
        <v>521</v>
      </c>
      <c r="AV101" t="s">
        <v>522</v>
      </c>
      <c r="AW101" t="s">
        <v>486</v>
      </c>
      <c r="BF101" s="1"/>
      <c r="BG101" t="s">
        <v>523</v>
      </c>
      <c r="BH101" t="s">
        <v>487</v>
      </c>
      <c r="BP101" t="s">
        <v>1489</v>
      </c>
      <c r="BQ101" t="s">
        <v>522</v>
      </c>
    </row>
    <row r="102" spans="1:69" x14ac:dyDescent="0.25">
      <c r="A102" t="s">
        <v>5713</v>
      </c>
      <c r="B102" t="s">
        <v>474</v>
      </c>
      <c r="C102" t="s">
        <v>1679</v>
      </c>
      <c r="E102" t="s">
        <v>480</v>
      </c>
      <c r="G102" s="1" t="s">
        <v>1680</v>
      </c>
      <c r="H102" t="s">
        <v>556</v>
      </c>
      <c r="J102">
        <v>400015</v>
      </c>
      <c r="M102" t="s">
        <v>1425</v>
      </c>
      <c r="P102" t="s">
        <v>116</v>
      </c>
      <c r="R102" t="s">
        <v>753</v>
      </c>
      <c r="S102" t="s">
        <v>1592</v>
      </c>
      <c r="T102" t="s">
        <v>1593</v>
      </c>
      <c r="V102" t="s">
        <v>477</v>
      </c>
      <c r="W102" t="s">
        <v>73</v>
      </c>
      <c r="AE102" t="s">
        <v>478</v>
      </c>
      <c r="AF102" t="s">
        <v>479</v>
      </c>
      <c r="AL102">
        <v>16.559999999999999</v>
      </c>
      <c r="AM102" t="s">
        <v>816</v>
      </c>
      <c r="AO102" t="s">
        <v>480</v>
      </c>
      <c r="AP102" t="s">
        <v>481</v>
      </c>
      <c r="AQ102" t="s">
        <v>645</v>
      </c>
      <c r="AR102" t="s">
        <v>482</v>
      </c>
      <c r="AS102" t="s">
        <v>483</v>
      </c>
      <c r="AT102" t="s">
        <v>484</v>
      </c>
      <c r="AU102" t="s">
        <v>521</v>
      </c>
      <c r="AV102" t="s">
        <v>522</v>
      </c>
      <c r="AW102" t="s">
        <v>486</v>
      </c>
      <c r="BF102" s="1"/>
      <c r="BG102" t="s">
        <v>523</v>
      </c>
      <c r="BH102" t="s">
        <v>487</v>
      </c>
      <c r="BP102" t="s">
        <v>1489</v>
      </c>
      <c r="BQ102" t="s">
        <v>522</v>
      </c>
    </row>
    <row r="103" spans="1:69" x14ac:dyDescent="0.25">
      <c r="A103" t="s">
        <v>5713</v>
      </c>
      <c r="B103" t="s">
        <v>474</v>
      </c>
      <c r="C103" t="s">
        <v>1679</v>
      </c>
      <c r="E103" t="s">
        <v>480</v>
      </c>
      <c r="G103" s="1" t="s">
        <v>1680</v>
      </c>
      <c r="H103" t="s">
        <v>559</v>
      </c>
      <c r="J103">
        <v>400015</v>
      </c>
      <c r="M103" t="s">
        <v>1423</v>
      </c>
      <c r="P103" t="s">
        <v>74</v>
      </c>
      <c r="R103" t="s">
        <v>613</v>
      </c>
      <c r="S103" t="s">
        <v>1703</v>
      </c>
      <c r="T103" t="s">
        <v>1704</v>
      </c>
      <c r="V103" t="s">
        <v>477</v>
      </c>
      <c r="W103" t="s">
        <v>73</v>
      </c>
      <c r="AE103" t="s">
        <v>478</v>
      </c>
      <c r="AF103" t="s">
        <v>479</v>
      </c>
      <c r="AL103">
        <v>30.473999999999997</v>
      </c>
      <c r="AM103" t="s">
        <v>614</v>
      </c>
      <c r="AO103" t="s">
        <v>480</v>
      </c>
      <c r="AP103" t="s">
        <v>481</v>
      </c>
      <c r="AQ103" t="s">
        <v>678</v>
      </c>
      <c r="AR103" t="s">
        <v>482</v>
      </c>
      <c r="AS103" t="s">
        <v>483</v>
      </c>
      <c r="AT103" t="s">
        <v>484</v>
      </c>
      <c r="AU103" t="s">
        <v>521</v>
      </c>
      <c r="AV103" t="s">
        <v>522</v>
      </c>
      <c r="AW103" t="s">
        <v>486</v>
      </c>
      <c r="BF103" s="1"/>
      <c r="BG103" t="s">
        <v>523</v>
      </c>
      <c r="BH103" t="s">
        <v>487</v>
      </c>
      <c r="BP103" t="s">
        <v>1489</v>
      </c>
      <c r="BQ103" t="s">
        <v>522</v>
      </c>
    </row>
    <row r="104" spans="1:69" x14ac:dyDescent="0.25">
      <c r="A104" t="s">
        <v>5713</v>
      </c>
      <c r="B104" t="s">
        <v>474</v>
      </c>
      <c r="C104" t="s">
        <v>1679</v>
      </c>
      <c r="E104" t="s">
        <v>480</v>
      </c>
      <c r="G104" s="1" t="s">
        <v>1680</v>
      </c>
      <c r="H104" t="s">
        <v>562</v>
      </c>
      <c r="J104">
        <v>400015</v>
      </c>
      <c r="M104" t="s">
        <v>1428</v>
      </c>
      <c r="P104" t="s">
        <v>113</v>
      </c>
      <c r="R104" t="s">
        <v>1705</v>
      </c>
      <c r="S104" t="s">
        <v>1706</v>
      </c>
      <c r="T104" t="s">
        <v>1707</v>
      </c>
      <c r="V104" t="s">
        <v>477</v>
      </c>
      <c r="W104" t="s">
        <v>73</v>
      </c>
      <c r="AE104" t="s">
        <v>478</v>
      </c>
      <c r="AF104" t="s">
        <v>479</v>
      </c>
      <c r="AL104">
        <v>224.96800000000002</v>
      </c>
      <c r="AM104" t="s">
        <v>1708</v>
      </c>
      <c r="AO104" t="s">
        <v>480</v>
      </c>
      <c r="AP104" t="s">
        <v>481</v>
      </c>
      <c r="AQ104" t="s">
        <v>657</v>
      </c>
      <c r="AR104" t="s">
        <v>482</v>
      </c>
      <c r="AS104" t="s">
        <v>483</v>
      </c>
      <c r="AT104" t="s">
        <v>484</v>
      </c>
      <c r="AU104" t="s">
        <v>521</v>
      </c>
      <c r="AV104" t="s">
        <v>522</v>
      </c>
      <c r="AW104" t="s">
        <v>486</v>
      </c>
      <c r="BF104" s="1"/>
      <c r="BG104" t="s">
        <v>523</v>
      </c>
      <c r="BH104" t="s">
        <v>487</v>
      </c>
      <c r="BP104" t="s">
        <v>1489</v>
      </c>
      <c r="BQ104" t="s">
        <v>522</v>
      </c>
    </row>
    <row r="105" spans="1:69" x14ac:dyDescent="0.25">
      <c r="A105" t="s">
        <v>5713</v>
      </c>
      <c r="B105" t="s">
        <v>474</v>
      </c>
      <c r="C105" t="s">
        <v>1679</v>
      </c>
      <c r="E105" t="s">
        <v>480</v>
      </c>
      <c r="G105" s="1" t="s">
        <v>1680</v>
      </c>
      <c r="H105" t="s">
        <v>564</v>
      </c>
      <c r="J105">
        <v>400015</v>
      </c>
      <c r="M105" t="s">
        <v>1425</v>
      </c>
      <c r="P105" t="s">
        <v>170</v>
      </c>
      <c r="R105" t="s">
        <v>557</v>
      </c>
      <c r="S105" t="s">
        <v>1709</v>
      </c>
      <c r="T105" t="s">
        <v>1710</v>
      </c>
      <c r="V105" t="s">
        <v>477</v>
      </c>
      <c r="W105" t="s">
        <v>73</v>
      </c>
      <c r="AE105" t="s">
        <v>478</v>
      </c>
      <c r="AF105" t="s">
        <v>479</v>
      </c>
      <c r="AL105">
        <v>23.769999999999996</v>
      </c>
      <c r="AM105" t="s">
        <v>797</v>
      </c>
      <c r="AO105" t="s">
        <v>480</v>
      </c>
      <c r="AP105" t="s">
        <v>481</v>
      </c>
      <c r="AQ105" t="s">
        <v>854</v>
      </c>
      <c r="AR105" t="s">
        <v>482</v>
      </c>
      <c r="AS105" t="s">
        <v>483</v>
      </c>
      <c r="AT105" t="s">
        <v>484</v>
      </c>
      <c r="AU105" t="s">
        <v>521</v>
      </c>
      <c r="AV105" t="s">
        <v>522</v>
      </c>
      <c r="AW105" t="s">
        <v>486</v>
      </c>
      <c r="BF105" s="1"/>
      <c r="BG105" t="s">
        <v>523</v>
      </c>
      <c r="BH105" t="s">
        <v>487</v>
      </c>
      <c r="BP105" t="s">
        <v>1489</v>
      </c>
      <c r="BQ105" t="s">
        <v>522</v>
      </c>
    </row>
    <row r="106" spans="1:69" x14ac:dyDescent="0.25">
      <c r="A106" t="s">
        <v>5713</v>
      </c>
      <c r="B106" t="s">
        <v>474</v>
      </c>
      <c r="C106" t="s">
        <v>1679</v>
      </c>
      <c r="E106" t="s">
        <v>480</v>
      </c>
      <c r="G106" s="1" t="s">
        <v>1680</v>
      </c>
      <c r="H106" t="s">
        <v>567</v>
      </c>
      <c r="J106">
        <v>400015</v>
      </c>
      <c r="M106" t="s">
        <v>1423</v>
      </c>
      <c r="P106" t="s">
        <v>80</v>
      </c>
      <c r="R106" t="s">
        <v>554</v>
      </c>
      <c r="S106" t="s">
        <v>1711</v>
      </c>
      <c r="T106" t="s">
        <v>1712</v>
      </c>
      <c r="V106" t="s">
        <v>477</v>
      </c>
      <c r="W106" t="s">
        <v>73</v>
      </c>
      <c r="AE106" t="s">
        <v>478</v>
      </c>
      <c r="AF106" t="s">
        <v>479</v>
      </c>
      <c r="AL106">
        <v>156.83199999999999</v>
      </c>
      <c r="AM106" t="s">
        <v>1713</v>
      </c>
      <c r="AO106" t="s">
        <v>480</v>
      </c>
      <c r="AP106" t="s">
        <v>481</v>
      </c>
      <c r="AQ106" t="s">
        <v>603</v>
      </c>
      <c r="AR106" t="s">
        <v>482</v>
      </c>
      <c r="AS106" t="s">
        <v>483</v>
      </c>
      <c r="AT106" t="s">
        <v>484</v>
      </c>
      <c r="AU106" t="s">
        <v>521</v>
      </c>
      <c r="AV106" t="s">
        <v>522</v>
      </c>
      <c r="AW106" t="s">
        <v>486</v>
      </c>
      <c r="BF106" s="1"/>
      <c r="BG106" t="s">
        <v>523</v>
      </c>
      <c r="BH106" t="s">
        <v>487</v>
      </c>
      <c r="BP106" t="s">
        <v>1489</v>
      </c>
      <c r="BQ106" t="s">
        <v>522</v>
      </c>
    </row>
    <row r="107" spans="1:69" x14ac:dyDescent="0.25">
      <c r="A107" t="s">
        <v>5713</v>
      </c>
      <c r="B107" t="s">
        <v>474</v>
      </c>
      <c r="C107" t="s">
        <v>1679</v>
      </c>
      <c r="E107" t="s">
        <v>480</v>
      </c>
      <c r="G107" s="1" t="s">
        <v>1680</v>
      </c>
      <c r="H107" t="s">
        <v>571</v>
      </c>
      <c r="J107">
        <v>400015</v>
      </c>
      <c r="M107" t="s">
        <v>1420</v>
      </c>
      <c r="P107" t="s">
        <v>88</v>
      </c>
      <c r="R107" t="s">
        <v>593</v>
      </c>
      <c r="S107" t="s">
        <v>594</v>
      </c>
      <c r="T107" t="s">
        <v>595</v>
      </c>
      <c r="V107" t="s">
        <v>477</v>
      </c>
      <c r="W107" t="s">
        <v>73</v>
      </c>
      <c r="AE107" t="s">
        <v>478</v>
      </c>
      <c r="AF107" t="s">
        <v>479</v>
      </c>
      <c r="AL107">
        <v>147.06899999999999</v>
      </c>
      <c r="AM107" t="s">
        <v>596</v>
      </c>
      <c r="AO107" t="s">
        <v>480</v>
      </c>
      <c r="AP107" t="s">
        <v>481</v>
      </c>
      <c r="AQ107" t="s">
        <v>597</v>
      </c>
      <c r="AR107" t="s">
        <v>482</v>
      </c>
      <c r="AS107" t="s">
        <v>483</v>
      </c>
      <c r="AT107" t="s">
        <v>484</v>
      </c>
      <c r="AU107" t="s">
        <v>521</v>
      </c>
      <c r="AV107" t="s">
        <v>522</v>
      </c>
      <c r="AW107" t="s">
        <v>486</v>
      </c>
      <c r="BF107" s="1"/>
      <c r="BG107" t="s">
        <v>523</v>
      </c>
      <c r="BH107" t="s">
        <v>487</v>
      </c>
      <c r="BP107" t="s">
        <v>1489</v>
      </c>
      <c r="BQ107" t="s">
        <v>522</v>
      </c>
    </row>
    <row r="108" spans="1:69" x14ac:dyDescent="0.25">
      <c r="A108" t="s">
        <v>5713</v>
      </c>
      <c r="B108" t="s">
        <v>474</v>
      </c>
      <c r="C108" t="s">
        <v>1679</v>
      </c>
      <c r="E108" t="s">
        <v>480</v>
      </c>
      <c r="G108" s="1" t="s">
        <v>1680</v>
      </c>
      <c r="H108" t="s">
        <v>575</v>
      </c>
      <c r="J108">
        <v>400015</v>
      </c>
      <c r="M108" t="s">
        <v>1431</v>
      </c>
      <c r="P108" t="s">
        <v>72</v>
      </c>
      <c r="R108" t="s">
        <v>1714</v>
      </c>
      <c r="S108" t="s">
        <v>1715</v>
      </c>
      <c r="T108" t="s">
        <v>1716</v>
      </c>
      <c r="V108" t="s">
        <v>477</v>
      </c>
      <c r="W108" t="s">
        <v>73</v>
      </c>
      <c r="AE108" t="s">
        <v>478</v>
      </c>
      <c r="AF108" t="s">
        <v>479</v>
      </c>
      <c r="AL108">
        <v>493.58</v>
      </c>
      <c r="AM108" t="s">
        <v>1717</v>
      </c>
      <c r="AO108" t="s">
        <v>480</v>
      </c>
      <c r="AP108" t="s">
        <v>481</v>
      </c>
      <c r="AQ108" t="s">
        <v>757</v>
      </c>
      <c r="AR108" t="s">
        <v>482</v>
      </c>
      <c r="AS108" t="s">
        <v>483</v>
      </c>
      <c r="AT108" t="s">
        <v>484</v>
      </c>
      <c r="AU108" t="s">
        <v>521</v>
      </c>
      <c r="AV108" t="s">
        <v>522</v>
      </c>
      <c r="AW108" t="s">
        <v>486</v>
      </c>
      <c r="BF108" s="1"/>
      <c r="BG108" t="s">
        <v>523</v>
      </c>
      <c r="BH108" t="s">
        <v>487</v>
      </c>
      <c r="BP108" t="s">
        <v>1489</v>
      </c>
      <c r="BQ108" t="s">
        <v>522</v>
      </c>
    </row>
    <row r="109" spans="1:69" x14ac:dyDescent="0.25">
      <c r="A109" t="s">
        <v>5713</v>
      </c>
      <c r="B109" t="s">
        <v>474</v>
      </c>
      <c r="C109" t="s">
        <v>1679</v>
      </c>
      <c r="E109" t="s">
        <v>480</v>
      </c>
      <c r="G109" s="1" t="s">
        <v>1680</v>
      </c>
      <c r="H109" t="s">
        <v>578</v>
      </c>
      <c r="J109">
        <v>400015</v>
      </c>
      <c r="M109" t="s">
        <v>1425</v>
      </c>
      <c r="P109" t="s">
        <v>85</v>
      </c>
      <c r="R109" t="s">
        <v>766</v>
      </c>
      <c r="S109" t="s">
        <v>1718</v>
      </c>
      <c r="T109" t="s">
        <v>1719</v>
      </c>
      <c r="V109" t="s">
        <v>477</v>
      </c>
      <c r="W109" t="s">
        <v>73</v>
      </c>
      <c r="AE109" t="s">
        <v>478</v>
      </c>
      <c r="AF109" t="s">
        <v>479</v>
      </c>
      <c r="AL109">
        <v>813.61900000000003</v>
      </c>
      <c r="AM109" t="s">
        <v>1720</v>
      </c>
      <c r="AO109" t="s">
        <v>480</v>
      </c>
      <c r="AP109" t="s">
        <v>481</v>
      </c>
      <c r="AQ109" t="s">
        <v>630</v>
      </c>
      <c r="AR109" t="s">
        <v>482</v>
      </c>
      <c r="AS109" t="s">
        <v>483</v>
      </c>
      <c r="AT109" t="s">
        <v>484</v>
      </c>
      <c r="AU109" t="s">
        <v>521</v>
      </c>
      <c r="AV109" t="s">
        <v>522</v>
      </c>
      <c r="AW109" t="s">
        <v>486</v>
      </c>
      <c r="BF109" s="1"/>
      <c r="BG109" t="s">
        <v>523</v>
      </c>
      <c r="BH109" t="s">
        <v>487</v>
      </c>
      <c r="BP109" t="s">
        <v>1489</v>
      </c>
      <c r="BQ109" t="s">
        <v>522</v>
      </c>
    </row>
    <row r="110" spans="1:69" x14ac:dyDescent="0.25">
      <c r="A110" t="s">
        <v>5713</v>
      </c>
      <c r="B110" t="s">
        <v>474</v>
      </c>
      <c r="C110" t="s">
        <v>1679</v>
      </c>
      <c r="E110" t="s">
        <v>480</v>
      </c>
      <c r="G110" s="1" t="s">
        <v>1680</v>
      </c>
      <c r="H110" t="s">
        <v>581</v>
      </c>
      <c r="J110">
        <v>400015</v>
      </c>
      <c r="M110" t="s">
        <v>1424</v>
      </c>
      <c r="P110" t="s">
        <v>76</v>
      </c>
      <c r="R110" t="s">
        <v>753</v>
      </c>
      <c r="S110" t="s">
        <v>1721</v>
      </c>
      <c r="T110" t="s">
        <v>1722</v>
      </c>
      <c r="V110" t="s">
        <v>477</v>
      </c>
      <c r="W110" t="s">
        <v>73</v>
      </c>
      <c r="AE110" t="s">
        <v>478</v>
      </c>
      <c r="AF110" t="s">
        <v>479</v>
      </c>
      <c r="AL110">
        <v>23.547999999999998</v>
      </c>
      <c r="AM110" t="s">
        <v>812</v>
      </c>
      <c r="AO110" t="s">
        <v>480</v>
      </c>
      <c r="AP110" t="s">
        <v>481</v>
      </c>
      <c r="AQ110" t="s">
        <v>558</v>
      </c>
      <c r="AR110" t="s">
        <v>482</v>
      </c>
      <c r="AS110" t="s">
        <v>483</v>
      </c>
      <c r="AT110" t="s">
        <v>484</v>
      </c>
      <c r="AU110" t="s">
        <v>521</v>
      </c>
      <c r="AV110" t="s">
        <v>522</v>
      </c>
      <c r="AW110" t="s">
        <v>486</v>
      </c>
      <c r="BF110" s="1"/>
      <c r="BG110" t="s">
        <v>523</v>
      </c>
      <c r="BH110" t="s">
        <v>487</v>
      </c>
      <c r="BP110" t="s">
        <v>1489</v>
      </c>
      <c r="BQ110" t="s">
        <v>522</v>
      </c>
    </row>
    <row r="111" spans="1:69" x14ac:dyDescent="0.25">
      <c r="A111" t="s">
        <v>5713</v>
      </c>
      <c r="B111" t="s">
        <v>474</v>
      </c>
      <c r="C111" t="s">
        <v>1679</v>
      </c>
      <c r="E111" t="s">
        <v>480</v>
      </c>
      <c r="G111" s="1" t="s">
        <v>1680</v>
      </c>
      <c r="H111" t="s">
        <v>585</v>
      </c>
      <c r="J111">
        <v>400015</v>
      </c>
      <c r="M111" t="s">
        <v>1431</v>
      </c>
      <c r="P111" t="s">
        <v>72</v>
      </c>
      <c r="R111" t="s">
        <v>741</v>
      </c>
      <c r="S111" t="s">
        <v>1723</v>
      </c>
      <c r="T111" t="s">
        <v>1724</v>
      </c>
      <c r="V111" t="s">
        <v>477</v>
      </c>
      <c r="W111" t="s">
        <v>73</v>
      </c>
      <c r="AE111" t="s">
        <v>478</v>
      </c>
      <c r="AF111" t="s">
        <v>479</v>
      </c>
      <c r="AL111">
        <v>195.73</v>
      </c>
      <c r="AM111" t="s">
        <v>1725</v>
      </c>
      <c r="AO111" t="s">
        <v>480</v>
      </c>
      <c r="AP111" t="s">
        <v>481</v>
      </c>
      <c r="AQ111" t="s">
        <v>757</v>
      </c>
      <c r="AR111" t="s">
        <v>482</v>
      </c>
      <c r="AS111" t="s">
        <v>483</v>
      </c>
      <c r="AT111" t="s">
        <v>484</v>
      </c>
      <c r="AU111" t="s">
        <v>521</v>
      </c>
      <c r="AV111" t="s">
        <v>522</v>
      </c>
      <c r="AW111" t="s">
        <v>486</v>
      </c>
      <c r="BF111" s="1"/>
      <c r="BG111" t="s">
        <v>523</v>
      </c>
      <c r="BH111" t="s">
        <v>487</v>
      </c>
      <c r="BP111" t="s">
        <v>1489</v>
      </c>
      <c r="BQ111" t="s">
        <v>522</v>
      </c>
    </row>
    <row r="112" spans="1:69" x14ac:dyDescent="0.25">
      <c r="A112" t="s">
        <v>5713</v>
      </c>
      <c r="B112" t="s">
        <v>474</v>
      </c>
      <c r="C112" t="s">
        <v>1679</v>
      </c>
      <c r="E112" t="s">
        <v>480</v>
      </c>
      <c r="G112" s="1" t="s">
        <v>1680</v>
      </c>
      <c r="H112" t="s">
        <v>589</v>
      </c>
      <c r="J112">
        <v>400015</v>
      </c>
      <c r="M112" t="s">
        <v>1420</v>
      </c>
      <c r="P112" t="s">
        <v>119</v>
      </c>
      <c r="R112" t="s">
        <v>593</v>
      </c>
      <c r="S112" t="s">
        <v>1587</v>
      </c>
      <c r="T112" t="s">
        <v>1588</v>
      </c>
      <c r="V112" t="s">
        <v>477</v>
      </c>
      <c r="W112" t="s">
        <v>73</v>
      </c>
      <c r="AE112" t="s">
        <v>478</v>
      </c>
      <c r="AF112" t="s">
        <v>479</v>
      </c>
      <c r="AL112">
        <v>176.148</v>
      </c>
      <c r="AM112" t="s">
        <v>682</v>
      </c>
      <c r="AO112" t="s">
        <v>480</v>
      </c>
      <c r="AP112" t="s">
        <v>481</v>
      </c>
      <c r="AQ112" t="s">
        <v>756</v>
      </c>
      <c r="AR112" t="s">
        <v>482</v>
      </c>
      <c r="AS112" t="s">
        <v>483</v>
      </c>
      <c r="AT112" t="s">
        <v>484</v>
      </c>
      <c r="AU112" t="s">
        <v>521</v>
      </c>
      <c r="AV112" t="s">
        <v>522</v>
      </c>
      <c r="AW112" t="s">
        <v>486</v>
      </c>
      <c r="BF112" s="1"/>
      <c r="BG112" t="s">
        <v>523</v>
      </c>
      <c r="BH112" t="s">
        <v>487</v>
      </c>
      <c r="BP112" t="s">
        <v>1489</v>
      </c>
      <c r="BQ112" t="s">
        <v>522</v>
      </c>
    </row>
    <row r="113" spans="1:69" x14ac:dyDescent="0.25">
      <c r="A113" t="s">
        <v>5713</v>
      </c>
      <c r="B113" t="s">
        <v>474</v>
      </c>
      <c r="C113" t="s">
        <v>1679</v>
      </c>
      <c r="E113" t="s">
        <v>480</v>
      </c>
      <c r="G113" s="1" t="s">
        <v>1680</v>
      </c>
      <c r="H113" t="s">
        <v>592</v>
      </c>
      <c r="J113">
        <v>400015</v>
      </c>
      <c r="M113" t="s">
        <v>1421</v>
      </c>
      <c r="P113" t="s">
        <v>126</v>
      </c>
      <c r="R113" t="s">
        <v>524</v>
      </c>
      <c r="S113" t="s">
        <v>1726</v>
      </c>
      <c r="T113" t="s">
        <v>1727</v>
      </c>
      <c r="V113" t="s">
        <v>477</v>
      </c>
      <c r="W113" t="s">
        <v>73</v>
      </c>
      <c r="AE113" t="s">
        <v>478</v>
      </c>
      <c r="AF113" t="s">
        <v>479</v>
      </c>
      <c r="AL113">
        <v>117.23100000000001</v>
      </c>
      <c r="AM113" t="s">
        <v>809</v>
      </c>
      <c r="AO113" t="s">
        <v>480</v>
      </c>
      <c r="AP113" t="s">
        <v>481</v>
      </c>
      <c r="AQ113" t="s">
        <v>639</v>
      </c>
      <c r="AR113" t="s">
        <v>482</v>
      </c>
      <c r="AS113" t="s">
        <v>483</v>
      </c>
      <c r="AT113" t="s">
        <v>484</v>
      </c>
      <c r="AU113" t="s">
        <v>521</v>
      </c>
      <c r="AV113" t="s">
        <v>522</v>
      </c>
      <c r="AW113" t="s">
        <v>486</v>
      </c>
      <c r="BF113" s="1"/>
      <c r="BG113" t="s">
        <v>523</v>
      </c>
      <c r="BH113" t="s">
        <v>487</v>
      </c>
      <c r="BP113" t="s">
        <v>1489</v>
      </c>
      <c r="BQ113" t="s">
        <v>522</v>
      </c>
    </row>
    <row r="114" spans="1:69" x14ac:dyDescent="0.25">
      <c r="A114" t="s">
        <v>5713</v>
      </c>
      <c r="B114" t="s">
        <v>474</v>
      </c>
      <c r="C114" t="s">
        <v>1679</v>
      </c>
      <c r="E114" t="s">
        <v>480</v>
      </c>
      <c r="G114" s="1" t="s">
        <v>1680</v>
      </c>
      <c r="H114" t="s">
        <v>598</v>
      </c>
      <c r="J114">
        <v>400015</v>
      </c>
      <c r="M114" t="s">
        <v>1422</v>
      </c>
      <c r="P114" t="s">
        <v>77</v>
      </c>
      <c r="R114" t="s">
        <v>605</v>
      </c>
      <c r="S114" t="s">
        <v>1728</v>
      </c>
      <c r="T114" t="s">
        <v>1729</v>
      </c>
      <c r="V114" t="s">
        <v>477</v>
      </c>
      <c r="W114" t="s">
        <v>73</v>
      </c>
      <c r="AE114" t="s">
        <v>478</v>
      </c>
      <c r="AF114" t="s">
        <v>479</v>
      </c>
      <c r="AL114">
        <v>37.231999999999999</v>
      </c>
      <c r="AM114" t="s">
        <v>643</v>
      </c>
      <c r="AO114" t="s">
        <v>480</v>
      </c>
      <c r="AP114" t="s">
        <v>481</v>
      </c>
      <c r="AQ114" t="s">
        <v>533</v>
      </c>
      <c r="AR114" t="s">
        <v>482</v>
      </c>
      <c r="AS114" t="s">
        <v>483</v>
      </c>
      <c r="AT114" t="s">
        <v>484</v>
      </c>
      <c r="AU114" t="s">
        <v>521</v>
      </c>
      <c r="AV114" t="s">
        <v>522</v>
      </c>
      <c r="AW114" t="s">
        <v>486</v>
      </c>
      <c r="BF114" s="1"/>
      <c r="BG114" t="s">
        <v>523</v>
      </c>
      <c r="BH114" t="s">
        <v>487</v>
      </c>
      <c r="BP114" t="s">
        <v>1489</v>
      </c>
      <c r="BQ114" t="s">
        <v>522</v>
      </c>
    </row>
    <row r="115" spans="1:69" x14ac:dyDescent="0.25">
      <c r="A115" t="s">
        <v>5713</v>
      </c>
      <c r="B115" t="s">
        <v>474</v>
      </c>
      <c r="C115" t="s">
        <v>1679</v>
      </c>
      <c r="E115" t="s">
        <v>480</v>
      </c>
      <c r="G115" s="1" t="s">
        <v>1680</v>
      </c>
      <c r="H115" t="s">
        <v>600</v>
      </c>
      <c r="J115">
        <v>400015</v>
      </c>
      <c r="M115" t="s">
        <v>1423</v>
      </c>
      <c r="P115" t="s">
        <v>124</v>
      </c>
      <c r="R115" t="s">
        <v>846</v>
      </c>
      <c r="S115" t="s">
        <v>1730</v>
      </c>
      <c r="T115" t="s">
        <v>1731</v>
      </c>
      <c r="V115" t="s">
        <v>477</v>
      </c>
      <c r="W115" t="s">
        <v>73</v>
      </c>
      <c r="AE115" t="s">
        <v>478</v>
      </c>
      <c r="AF115" t="s">
        <v>479</v>
      </c>
      <c r="AL115">
        <v>603.75799999999992</v>
      </c>
      <c r="AM115" t="s">
        <v>1732</v>
      </c>
      <c r="AO115" t="s">
        <v>480</v>
      </c>
      <c r="AP115" t="s">
        <v>481</v>
      </c>
      <c r="AQ115" t="s">
        <v>588</v>
      </c>
      <c r="AR115" t="s">
        <v>482</v>
      </c>
      <c r="AS115" t="s">
        <v>483</v>
      </c>
      <c r="AT115" t="s">
        <v>484</v>
      </c>
      <c r="AU115" t="s">
        <v>521</v>
      </c>
      <c r="AV115" t="s">
        <v>522</v>
      </c>
      <c r="AW115" t="s">
        <v>486</v>
      </c>
      <c r="BF115" s="1"/>
      <c r="BG115" t="s">
        <v>523</v>
      </c>
      <c r="BH115" t="s">
        <v>487</v>
      </c>
      <c r="BP115" t="s">
        <v>1489</v>
      </c>
      <c r="BQ115" t="s">
        <v>522</v>
      </c>
    </row>
    <row r="116" spans="1:69" x14ac:dyDescent="0.25">
      <c r="A116" t="s">
        <v>5713</v>
      </c>
      <c r="B116" t="s">
        <v>474</v>
      </c>
      <c r="C116" t="s">
        <v>1679</v>
      </c>
      <c r="E116" t="s">
        <v>480</v>
      </c>
      <c r="G116" s="1" t="s">
        <v>1680</v>
      </c>
      <c r="H116" t="s">
        <v>604</v>
      </c>
      <c r="J116">
        <v>400015</v>
      </c>
      <c r="M116" t="s">
        <v>1414</v>
      </c>
      <c r="P116" t="s">
        <v>169</v>
      </c>
      <c r="R116" t="s">
        <v>780</v>
      </c>
      <c r="S116" t="s">
        <v>1733</v>
      </c>
      <c r="T116" t="s">
        <v>1734</v>
      </c>
      <c r="V116" t="s">
        <v>477</v>
      </c>
      <c r="W116" t="s">
        <v>73</v>
      </c>
      <c r="AE116" t="s">
        <v>478</v>
      </c>
      <c r="AF116" t="s">
        <v>479</v>
      </c>
      <c r="AL116">
        <v>2587.2809999999999</v>
      </c>
      <c r="AM116" t="s">
        <v>1735</v>
      </c>
      <c r="AO116" t="s">
        <v>480</v>
      </c>
      <c r="AP116" t="s">
        <v>481</v>
      </c>
      <c r="AQ116" t="s">
        <v>852</v>
      </c>
      <c r="AR116" t="s">
        <v>482</v>
      </c>
      <c r="AS116" t="s">
        <v>483</v>
      </c>
      <c r="AT116" t="s">
        <v>484</v>
      </c>
      <c r="AU116" t="s">
        <v>521</v>
      </c>
      <c r="AV116" t="s">
        <v>522</v>
      </c>
      <c r="AW116" t="s">
        <v>486</v>
      </c>
      <c r="BF116" s="1"/>
      <c r="BG116" t="s">
        <v>523</v>
      </c>
      <c r="BH116" t="s">
        <v>487</v>
      </c>
      <c r="BP116" t="s">
        <v>1489</v>
      </c>
      <c r="BQ116" t="s">
        <v>522</v>
      </c>
    </row>
    <row r="117" spans="1:69" x14ac:dyDescent="0.25">
      <c r="A117" t="s">
        <v>5713</v>
      </c>
      <c r="B117" t="s">
        <v>474</v>
      </c>
      <c r="C117" t="s">
        <v>1679</v>
      </c>
      <c r="E117" t="s">
        <v>475</v>
      </c>
      <c r="G117" s="1" t="s">
        <v>1736</v>
      </c>
      <c r="H117" t="s">
        <v>476</v>
      </c>
      <c r="J117">
        <v>400015</v>
      </c>
      <c r="M117" t="s">
        <v>1425</v>
      </c>
      <c r="P117" t="s">
        <v>92</v>
      </c>
      <c r="R117" t="s">
        <v>710</v>
      </c>
      <c r="S117" t="s">
        <v>711</v>
      </c>
      <c r="T117" t="s">
        <v>1737</v>
      </c>
      <c r="V117" t="s">
        <v>477</v>
      </c>
      <c r="W117" t="s">
        <v>235</v>
      </c>
      <c r="AE117" t="s">
        <v>478</v>
      </c>
      <c r="AF117" t="s">
        <v>479</v>
      </c>
      <c r="AL117">
        <v>3690.6480000000001</v>
      </c>
      <c r="AM117" t="s">
        <v>712</v>
      </c>
      <c r="AO117" t="s">
        <v>480</v>
      </c>
      <c r="AP117" t="s">
        <v>481</v>
      </c>
      <c r="AQ117" t="s">
        <v>713</v>
      </c>
      <c r="AR117" t="s">
        <v>482</v>
      </c>
      <c r="AS117" t="s">
        <v>483</v>
      </c>
      <c r="AT117" t="s">
        <v>484</v>
      </c>
      <c r="AU117" t="s">
        <v>130</v>
      </c>
      <c r="AV117" t="s">
        <v>485</v>
      </c>
      <c r="AW117" t="s">
        <v>486</v>
      </c>
      <c r="BF117" s="1"/>
      <c r="BG117" t="s">
        <v>266</v>
      </c>
      <c r="BH117" t="s">
        <v>487</v>
      </c>
      <c r="BP117" t="s">
        <v>1489</v>
      </c>
      <c r="BQ117" t="s">
        <v>485</v>
      </c>
    </row>
    <row r="118" spans="1:69" x14ac:dyDescent="0.25">
      <c r="A118" t="s">
        <v>5713</v>
      </c>
      <c r="B118" t="s">
        <v>474</v>
      </c>
      <c r="C118" t="s">
        <v>1679</v>
      </c>
      <c r="E118" t="s">
        <v>475</v>
      </c>
      <c r="G118" s="1" t="s">
        <v>1736</v>
      </c>
      <c r="H118" t="s">
        <v>492</v>
      </c>
      <c r="J118">
        <v>400015</v>
      </c>
      <c r="M118" t="s">
        <v>1425</v>
      </c>
      <c r="P118" t="s">
        <v>92</v>
      </c>
      <c r="R118" t="s">
        <v>710</v>
      </c>
      <c r="S118" t="s">
        <v>711</v>
      </c>
      <c r="T118" t="s">
        <v>1738</v>
      </c>
      <c r="V118" t="s">
        <v>477</v>
      </c>
      <c r="W118" t="s">
        <v>235</v>
      </c>
      <c r="AE118" t="s">
        <v>478</v>
      </c>
      <c r="AF118" t="s">
        <v>479</v>
      </c>
      <c r="AL118">
        <v>3690.6480000000001</v>
      </c>
      <c r="AM118" t="s">
        <v>712</v>
      </c>
      <c r="AO118" t="s">
        <v>480</v>
      </c>
      <c r="AP118" t="s">
        <v>481</v>
      </c>
      <c r="AQ118" t="s">
        <v>713</v>
      </c>
      <c r="AR118" t="s">
        <v>482</v>
      </c>
      <c r="AS118" t="s">
        <v>483</v>
      </c>
      <c r="AT118" t="s">
        <v>484</v>
      </c>
      <c r="AU118" t="s">
        <v>130</v>
      </c>
      <c r="AV118" t="s">
        <v>485</v>
      </c>
      <c r="AW118" t="s">
        <v>486</v>
      </c>
      <c r="BF118" s="1"/>
      <c r="BG118" t="s">
        <v>266</v>
      </c>
      <c r="BH118" t="s">
        <v>487</v>
      </c>
      <c r="BP118" t="s">
        <v>1489</v>
      </c>
      <c r="BQ118" t="s">
        <v>485</v>
      </c>
    </row>
    <row r="119" spans="1:69" x14ac:dyDescent="0.25">
      <c r="A119" t="s">
        <v>5713</v>
      </c>
      <c r="B119" t="s">
        <v>474</v>
      </c>
      <c r="C119" t="s">
        <v>1679</v>
      </c>
      <c r="E119" t="s">
        <v>475</v>
      </c>
      <c r="G119" s="1" t="s">
        <v>1736</v>
      </c>
      <c r="H119" t="s">
        <v>498</v>
      </c>
      <c r="J119">
        <v>400015</v>
      </c>
      <c r="M119" t="s">
        <v>1414</v>
      </c>
      <c r="P119" t="s">
        <v>117</v>
      </c>
      <c r="R119" t="s">
        <v>715</v>
      </c>
      <c r="S119" t="s">
        <v>716</v>
      </c>
      <c r="T119" t="s">
        <v>1739</v>
      </c>
      <c r="V119" t="s">
        <v>477</v>
      </c>
      <c r="W119" t="s">
        <v>235</v>
      </c>
      <c r="AE119" t="s">
        <v>478</v>
      </c>
      <c r="AF119" t="s">
        <v>479</v>
      </c>
      <c r="AL119">
        <v>3115.4759999999997</v>
      </c>
      <c r="AM119" t="s">
        <v>717</v>
      </c>
      <c r="AO119" t="s">
        <v>480</v>
      </c>
      <c r="AP119" t="s">
        <v>481</v>
      </c>
      <c r="AQ119" t="s">
        <v>718</v>
      </c>
      <c r="AR119" t="s">
        <v>482</v>
      </c>
      <c r="AS119" t="s">
        <v>483</v>
      </c>
      <c r="AT119" t="s">
        <v>484</v>
      </c>
      <c r="AU119" t="s">
        <v>130</v>
      </c>
      <c r="AV119" t="s">
        <v>485</v>
      </c>
      <c r="AW119" t="s">
        <v>486</v>
      </c>
      <c r="BF119" s="1"/>
      <c r="BG119" t="s">
        <v>266</v>
      </c>
      <c r="BH119" t="s">
        <v>487</v>
      </c>
      <c r="BP119" t="s">
        <v>1489</v>
      </c>
      <c r="BQ119" t="s">
        <v>485</v>
      </c>
    </row>
    <row r="120" spans="1:69" x14ac:dyDescent="0.25">
      <c r="A120" t="s">
        <v>5713</v>
      </c>
      <c r="B120" t="s">
        <v>474</v>
      </c>
      <c r="C120" t="s">
        <v>1679</v>
      </c>
      <c r="E120" t="s">
        <v>475</v>
      </c>
      <c r="G120" s="1" t="s">
        <v>1736</v>
      </c>
      <c r="H120" t="s">
        <v>500</v>
      </c>
      <c r="J120">
        <v>400015</v>
      </c>
      <c r="M120" t="s">
        <v>1423</v>
      </c>
      <c r="P120" t="s">
        <v>118</v>
      </c>
      <c r="R120" t="s">
        <v>702</v>
      </c>
      <c r="S120" t="s">
        <v>703</v>
      </c>
      <c r="T120" t="s">
        <v>1740</v>
      </c>
      <c r="V120" t="s">
        <v>477</v>
      </c>
      <c r="W120" t="s">
        <v>235</v>
      </c>
      <c r="AE120" t="s">
        <v>478</v>
      </c>
      <c r="AF120" t="s">
        <v>479</v>
      </c>
      <c r="AL120">
        <v>3116.232</v>
      </c>
      <c r="AM120" t="s">
        <v>704</v>
      </c>
      <c r="AO120" t="s">
        <v>480</v>
      </c>
      <c r="AP120" t="s">
        <v>481</v>
      </c>
      <c r="AQ120" t="s">
        <v>705</v>
      </c>
      <c r="AR120" t="s">
        <v>482</v>
      </c>
      <c r="AS120" t="s">
        <v>483</v>
      </c>
      <c r="AT120" t="s">
        <v>484</v>
      </c>
      <c r="AU120" t="s">
        <v>130</v>
      </c>
      <c r="AV120" t="s">
        <v>485</v>
      </c>
      <c r="AW120" t="s">
        <v>486</v>
      </c>
      <c r="BF120" s="1"/>
      <c r="BG120" t="s">
        <v>266</v>
      </c>
      <c r="BH120" t="s">
        <v>487</v>
      </c>
      <c r="BP120" t="s">
        <v>1489</v>
      </c>
      <c r="BQ120" t="s">
        <v>485</v>
      </c>
    </row>
    <row r="121" spans="1:69" x14ac:dyDescent="0.25">
      <c r="A121" t="s">
        <v>5713</v>
      </c>
      <c r="B121" t="s">
        <v>474</v>
      </c>
      <c r="C121" t="s">
        <v>1679</v>
      </c>
      <c r="E121" t="s">
        <v>475</v>
      </c>
      <c r="G121" s="1" t="s">
        <v>1736</v>
      </c>
      <c r="H121" t="s">
        <v>517</v>
      </c>
      <c r="J121">
        <v>400015</v>
      </c>
      <c r="M121" t="s">
        <v>1425</v>
      </c>
      <c r="P121" t="s">
        <v>92</v>
      </c>
      <c r="R121" t="s">
        <v>710</v>
      </c>
      <c r="S121" t="s">
        <v>711</v>
      </c>
      <c r="T121" t="s">
        <v>1738</v>
      </c>
      <c r="V121" t="s">
        <v>477</v>
      </c>
      <c r="W121" t="s">
        <v>235</v>
      </c>
      <c r="AE121" t="s">
        <v>478</v>
      </c>
      <c r="AF121" t="s">
        <v>479</v>
      </c>
      <c r="AL121">
        <v>3690.6480000000001</v>
      </c>
      <c r="AM121" t="s">
        <v>712</v>
      </c>
      <c r="AO121" t="s">
        <v>480</v>
      </c>
      <c r="AP121" t="s">
        <v>481</v>
      </c>
      <c r="AQ121" t="s">
        <v>713</v>
      </c>
      <c r="AR121" t="s">
        <v>482</v>
      </c>
      <c r="AS121" t="s">
        <v>483</v>
      </c>
      <c r="AT121" t="s">
        <v>484</v>
      </c>
      <c r="AU121" t="s">
        <v>130</v>
      </c>
      <c r="AV121" t="s">
        <v>485</v>
      </c>
      <c r="AW121" t="s">
        <v>486</v>
      </c>
      <c r="BF121" s="1"/>
      <c r="BG121" t="s">
        <v>266</v>
      </c>
      <c r="BH121" t="s">
        <v>487</v>
      </c>
      <c r="BP121" t="s">
        <v>1489</v>
      </c>
      <c r="BQ121" t="s">
        <v>485</v>
      </c>
    </row>
    <row r="122" spans="1:69" x14ac:dyDescent="0.25">
      <c r="A122" t="s">
        <v>5713</v>
      </c>
      <c r="B122" t="s">
        <v>474</v>
      </c>
      <c r="C122" t="s">
        <v>1679</v>
      </c>
      <c r="E122" t="s">
        <v>475</v>
      </c>
      <c r="G122" s="1" t="s">
        <v>1736</v>
      </c>
      <c r="H122" t="s">
        <v>537</v>
      </c>
      <c r="J122">
        <v>400015</v>
      </c>
      <c r="M122" t="s">
        <v>1425</v>
      </c>
      <c r="P122" t="s">
        <v>92</v>
      </c>
      <c r="R122" t="s">
        <v>710</v>
      </c>
      <c r="S122" t="s">
        <v>711</v>
      </c>
      <c r="T122" t="s">
        <v>1738</v>
      </c>
      <c r="V122" t="s">
        <v>477</v>
      </c>
      <c r="W122" t="s">
        <v>235</v>
      </c>
      <c r="AE122" t="s">
        <v>478</v>
      </c>
      <c r="AF122" t="s">
        <v>479</v>
      </c>
      <c r="AL122">
        <v>3690.6480000000001</v>
      </c>
      <c r="AM122" t="s">
        <v>712</v>
      </c>
      <c r="AO122" t="s">
        <v>480</v>
      </c>
      <c r="AP122" t="s">
        <v>481</v>
      </c>
      <c r="AQ122" t="s">
        <v>713</v>
      </c>
      <c r="AR122" t="s">
        <v>482</v>
      </c>
      <c r="AS122" t="s">
        <v>483</v>
      </c>
      <c r="AT122" t="s">
        <v>484</v>
      </c>
      <c r="AU122" t="s">
        <v>130</v>
      </c>
      <c r="AV122" t="s">
        <v>485</v>
      </c>
      <c r="AW122" t="s">
        <v>486</v>
      </c>
      <c r="BF122" s="1"/>
      <c r="BG122" t="s">
        <v>266</v>
      </c>
      <c r="BH122" t="s">
        <v>487</v>
      </c>
      <c r="BP122" t="s">
        <v>1489</v>
      </c>
      <c r="BQ122" t="s">
        <v>485</v>
      </c>
    </row>
    <row r="123" spans="1:69" x14ac:dyDescent="0.25">
      <c r="A123" t="s">
        <v>5713</v>
      </c>
      <c r="B123" t="s">
        <v>474</v>
      </c>
      <c r="C123" t="s">
        <v>1679</v>
      </c>
      <c r="E123" t="s">
        <v>480</v>
      </c>
      <c r="G123" s="1" t="s">
        <v>1741</v>
      </c>
      <c r="H123" t="s">
        <v>476</v>
      </c>
      <c r="J123">
        <v>400015</v>
      </c>
      <c r="M123" t="s">
        <v>1427</v>
      </c>
      <c r="P123" t="s">
        <v>104</v>
      </c>
      <c r="R123" t="s">
        <v>586</v>
      </c>
      <c r="S123" t="s">
        <v>1742</v>
      </c>
      <c r="T123" t="s">
        <v>1743</v>
      </c>
      <c r="V123" t="s">
        <v>477</v>
      </c>
      <c r="W123" t="s">
        <v>73</v>
      </c>
      <c r="AE123" t="s">
        <v>478</v>
      </c>
      <c r="AF123" t="s">
        <v>479</v>
      </c>
      <c r="AL123">
        <v>90.87</v>
      </c>
      <c r="AM123" t="s">
        <v>675</v>
      </c>
      <c r="AO123" t="s">
        <v>480</v>
      </c>
      <c r="AP123" t="s">
        <v>481</v>
      </c>
      <c r="AQ123" t="s">
        <v>637</v>
      </c>
      <c r="AR123" t="s">
        <v>482</v>
      </c>
      <c r="AS123" t="s">
        <v>483</v>
      </c>
      <c r="AT123" t="s">
        <v>484</v>
      </c>
      <c r="AU123" t="s">
        <v>521</v>
      </c>
      <c r="AV123" t="s">
        <v>522</v>
      </c>
      <c r="AW123" t="s">
        <v>486</v>
      </c>
      <c r="BF123" s="1"/>
      <c r="BG123" t="s">
        <v>523</v>
      </c>
      <c r="BH123" t="s">
        <v>487</v>
      </c>
      <c r="BP123" t="s">
        <v>1489</v>
      </c>
      <c r="BQ123" t="s">
        <v>522</v>
      </c>
    </row>
    <row r="124" spans="1:69" x14ac:dyDescent="0.25">
      <c r="A124" t="s">
        <v>5713</v>
      </c>
      <c r="B124" t="s">
        <v>474</v>
      </c>
      <c r="C124" t="s">
        <v>1679</v>
      </c>
      <c r="E124" t="s">
        <v>480</v>
      </c>
      <c r="G124" s="1" t="s">
        <v>1741</v>
      </c>
      <c r="H124" t="s">
        <v>492</v>
      </c>
      <c r="J124">
        <v>400015</v>
      </c>
      <c r="M124" t="s">
        <v>1425</v>
      </c>
      <c r="P124" t="s">
        <v>116</v>
      </c>
      <c r="R124" t="s">
        <v>739</v>
      </c>
      <c r="S124" t="s">
        <v>1744</v>
      </c>
      <c r="T124" t="s">
        <v>1745</v>
      </c>
      <c r="V124" t="s">
        <v>477</v>
      </c>
      <c r="W124" t="s">
        <v>73</v>
      </c>
      <c r="AE124" t="s">
        <v>478</v>
      </c>
      <c r="AF124" t="s">
        <v>479</v>
      </c>
      <c r="AL124">
        <v>8.2799999999999994</v>
      </c>
      <c r="AM124" t="s">
        <v>1746</v>
      </c>
      <c r="AO124" t="s">
        <v>480</v>
      </c>
      <c r="AP124" t="s">
        <v>481</v>
      </c>
      <c r="AQ124" t="s">
        <v>645</v>
      </c>
      <c r="AR124" t="s">
        <v>482</v>
      </c>
      <c r="AS124" t="s">
        <v>483</v>
      </c>
      <c r="AT124" t="s">
        <v>484</v>
      </c>
      <c r="AU124" t="s">
        <v>521</v>
      </c>
      <c r="AV124" t="s">
        <v>522</v>
      </c>
      <c r="AW124" t="s">
        <v>486</v>
      </c>
      <c r="BF124" s="1"/>
      <c r="BG124" t="s">
        <v>523</v>
      </c>
      <c r="BH124" t="s">
        <v>487</v>
      </c>
      <c r="BP124" t="s">
        <v>1489</v>
      </c>
      <c r="BQ124" t="s">
        <v>522</v>
      </c>
    </row>
    <row r="125" spans="1:69" x14ac:dyDescent="0.25">
      <c r="A125" t="s">
        <v>5713</v>
      </c>
      <c r="B125" t="s">
        <v>474</v>
      </c>
      <c r="C125" t="s">
        <v>1679</v>
      </c>
      <c r="E125" t="s">
        <v>480</v>
      </c>
      <c r="G125" s="1" t="s">
        <v>1741</v>
      </c>
      <c r="H125" t="s">
        <v>498</v>
      </c>
      <c r="J125">
        <v>400015</v>
      </c>
      <c r="M125" t="s">
        <v>1427</v>
      </c>
      <c r="P125" t="s">
        <v>104</v>
      </c>
      <c r="R125" t="s">
        <v>550</v>
      </c>
      <c r="S125" t="s">
        <v>1747</v>
      </c>
      <c r="T125" t="s">
        <v>1748</v>
      </c>
      <c r="V125" t="s">
        <v>477</v>
      </c>
      <c r="W125" t="s">
        <v>73</v>
      </c>
      <c r="AE125" t="s">
        <v>478</v>
      </c>
      <c r="AF125" t="s">
        <v>479</v>
      </c>
      <c r="AL125">
        <v>78.753999999999991</v>
      </c>
      <c r="AM125" t="s">
        <v>551</v>
      </c>
      <c r="AO125" t="s">
        <v>480</v>
      </c>
      <c r="AP125" t="s">
        <v>481</v>
      </c>
      <c r="AQ125" t="s">
        <v>637</v>
      </c>
      <c r="AR125" t="s">
        <v>482</v>
      </c>
      <c r="AS125" t="s">
        <v>483</v>
      </c>
      <c r="AT125" t="s">
        <v>484</v>
      </c>
      <c r="AU125" t="s">
        <v>521</v>
      </c>
      <c r="AV125" t="s">
        <v>522</v>
      </c>
      <c r="AW125" t="s">
        <v>486</v>
      </c>
      <c r="BF125" s="1"/>
      <c r="BG125" t="s">
        <v>523</v>
      </c>
      <c r="BH125" t="s">
        <v>487</v>
      </c>
      <c r="BP125" t="s">
        <v>1489</v>
      </c>
      <c r="BQ125" t="s">
        <v>522</v>
      </c>
    </row>
    <row r="126" spans="1:69" x14ac:dyDescent="0.25">
      <c r="A126" t="s">
        <v>5713</v>
      </c>
      <c r="B126" t="s">
        <v>474</v>
      </c>
      <c r="C126" t="s">
        <v>1679</v>
      </c>
      <c r="E126" t="s">
        <v>480</v>
      </c>
      <c r="G126" s="1" t="s">
        <v>1741</v>
      </c>
      <c r="H126" t="s">
        <v>500</v>
      </c>
      <c r="J126">
        <v>400015</v>
      </c>
      <c r="M126" t="s">
        <v>1414</v>
      </c>
      <c r="P126" t="s">
        <v>148</v>
      </c>
      <c r="R126" t="s">
        <v>640</v>
      </c>
      <c r="S126" t="s">
        <v>1749</v>
      </c>
      <c r="T126" t="s">
        <v>1750</v>
      </c>
      <c r="V126" t="s">
        <v>477</v>
      </c>
      <c r="W126" t="s">
        <v>73</v>
      </c>
      <c r="AE126" t="s">
        <v>478</v>
      </c>
      <c r="AF126" t="s">
        <v>479</v>
      </c>
      <c r="AL126">
        <v>224.35</v>
      </c>
      <c r="AM126" t="s">
        <v>1751</v>
      </c>
      <c r="AO126" t="s">
        <v>480</v>
      </c>
      <c r="AP126" t="s">
        <v>481</v>
      </c>
      <c r="AQ126" t="s">
        <v>591</v>
      </c>
      <c r="AR126" t="s">
        <v>482</v>
      </c>
      <c r="AS126" t="s">
        <v>483</v>
      </c>
      <c r="AT126" t="s">
        <v>484</v>
      </c>
      <c r="AU126" t="s">
        <v>521</v>
      </c>
      <c r="AV126" t="s">
        <v>522</v>
      </c>
      <c r="AW126" t="s">
        <v>486</v>
      </c>
      <c r="BF126" s="1"/>
      <c r="BG126" t="s">
        <v>523</v>
      </c>
      <c r="BH126" t="s">
        <v>487</v>
      </c>
      <c r="BP126" t="s">
        <v>1489</v>
      </c>
      <c r="BQ126" t="s">
        <v>522</v>
      </c>
    </row>
    <row r="127" spans="1:69" x14ac:dyDescent="0.25">
      <c r="A127" t="s">
        <v>5713</v>
      </c>
      <c r="B127" t="s">
        <v>474</v>
      </c>
      <c r="C127" t="s">
        <v>1679</v>
      </c>
      <c r="E127" t="s">
        <v>480</v>
      </c>
      <c r="G127" s="1" t="s">
        <v>1741</v>
      </c>
      <c r="H127" t="s">
        <v>517</v>
      </c>
      <c r="J127">
        <v>400015</v>
      </c>
      <c r="M127" t="s">
        <v>1425</v>
      </c>
      <c r="P127" t="s">
        <v>110</v>
      </c>
      <c r="R127" t="s">
        <v>755</v>
      </c>
      <c r="S127" t="s">
        <v>1752</v>
      </c>
      <c r="T127" t="s">
        <v>1753</v>
      </c>
      <c r="V127" t="s">
        <v>477</v>
      </c>
      <c r="W127" t="s">
        <v>73</v>
      </c>
      <c r="AE127" t="s">
        <v>478</v>
      </c>
      <c r="AF127" t="s">
        <v>479</v>
      </c>
      <c r="AL127">
        <v>197.22500000000002</v>
      </c>
      <c r="AM127" t="s">
        <v>1697</v>
      </c>
      <c r="AO127" t="s">
        <v>480</v>
      </c>
      <c r="AP127" t="s">
        <v>481</v>
      </c>
      <c r="AQ127" t="s">
        <v>624</v>
      </c>
      <c r="AR127" t="s">
        <v>482</v>
      </c>
      <c r="AS127" t="s">
        <v>483</v>
      </c>
      <c r="AT127" t="s">
        <v>484</v>
      </c>
      <c r="AU127" t="s">
        <v>521</v>
      </c>
      <c r="AV127" t="s">
        <v>522</v>
      </c>
      <c r="AW127" t="s">
        <v>486</v>
      </c>
      <c r="BF127" s="1"/>
      <c r="BG127" t="s">
        <v>523</v>
      </c>
      <c r="BH127" t="s">
        <v>487</v>
      </c>
      <c r="BP127" t="s">
        <v>1489</v>
      </c>
      <c r="BQ127" t="s">
        <v>522</v>
      </c>
    </row>
    <row r="128" spans="1:69" x14ac:dyDescent="0.25">
      <c r="A128" t="s">
        <v>5713</v>
      </c>
      <c r="B128" t="s">
        <v>474</v>
      </c>
      <c r="C128" t="s">
        <v>1679</v>
      </c>
      <c r="E128" t="s">
        <v>480</v>
      </c>
      <c r="G128" s="1" t="s">
        <v>1741</v>
      </c>
      <c r="H128" t="s">
        <v>537</v>
      </c>
      <c r="J128">
        <v>400015</v>
      </c>
      <c r="M128" t="s">
        <v>1425</v>
      </c>
      <c r="P128" t="s">
        <v>170</v>
      </c>
      <c r="R128" t="s">
        <v>878</v>
      </c>
      <c r="S128" t="s">
        <v>1754</v>
      </c>
      <c r="T128" t="s">
        <v>1755</v>
      </c>
      <c r="V128" t="s">
        <v>477</v>
      </c>
      <c r="W128" t="s">
        <v>73</v>
      </c>
      <c r="AE128" t="s">
        <v>478</v>
      </c>
      <c r="AF128" t="s">
        <v>479</v>
      </c>
      <c r="AL128">
        <v>251.96199999999999</v>
      </c>
      <c r="AM128" t="s">
        <v>879</v>
      </c>
      <c r="AO128" t="s">
        <v>480</v>
      </c>
      <c r="AP128" t="s">
        <v>481</v>
      </c>
      <c r="AQ128" t="s">
        <v>854</v>
      </c>
      <c r="AR128" t="s">
        <v>482</v>
      </c>
      <c r="AS128" t="s">
        <v>483</v>
      </c>
      <c r="AT128" t="s">
        <v>484</v>
      </c>
      <c r="AU128" t="s">
        <v>521</v>
      </c>
      <c r="AV128" t="s">
        <v>522</v>
      </c>
      <c r="AW128" t="s">
        <v>486</v>
      </c>
      <c r="BF128" s="1"/>
      <c r="BG128" t="s">
        <v>523</v>
      </c>
      <c r="BH128" t="s">
        <v>487</v>
      </c>
      <c r="BP128" t="s">
        <v>1489</v>
      </c>
      <c r="BQ128" t="s">
        <v>522</v>
      </c>
    </row>
    <row r="129" spans="1:69" x14ac:dyDescent="0.25">
      <c r="A129" t="s">
        <v>5713</v>
      </c>
      <c r="B129" t="s">
        <v>474</v>
      </c>
      <c r="C129" t="s">
        <v>1679</v>
      </c>
      <c r="E129" t="s">
        <v>480</v>
      </c>
      <c r="G129" s="1" t="s">
        <v>1741</v>
      </c>
      <c r="H129" t="s">
        <v>542</v>
      </c>
      <c r="J129">
        <v>400015</v>
      </c>
      <c r="M129" t="s">
        <v>1425</v>
      </c>
      <c r="P129" t="s">
        <v>85</v>
      </c>
      <c r="R129" t="s">
        <v>1756</v>
      </c>
      <c r="S129" t="s">
        <v>1757</v>
      </c>
      <c r="T129" t="s">
        <v>1758</v>
      </c>
      <c r="V129" t="s">
        <v>477</v>
      </c>
      <c r="W129" t="s">
        <v>73</v>
      </c>
      <c r="AE129" t="s">
        <v>478</v>
      </c>
      <c r="AF129" t="s">
        <v>479</v>
      </c>
      <c r="AL129">
        <v>1133.423</v>
      </c>
      <c r="AM129" t="s">
        <v>1759</v>
      </c>
      <c r="AO129" t="s">
        <v>480</v>
      </c>
      <c r="AP129" t="s">
        <v>481</v>
      </c>
      <c r="AQ129" t="s">
        <v>630</v>
      </c>
      <c r="AR129" t="s">
        <v>482</v>
      </c>
      <c r="AS129" t="s">
        <v>483</v>
      </c>
      <c r="AT129" t="s">
        <v>484</v>
      </c>
      <c r="AU129" t="s">
        <v>521</v>
      </c>
      <c r="AV129" t="s">
        <v>522</v>
      </c>
      <c r="AW129" t="s">
        <v>486</v>
      </c>
      <c r="BF129" s="1"/>
      <c r="BG129" t="s">
        <v>523</v>
      </c>
      <c r="BH129" t="s">
        <v>487</v>
      </c>
      <c r="BP129" t="s">
        <v>1489</v>
      </c>
      <c r="BQ129" t="s">
        <v>522</v>
      </c>
    </row>
    <row r="130" spans="1:69" x14ac:dyDescent="0.25">
      <c r="A130" t="s">
        <v>5713</v>
      </c>
      <c r="B130" t="s">
        <v>474</v>
      </c>
      <c r="C130" t="s">
        <v>1679</v>
      </c>
      <c r="E130" t="s">
        <v>480</v>
      </c>
      <c r="G130" s="1" t="s">
        <v>1741</v>
      </c>
      <c r="H130" t="s">
        <v>546</v>
      </c>
      <c r="J130">
        <v>400015</v>
      </c>
      <c r="M130" t="s">
        <v>1420</v>
      </c>
      <c r="P130" t="s">
        <v>156</v>
      </c>
      <c r="R130" t="s">
        <v>565</v>
      </c>
      <c r="S130" t="s">
        <v>1760</v>
      </c>
      <c r="T130" t="s">
        <v>1761</v>
      </c>
      <c r="V130" t="s">
        <v>477</v>
      </c>
      <c r="W130" t="s">
        <v>73</v>
      </c>
      <c r="AE130" t="s">
        <v>478</v>
      </c>
      <c r="AF130" t="s">
        <v>479</v>
      </c>
      <c r="AL130">
        <v>67.787999999999997</v>
      </c>
      <c r="AM130" t="s">
        <v>606</v>
      </c>
      <c r="AO130" t="s">
        <v>480</v>
      </c>
      <c r="AP130" t="s">
        <v>481</v>
      </c>
      <c r="AQ130" t="s">
        <v>615</v>
      </c>
      <c r="AR130" t="s">
        <v>482</v>
      </c>
      <c r="AS130" t="s">
        <v>483</v>
      </c>
      <c r="AT130" t="s">
        <v>484</v>
      </c>
      <c r="AU130" t="s">
        <v>521</v>
      </c>
      <c r="AV130" t="s">
        <v>522</v>
      </c>
      <c r="AW130" t="s">
        <v>486</v>
      </c>
      <c r="BF130" s="1"/>
      <c r="BG130" t="s">
        <v>523</v>
      </c>
      <c r="BH130" t="s">
        <v>487</v>
      </c>
      <c r="BP130" t="s">
        <v>1489</v>
      </c>
      <c r="BQ130" t="s">
        <v>522</v>
      </c>
    </row>
    <row r="131" spans="1:69" x14ac:dyDescent="0.25">
      <c r="A131" t="s">
        <v>5713</v>
      </c>
      <c r="B131" t="s">
        <v>474</v>
      </c>
      <c r="C131" t="s">
        <v>1679</v>
      </c>
      <c r="E131" t="s">
        <v>480</v>
      </c>
      <c r="G131" s="1" t="s">
        <v>1741</v>
      </c>
      <c r="H131" t="s">
        <v>549</v>
      </c>
      <c r="J131">
        <v>400015</v>
      </c>
      <c r="M131" t="s">
        <v>1420</v>
      </c>
      <c r="P131" t="s">
        <v>88</v>
      </c>
      <c r="R131" t="s">
        <v>827</v>
      </c>
      <c r="S131" t="s">
        <v>1762</v>
      </c>
      <c r="T131" t="s">
        <v>1763</v>
      </c>
      <c r="V131" t="s">
        <v>477</v>
      </c>
      <c r="W131" t="s">
        <v>73</v>
      </c>
      <c r="AE131" t="s">
        <v>478</v>
      </c>
      <c r="AF131" t="s">
        <v>479</v>
      </c>
      <c r="AL131">
        <v>196.09200000000001</v>
      </c>
      <c r="AM131" t="s">
        <v>870</v>
      </c>
      <c r="AO131" t="s">
        <v>480</v>
      </c>
      <c r="AP131" t="s">
        <v>481</v>
      </c>
      <c r="AQ131" t="s">
        <v>597</v>
      </c>
      <c r="AR131" t="s">
        <v>482</v>
      </c>
      <c r="AS131" t="s">
        <v>483</v>
      </c>
      <c r="AT131" t="s">
        <v>484</v>
      </c>
      <c r="AU131" t="s">
        <v>521</v>
      </c>
      <c r="AV131" t="s">
        <v>522</v>
      </c>
      <c r="AW131" t="s">
        <v>486</v>
      </c>
      <c r="BF131" s="1"/>
      <c r="BG131" t="s">
        <v>523</v>
      </c>
      <c r="BH131" t="s">
        <v>487</v>
      </c>
      <c r="BP131" t="s">
        <v>1489</v>
      </c>
      <c r="BQ131" t="s">
        <v>522</v>
      </c>
    </row>
    <row r="132" spans="1:69" x14ac:dyDescent="0.25">
      <c r="A132" t="s">
        <v>5713</v>
      </c>
      <c r="B132" t="s">
        <v>474</v>
      </c>
      <c r="C132" t="s">
        <v>1679</v>
      </c>
      <c r="E132" t="s">
        <v>480</v>
      </c>
      <c r="G132" s="1" t="s">
        <v>1741</v>
      </c>
      <c r="H132" t="s">
        <v>553</v>
      </c>
      <c r="J132">
        <v>400015</v>
      </c>
      <c r="M132" t="s">
        <v>1425</v>
      </c>
      <c r="P132" t="s">
        <v>116</v>
      </c>
      <c r="R132" t="s">
        <v>753</v>
      </c>
      <c r="S132" t="s">
        <v>1592</v>
      </c>
      <c r="T132" t="s">
        <v>1593</v>
      </c>
      <c r="V132" t="s">
        <v>477</v>
      </c>
      <c r="W132" t="s">
        <v>73</v>
      </c>
      <c r="AE132" t="s">
        <v>478</v>
      </c>
      <c r="AF132" t="s">
        <v>479</v>
      </c>
      <c r="AL132">
        <v>16.559999999999999</v>
      </c>
      <c r="AM132" t="s">
        <v>816</v>
      </c>
      <c r="AO132" t="s">
        <v>480</v>
      </c>
      <c r="AP132" t="s">
        <v>481</v>
      </c>
      <c r="AQ132" t="s">
        <v>645</v>
      </c>
      <c r="AR132" t="s">
        <v>482</v>
      </c>
      <c r="AS132" t="s">
        <v>483</v>
      </c>
      <c r="AT132" t="s">
        <v>484</v>
      </c>
      <c r="AU132" t="s">
        <v>521</v>
      </c>
      <c r="AV132" t="s">
        <v>522</v>
      </c>
      <c r="AW132" t="s">
        <v>486</v>
      </c>
      <c r="BF132" s="1"/>
      <c r="BG132" t="s">
        <v>523</v>
      </c>
      <c r="BH132" t="s">
        <v>487</v>
      </c>
      <c r="BP132" t="s">
        <v>1489</v>
      </c>
      <c r="BQ132" t="s">
        <v>522</v>
      </c>
    </row>
    <row r="133" spans="1:69" x14ac:dyDescent="0.25">
      <c r="A133" t="s">
        <v>5713</v>
      </c>
      <c r="B133" t="s">
        <v>474</v>
      </c>
      <c r="C133" t="s">
        <v>1679</v>
      </c>
      <c r="E133" t="s">
        <v>480</v>
      </c>
      <c r="G133" s="1" t="s">
        <v>1741</v>
      </c>
      <c r="H133" t="s">
        <v>556</v>
      </c>
      <c r="J133">
        <v>400015</v>
      </c>
      <c r="M133" t="s">
        <v>1423</v>
      </c>
      <c r="P133" t="s">
        <v>80</v>
      </c>
      <c r="R133" t="s">
        <v>764</v>
      </c>
      <c r="S133" t="s">
        <v>1764</v>
      </c>
      <c r="T133" t="s">
        <v>1765</v>
      </c>
      <c r="V133" t="s">
        <v>477</v>
      </c>
      <c r="W133" t="s">
        <v>73</v>
      </c>
      <c r="AE133" t="s">
        <v>478</v>
      </c>
      <c r="AF133" t="s">
        <v>479</v>
      </c>
      <c r="AL133">
        <v>294.06</v>
      </c>
      <c r="AM133" t="s">
        <v>802</v>
      </c>
      <c r="AO133" t="s">
        <v>480</v>
      </c>
      <c r="AP133" t="s">
        <v>481</v>
      </c>
      <c r="AQ133" t="s">
        <v>603</v>
      </c>
      <c r="AR133" t="s">
        <v>482</v>
      </c>
      <c r="AS133" t="s">
        <v>483</v>
      </c>
      <c r="AT133" t="s">
        <v>484</v>
      </c>
      <c r="AU133" t="s">
        <v>521</v>
      </c>
      <c r="AV133" t="s">
        <v>522</v>
      </c>
      <c r="AW133" t="s">
        <v>486</v>
      </c>
      <c r="BF133" s="1"/>
      <c r="BG133" t="s">
        <v>523</v>
      </c>
      <c r="BH133" t="s">
        <v>487</v>
      </c>
      <c r="BP133" t="s">
        <v>1489</v>
      </c>
      <c r="BQ133" t="s">
        <v>522</v>
      </c>
    </row>
    <row r="134" spans="1:69" x14ac:dyDescent="0.25">
      <c r="A134" t="s">
        <v>5713</v>
      </c>
      <c r="B134" t="s">
        <v>474</v>
      </c>
      <c r="C134" t="s">
        <v>1679</v>
      </c>
      <c r="E134" t="s">
        <v>480</v>
      </c>
      <c r="G134" s="1" t="s">
        <v>1741</v>
      </c>
      <c r="H134" t="s">
        <v>559</v>
      </c>
      <c r="J134">
        <v>400015</v>
      </c>
      <c r="M134" t="s">
        <v>1422</v>
      </c>
      <c r="P134" t="s">
        <v>77</v>
      </c>
      <c r="R134" t="s">
        <v>1766</v>
      </c>
      <c r="S134" t="s">
        <v>1767</v>
      </c>
      <c r="T134" t="s">
        <v>1768</v>
      </c>
      <c r="V134" t="s">
        <v>477</v>
      </c>
      <c r="W134" t="s">
        <v>73</v>
      </c>
      <c r="AE134" t="s">
        <v>478</v>
      </c>
      <c r="AF134" t="s">
        <v>479</v>
      </c>
      <c r="AL134">
        <v>795.83399999999995</v>
      </c>
      <c r="AM134" t="s">
        <v>1769</v>
      </c>
      <c r="AO134" t="s">
        <v>480</v>
      </c>
      <c r="AP134" t="s">
        <v>481</v>
      </c>
      <c r="AQ134" t="s">
        <v>533</v>
      </c>
      <c r="AR134" t="s">
        <v>482</v>
      </c>
      <c r="AS134" t="s">
        <v>483</v>
      </c>
      <c r="AT134" t="s">
        <v>484</v>
      </c>
      <c r="AU134" t="s">
        <v>521</v>
      </c>
      <c r="AV134" t="s">
        <v>522</v>
      </c>
      <c r="AW134" t="s">
        <v>486</v>
      </c>
      <c r="BF134" s="1"/>
      <c r="BG134" t="s">
        <v>523</v>
      </c>
      <c r="BH134" t="s">
        <v>487</v>
      </c>
      <c r="BP134" t="s">
        <v>1489</v>
      </c>
      <c r="BQ134" t="s">
        <v>522</v>
      </c>
    </row>
    <row r="135" spans="1:69" x14ac:dyDescent="0.25">
      <c r="A135" t="s">
        <v>5713</v>
      </c>
      <c r="B135" t="s">
        <v>474</v>
      </c>
      <c r="C135" t="s">
        <v>1679</v>
      </c>
      <c r="E135" t="s">
        <v>480</v>
      </c>
      <c r="G135" s="1" t="s">
        <v>1741</v>
      </c>
      <c r="H135" t="s">
        <v>562</v>
      </c>
      <c r="J135">
        <v>400015</v>
      </c>
      <c r="M135" t="s">
        <v>1415</v>
      </c>
      <c r="P135" t="s">
        <v>87</v>
      </c>
      <c r="R135" t="s">
        <v>565</v>
      </c>
      <c r="S135" t="s">
        <v>1681</v>
      </c>
      <c r="T135" t="s">
        <v>1682</v>
      </c>
      <c r="V135" t="s">
        <v>477</v>
      </c>
      <c r="W135" t="s">
        <v>73</v>
      </c>
      <c r="AE135" t="s">
        <v>478</v>
      </c>
      <c r="AF135" t="s">
        <v>479</v>
      </c>
      <c r="AL135">
        <v>39.816000000000003</v>
      </c>
      <c r="AM135" t="s">
        <v>644</v>
      </c>
      <c r="AO135" t="s">
        <v>480</v>
      </c>
      <c r="AP135" t="s">
        <v>481</v>
      </c>
      <c r="AQ135" t="s">
        <v>552</v>
      </c>
      <c r="AR135" t="s">
        <v>482</v>
      </c>
      <c r="AS135" t="s">
        <v>483</v>
      </c>
      <c r="AT135" t="s">
        <v>484</v>
      </c>
      <c r="AU135" t="s">
        <v>521</v>
      </c>
      <c r="AV135" t="s">
        <v>522</v>
      </c>
      <c r="AW135" t="s">
        <v>486</v>
      </c>
      <c r="BF135" s="1"/>
      <c r="BG135" t="s">
        <v>523</v>
      </c>
      <c r="BH135" t="s">
        <v>487</v>
      </c>
      <c r="BP135" t="s">
        <v>1489</v>
      </c>
      <c r="BQ135" t="s">
        <v>522</v>
      </c>
    </row>
    <row r="136" spans="1:69" x14ac:dyDescent="0.25">
      <c r="A136" t="s">
        <v>5713</v>
      </c>
      <c r="B136" t="s">
        <v>474</v>
      </c>
      <c r="C136" t="s">
        <v>1679</v>
      </c>
      <c r="E136" t="s">
        <v>480</v>
      </c>
      <c r="G136" s="1" t="s">
        <v>1741</v>
      </c>
      <c r="H136" t="s">
        <v>564</v>
      </c>
      <c r="J136">
        <v>400015</v>
      </c>
      <c r="M136" t="s">
        <v>1423</v>
      </c>
      <c r="P136" t="s">
        <v>124</v>
      </c>
      <c r="R136" t="s">
        <v>1770</v>
      </c>
      <c r="S136" t="s">
        <v>1771</v>
      </c>
      <c r="T136" t="s">
        <v>1772</v>
      </c>
      <c r="V136" t="s">
        <v>477</v>
      </c>
      <c r="W136" t="s">
        <v>73</v>
      </c>
      <c r="AE136" t="s">
        <v>478</v>
      </c>
      <c r="AF136" t="s">
        <v>479</v>
      </c>
      <c r="AL136">
        <v>356.54999999999995</v>
      </c>
      <c r="AM136" t="s">
        <v>1773</v>
      </c>
      <c r="AO136" t="s">
        <v>480</v>
      </c>
      <c r="AP136" t="s">
        <v>481</v>
      </c>
      <c r="AQ136" t="s">
        <v>588</v>
      </c>
      <c r="AR136" t="s">
        <v>482</v>
      </c>
      <c r="AS136" t="s">
        <v>483</v>
      </c>
      <c r="AT136" t="s">
        <v>484</v>
      </c>
      <c r="AU136" t="s">
        <v>521</v>
      </c>
      <c r="AV136" t="s">
        <v>522</v>
      </c>
      <c r="AW136" t="s">
        <v>486</v>
      </c>
      <c r="BF136" s="1"/>
      <c r="BG136" t="s">
        <v>523</v>
      </c>
      <c r="BH136" t="s">
        <v>487</v>
      </c>
      <c r="BP136" t="s">
        <v>1489</v>
      </c>
      <c r="BQ136" t="s">
        <v>522</v>
      </c>
    </row>
    <row r="137" spans="1:69" x14ac:dyDescent="0.25">
      <c r="A137" t="s">
        <v>5713</v>
      </c>
      <c r="B137" t="s">
        <v>474</v>
      </c>
      <c r="C137" t="s">
        <v>1679</v>
      </c>
      <c r="E137" t="s">
        <v>480</v>
      </c>
      <c r="G137" s="1" t="s">
        <v>1741</v>
      </c>
      <c r="H137" t="s">
        <v>567</v>
      </c>
      <c r="J137">
        <v>400015</v>
      </c>
      <c r="M137" t="s">
        <v>1428</v>
      </c>
      <c r="P137" t="s">
        <v>113</v>
      </c>
      <c r="R137" t="s">
        <v>915</v>
      </c>
      <c r="S137" t="s">
        <v>1774</v>
      </c>
      <c r="T137" t="s">
        <v>1775</v>
      </c>
      <c r="V137" t="s">
        <v>477</v>
      </c>
      <c r="W137" t="s">
        <v>73</v>
      </c>
      <c r="AE137" t="s">
        <v>478</v>
      </c>
      <c r="AF137" t="s">
        <v>479</v>
      </c>
      <c r="AL137">
        <v>383.55200000000002</v>
      </c>
      <c r="AM137" t="s">
        <v>1776</v>
      </c>
      <c r="AO137" t="s">
        <v>480</v>
      </c>
      <c r="AP137" t="s">
        <v>481</v>
      </c>
      <c r="AQ137" t="s">
        <v>657</v>
      </c>
      <c r="AR137" t="s">
        <v>482</v>
      </c>
      <c r="AS137" t="s">
        <v>483</v>
      </c>
      <c r="AT137" t="s">
        <v>484</v>
      </c>
      <c r="AU137" t="s">
        <v>521</v>
      </c>
      <c r="AV137" t="s">
        <v>522</v>
      </c>
      <c r="AW137" t="s">
        <v>486</v>
      </c>
      <c r="BF137" s="1"/>
      <c r="BG137" t="s">
        <v>523</v>
      </c>
      <c r="BH137" t="s">
        <v>487</v>
      </c>
      <c r="BP137" t="s">
        <v>1489</v>
      </c>
      <c r="BQ137" t="s">
        <v>522</v>
      </c>
    </row>
    <row r="138" spans="1:69" x14ac:dyDescent="0.25">
      <c r="A138" t="s">
        <v>5713</v>
      </c>
      <c r="B138" t="s">
        <v>474</v>
      </c>
      <c r="C138" t="s">
        <v>1679</v>
      </c>
      <c r="E138" t="s">
        <v>480</v>
      </c>
      <c r="G138" s="1" t="s">
        <v>1741</v>
      </c>
      <c r="H138" t="s">
        <v>571</v>
      </c>
      <c r="J138">
        <v>400015</v>
      </c>
      <c r="M138" t="s">
        <v>1420</v>
      </c>
      <c r="P138" t="s">
        <v>105</v>
      </c>
      <c r="R138" t="s">
        <v>605</v>
      </c>
      <c r="S138" t="s">
        <v>1777</v>
      </c>
      <c r="T138" t="s">
        <v>1778</v>
      </c>
      <c r="V138" t="s">
        <v>477</v>
      </c>
      <c r="W138" t="s">
        <v>73</v>
      </c>
      <c r="AE138" t="s">
        <v>478</v>
      </c>
      <c r="AF138" t="s">
        <v>479</v>
      </c>
      <c r="AL138">
        <v>56.432000000000002</v>
      </c>
      <c r="AM138" t="s">
        <v>606</v>
      </c>
      <c r="AO138" t="s">
        <v>480</v>
      </c>
      <c r="AP138" t="s">
        <v>481</v>
      </c>
      <c r="AQ138" t="s">
        <v>607</v>
      </c>
      <c r="AR138" t="s">
        <v>482</v>
      </c>
      <c r="AS138" t="s">
        <v>483</v>
      </c>
      <c r="AT138" t="s">
        <v>484</v>
      </c>
      <c r="AU138" t="s">
        <v>521</v>
      </c>
      <c r="AV138" t="s">
        <v>522</v>
      </c>
      <c r="AW138" t="s">
        <v>486</v>
      </c>
      <c r="BF138" s="1"/>
      <c r="BG138" t="s">
        <v>523</v>
      </c>
      <c r="BH138" t="s">
        <v>487</v>
      </c>
      <c r="BP138" t="s">
        <v>1489</v>
      </c>
      <c r="BQ138" t="s">
        <v>522</v>
      </c>
    </row>
    <row r="139" spans="1:69" x14ac:dyDescent="0.25">
      <c r="A139" t="s">
        <v>5713</v>
      </c>
      <c r="B139" t="s">
        <v>474</v>
      </c>
      <c r="C139" t="s">
        <v>1679</v>
      </c>
      <c r="E139" t="s">
        <v>480</v>
      </c>
      <c r="G139" s="1" t="s">
        <v>1741</v>
      </c>
      <c r="H139" t="s">
        <v>575</v>
      </c>
      <c r="J139">
        <v>400015</v>
      </c>
      <c r="M139" t="s">
        <v>1423</v>
      </c>
      <c r="P139" t="s">
        <v>111</v>
      </c>
      <c r="R139" t="s">
        <v>914</v>
      </c>
      <c r="S139" t="s">
        <v>1779</v>
      </c>
      <c r="T139" t="s">
        <v>1780</v>
      </c>
      <c r="V139" t="s">
        <v>477</v>
      </c>
      <c r="W139" t="s">
        <v>73</v>
      </c>
      <c r="AE139" t="s">
        <v>478</v>
      </c>
      <c r="AF139" t="s">
        <v>479</v>
      </c>
      <c r="AL139">
        <v>413.78000000000003</v>
      </c>
      <c r="AM139" t="s">
        <v>1781</v>
      </c>
      <c r="AO139" t="s">
        <v>480</v>
      </c>
      <c r="AP139" t="s">
        <v>481</v>
      </c>
      <c r="AQ139" t="s">
        <v>548</v>
      </c>
      <c r="AR139" t="s">
        <v>482</v>
      </c>
      <c r="AS139" t="s">
        <v>483</v>
      </c>
      <c r="AT139" t="s">
        <v>484</v>
      </c>
      <c r="AU139" t="s">
        <v>521</v>
      </c>
      <c r="AV139" t="s">
        <v>522</v>
      </c>
      <c r="AW139" t="s">
        <v>486</v>
      </c>
      <c r="BF139" s="1"/>
      <c r="BG139" t="s">
        <v>523</v>
      </c>
      <c r="BH139" t="s">
        <v>487</v>
      </c>
      <c r="BP139" t="s">
        <v>1489</v>
      </c>
      <c r="BQ139" t="s">
        <v>522</v>
      </c>
    </row>
    <row r="140" spans="1:69" x14ac:dyDescent="0.25">
      <c r="A140" t="s">
        <v>5713</v>
      </c>
      <c r="B140" t="s">
        <v>474</v>
      </c>
      <c r="C140" t="s">
        <v>1679</v>
      </c>
      <c r="E140" t="s">
        <v>480</v>
      </c>
      <c r="G140" s="1" t="s">
        <v>1741</v>
      </c>
      <c r="H140" t="s">
        <v>578</v>
      </c>
      <c r="J140">
        <v>400015</v>
      </c>
      <c r="M140" t="s">
        <v>1420</v>
      </c>
      <c r="P140" t="s">
        <v>103</v>
      </c>
      <c r="R140" t="s">
        <v>653</v>
      </c>
      <c r="S140" t="s">
        <v>1782</v>
      </c>
      <c r="T140" t="s">
        <v>1783</v>
      </c>
      <c r="V140" t="s">
        <v>477</v>
      </c>
      <c r="W140" t="s">
        <v>73</v>
      </c>
      <c r="AE140" t="s">
        <v>478</v>
      </c>
      <c r="AF140" t="s">
        <v>479</v>
      </c>
      <c r="AL140">
        <v>141.96</v>
      </c>
      <c r="AM140" t="s">
        <v>1713</v>
      </c>
      <c r="AO140" t="s">
        <v>480</v>
      </c>
      <c r="AP140" t="s">
        <v>481</v>
      </c>
      <c r="AQ140" t="s">
        <v>545</v>
      </c>
      <c r="AR140" t="s">
        <v>482</v>
      </c>
      <c r="AS140" t="s">
        <v>483</v>
      </c>
      <c r="AT140" t="s">
        <v>484</v>
      </c>
      <c r="AU140" t="s">
        <v>521</v>
      </c>
      <c r="AV140" t="s">
        <v>522</v>
      </c>
      <c r="AW140" t="s">
        <v>486</v>
      </c>
      <c r="BF140" s="1"/>
      <c r="BG140" t="s">
        <v>523</v>
      </c>
      <c r="BH140" t="s">
        <v>487</v>
      </c>
      <c r="BP140" t="s">
        <v>1489</v>
      </c>
      <c r="BQ140" t="s">
        <v>522</v>
      </c>
    </row>
    <row r="141" spans="1:69" x14ac:dyDescent="0.25">
      <c r="A141" t="s">
        <v>5713</v>
      </c>
      <c r="B141" t="s">
        <v>474</v>
      </c>
      <c r="C141" t="s">
        <v>1679</v>
      </c>
      <c r="E141" t="s">
        <v>480</v>
      </c>
      <c r="G141" s="1" t="s">
        <v>1741</v>
      </c>
      <c r="H141" t="s">
        <v>581</v>
      </c>
      <c r="J141">
        <v>400015</v>
      </c>
      <c r="M141" t="s">
        <v>1415</v>
      </c>
      <c r="P141" t="s">
        <v>129</v>
      </c>
      <c r="R141" t="s">
        <v>1770</v>
      </c>
      <c r="S141" t="s">
        <v>1784</v>
      </c>
      <c r="T141" t="s">
        <v>1785</v>
      </c>
      <c r="V141" t="s">
        <v>477</v>
      </c>
      <c r="W141" t="s">
        <v>73</v>
      </c>
      <c r="AE141" t="s">
        <v>478</v>
      </c>
      <c r="AF141" t="s">
        <v>479</v>
      </c>
      <c r="AL141">
        <v>234.97499999999999</v>
      </c>
      <c r="AM141" t="s">
        <v>1786</v>
      </c>
      <c r="AO141" t="s">
        <v>480</v>
      </c>
      <c r="AP141" t="s">
        <v>481</v>
      </c>
      <c r="AQ141" t="s">
        <v>691</v>
      </c>
      <c r="AR141" t="s">
        <v>482</v>
      </c>
      <c r="AS141" t="s">
        <v>483</v>
      </c>
      <c r="AT141" t="s">
        <v>484</v>
      </c>
      <c r="AU141" t="s">
        <v>521</v>
      </c>
      <c r="AV141" t="s">
        <v>522</v>
      </c>
      <c r="AW141" t="s">
        <v>486</v>
      </c>
      <c r="BF141" s="1"/>
      <c r="BG141" t="s">
        <v>523</v>
      </c>
      <c r="BH141" t="s">
        <v>487</v>
      </c>
      <c r="BP141" t="s">
        <v>1489</v>
      </c>
      <c r="BQ141" t="s">
        <v>522</v>
      </c>
    </row>
    <row r="142" spans="1:69" x14ac:dyDescent="0.25">
      <c r="A142" t="s">
        <v>5713</v>
      </c>
      <c r="B142" t="s">
        <v>474</v>
      </c>
      <c r="C142" t="s">
        <v>1679</v>
      </c>
      <c r="E142" t="s">
        <v>480</v>
      </c>
      <c r="G142" s="1" t="s">
        <v>1741</v>
      </c>
      <c r="H142" t="s">
        <v>585</v>
      </c>
      <c r="J142">
        <v>400015</v>
      </c>
      <c r="M142" t="s">
        <v>1422</v>
      </c>
      <c r="P142" t="s">
        <v>112</v>
      </c>
      <c r="R142" t="s">
        <v>909</v>
      </c>
      <c r="S142" t="s">
        <v>1787</v>
      </c>
      <c r="T142" t="s">
        <v>1788</v>
      </c>
      <c r="V142" t="s">
        <v>477</v>
      </c>
      <c r="W142" t="s">
        <v>73</v>
      </c>
      <c r="AE142" t="s">
        <v>478</v>
      </c>
      <c r="AF142" t="s">
        <v>479</v>
      </c>
      <c r="AL142">
        <v>457.21699999999998</v>
      </c>
      <c r="AM142" t="s">
        <v>910</v>
      </c>
      <c r="AO142" t="s">
        <v>480</v>
      </c>
      <c r="AP142" t="s">
        <v>481</v>
      </c>
      <c r="AQ142" t="s">
        <v>577</v>
      </c>
      <c r="AR142" t="s">
        <v>482</v>
      </c>
      <c r="AS142" t="s">
        <v>483</v>
      </c>
      <c r="AT142" t="s">
        <v>484</v>
      </c>
      <c r="AU142" t="s">
        <v>521</v>
      </c>
      <c r="AV142" t="s">
        <v>522</v>
      </c>
      <c r="AW142" t="s">
        <v>486</v>
      </c>
      <c r="BF142" s="1"/>
      <c r="BG142" t="s">
        <v>523</v>
      </c>
      <c r="BH142" t="s">
        <v>487</v>
      </c>
      <c r="BP142" t="s">
        <v>1489</v>
      </c>
      <c r="BQ142" t="s">
        <v>522</v>
      </c>
    </row>
    <row r="143" spans="1:69" x14ac:dyDescent="0.25">
      <c r="A143" t="s">
        <v>5713</v>
      </c>
      <c r="B143" t="s">
        <v>474</v>
      </c>
      <c r="C143" t="s">
        <v>1679</v>
      </c>
      <c r="E143" t="s">
        <v>480</v>
      </c>
      <c r="G143" s="1" t="s">
        <v>1741</v>
      </c>
      <c r="H143" t="s">
        <v>589</v>
      </c>
      <c r="J143">
        <v>400015</v>
      </c>
      <c r="M143" t="s">
        <v>1420</v>
      </c>
      <c r="P143" t="s">
        <v>109</v>
      </c>
      <c r="R143" t="s">
        <v>665</v>
      </c>
      <c r="S143" t="s">
        <v>1789</v>
      </c>
      <c r="T143" t="s">
        <v>1790</v>
      </c>
      <c r="V143" t="s">
        <v>477</v>
      </c>
      <c r="W143" t="s">
        <v>73</v>
      </c>
      <c r="AE143" t="s">
        <v>478</v>
      </c>
      <c r="AF143" t="s">
        <v>479</v>
      </c>
      <c r="AL143">
        <v>87.48</v>
      </c>
      <c r="AM143" t="s">
        <v>1791</v>
      </c>
      <c r="AO143" t="s">
        <v>480</v>
      </c>
      <c r="AP143" t="s">
        <v>481</v>
      </c>
      <c r="AQ143" t="s">
        <v>536</v>
      </c>
      <c r="AR143" t="s">
        <v>482</v>
      </c>
      <c r="AS143" t="s">
        <v>483</v>
      </c>
      <c r="AT143" t="s">
        <v>484</v>
      </c>
      <c r="AU143" t="s">
        <v>521</v>
      </c>
      <c r="AV143" t="s">
        <v>522</v>
      </c>
      <c r="AW143" t="s">
        <v>486</v>
      </c>
      <c r="BF143" s="1"/>
      <c r="BG143" t="s">
        <v>523</v>
      </c>
      <c r="BH143" t="s">
        <v>487</v>
      </c>
      <c r="BP143" t="s">
        <v>1489</v>
      </c>
      <c r="BQ143" t="s">
        <v>522</v>
      </c>
    </row>
    <row r="144" spans="1:69" x14ac:dyDescent="0.25">
      <c r="A144" t="s">
        <v>5713</v>
      </c>
      <c r="B144" t="s">
        <v>474</v>
      </c>
      <c r="C144" t="s">
        <v>1679</v>
      </c>
      <c r="E144" t="s">
        <v>480</v>
      </c>
      <c r="G144" s="1" t="s">
        <v>1741</v>
      </c>
      <c r="H144" t="s">
        <v>592</v>
      </c>
      <c r="J144">
        <v>400015</v>
      </c>
      <c r="M144" t="s">
        <v>1414</v>
      </c>
      <c r="P144" t="s">
        <v>79</v>
      </c>
      <c r="R144" t="s">
        <v>1792</v>
      </c>
      <c r="S144" t="s">
        <v>1793</v>
      </c>
      <c r="T144" t="s">
        <v>1794</v>
      </c>
      <c r="V144" t="s">
        <v>477</v>
      </c>
      <c r="W144" t="s">
        <v>73</v>
      </c>
      <c r="AE144" t="s">
        <v>478</v>
      </c>
      <c r="AF144" t="s">
        <v>479</v>
      </c>
      <c r="AL144">
        <v>1127.9159999999999</v>
      </c>
      <c r="AM144" t="s">
        <v>1769</v>
      </c>
      <c r="AO144" t="s">
        <v>480</v>
      </c>
      <c r="AP144" t="s">
        <v>481</v>
      </c>
      <c r="AQ144" t="s">
        <v>932</v>
      </c>
      <c r="AR144" t="s">
        <v>482</v>
      </c>
      <c r="AS144" t="s">
        <v>483</v>
      </c>
      <c r="AT144" t="s">
        <v>484</v>
      </c>
      <c r="AU144" t="s">
        <v>521</v>
      </c>
      <c r="AV144" t="s">
        <v>522</v>
      </c>
      <c r="AW144" t="s">
        <v>486</v>
      </c>
      <c r="BF144" s="1"/>
      <c r="BG144" t="s">
        <v>523</v>
      </c>
      <c r="BH144" t="s">
        <v>487</v>
      </c>
      <c r="BP144" t="s">
        <v>1489</v>
      </c>
      <c r="BQ144" t="s">
        <v>522</v>
      </c>
    </row>
    <row r="145" spans="1:69" x14ac:dyDescent="0.25">
      <c r="A145" t="s">
        <v>5713</v>
      </c>
      <c r="B145" t="s">
        <v>474</v>
      </c>
      <c r="C145" t="s">
        <v>1679</v>
      </c>
      <c r="E145" t="s">
        <v>480</v>
      </c>
      <c r="G145" s="1" t="s">
        <v>1741</v>
      </c>
      <c r="H145" t="s">
        <v>598</v>
      </c>
      <c r="J145">
        <v>400015</v>
      </c>
      <c r="M145" t="s">
        <v>1420</v>
      </c>
      <c r="P145" t="s">
        <v>105</v>
      </c>
      <c r="R145" t="s">
        <v>739</v>
      </c>
      <c r="S145" t="s">
        <v>1795</v>
      </c>
      <c r="T145" t="s">
        <v>1796</v>
      </c>
      <c r="V145" t="s">
        <v>477</v>
      </c>
      <c r="W145" t="s">
        <v>73</v>
      </c>
      <c r="AE145" t="s">
        <v>478</v>
      </c>
      <c r="AF145" t="s">
        <v>479</v>
      </c>
      <c r="AL145">
        <v>14.108000000000001</v>
      </c>
      <c r="AM145" t="s">
        <v>816</v>
      </c>
      <c r="AO145" t="s">
        <v>480</v>
      </c>
      <c r="AP145" t="s">
        <v>481</v>
      </c>
      <c r="AQ145" t="s">
        <v>607</v>
      </c>
      <c r="AR145" t="s">
        <v>482</v>
      </c>
      <c r="AS145" t="s">
        <v>483</v>
      </c>
      <c r="AT145" t="s">
        <v>484</v>
      </c>
      <c r="AU145" t="s">
        <v>521</v>
      </c>
      <c r="AV145" t="s">
        <v>522</v>
      </c>
      <c r="AW145" t="s">
        <v>486</v>
      </c>
      <c r="BF145" s="1"/>
      <c r="BG145" t="s">
        <v>523</v>
      </c>
      <c r="BH145" t="s">
        <v>487</v>
      </c>
      <c r="BP145" t="s">
        <v>1489</v>
      </c>
      <c r="BQ145" t="s">
        <v>522</v>
      </c>
    </row>
    <row r="146" spans="1:69" x14ac:dyDescent="0.25">
      <c r="A146" t="s">
        <v>5713</v>
      </c>
      <c r="B146" t="s">
        <v>474</v>
      </c>
      <c r="C146" t="s">
        <v>1679</v>
      </c>
      <c r="E146" t="s">
        <v>480</v>
      </c>
      <c r="G146" s="1" t="s">
        <v>1741</v>
      </c>
      <c r="H146" t="s">
        <v>600</v>
      </c>
      <c r="J146">
        <v>400015</v>
      </c>
      <c r="M146" t="s">
        <v>1415</v>
      </c>
      <c r="P146" t="s">
        <v>87</v>
      </c>
      <c r="R146" t="s">
        <v>579</v>
      </c>
      <c r="S146" t="s">
        <v>1797</v>
      </c>
      <c r="T146" t="s">
        <v>1798</v>
      </c>
      <c r="V146" t="s">
        <v>477</v>
      </c>
      <c r="W146" t="s">
        <v>73</v>
      </c>
      <c r="AE146" t="s">
        <v>478</v>
      </c>
      <c r="AF146" t="s">
        <v>479</v>
      </c>
      <c r="AL146">
        <v>112.812</v>
      </c>
      <c r="AM146" t="s">
        <v>656</v>
      </c>
      <c r="AO146" t="s">
        <v>480</v>
      </c>
      <c r="AP146" t="s">
        <v>481</v>
      </c>
      <c r="AQ146" t="s">
        <v>552</v>
      </c>
      <c r="AR146" t="s">
        <v>482</v>
      </c>
      <c r="AS146" t="s">
        <v>483</v>
      </c>
      <c r="AT146" t="s">
        <v>484</v>
      </c>
      <c r="AU146" t="s">
        <v>521</v>
      </c>
      <c r="AV146" t="s">
        <v>522</v>
      </c>
      <c r="AW146" t="s">
        <v>486</v>
      </c>
      <c r="BF146" s="1"/>
      <c r="BG146" t="s">
        <v>523</v>
      </c>
      <c r="BH146" t="s">
        <v>487</v>
      </c>
      <c r="BP146" t="s">
        <v>1489</v>
      </c>
      <c r="BQ146" t="s">
        <v>522</v>
      </c>
    </row>
    <row r="147" spans="1:69" x14ac:dyDescent="0.25">
      <c r="A147" t="s">
        <v>5713</v>
      </c>
      <c r="B147" t="s">
        <v>474</v>
      </c>
      <c r="C147" t="s">
        <v>1679</v>
      </c>
      <c r="E147" t="s">
        <v>480</v>
      </c>
      <c r="G147" s="1" t="s">
        <v>1741</v>
      </c>
      <c r="H147" t="s">
        <v>604</v>
      </c>
      <c r="J147">
        <v>400015</v>
      </c>
      <c r="M147" t="s">
        <v>1427</v>
      </c>
      <c r="P147" t="s">
        <v>104</v>
      </c>
      <c r="R147" t="s">
        <v>605</v>
      </c>
      <c r="S147" t="s">
        <v>1799</v>
      </c>
      <c r="T147" t="s">
        <v>1800</v>
      </c>
      <c r="V147" t="s">
        <v>477</v>
      </c>
      <c r="W147" t="s">
        <v>73</v>
      </c>
      <c r="AE147" t="s">
        <v>478</v>
      </c>
      <c r="AF147" t="s">
        <v>479</v>
      </c>
      <c r="AL147">
        <v>24.231999999999999</v>
      </c>
      <c r="AM147" t="s">
        <v>622</v>
      </c>
      <c r="AO147" t="s">
        <v>480</v>
      </c>
      <c r="AP147" t="s">
        <v>481</v>
      </c>
      <c r="AQ147" t="s">
        <v>637</v>
      </c>
      <c r="AR147" t="s">
        <v>482</v>
      </c>
      <c r="AS147" t="s">
        <v>483</v>
      </c>
      <c r="AT147" t="s">
        <v>484</v>
      </c>
      <c r="AU147" t="s">
        <v>521</v>
      </c>
      <c r="AV147" t="s">
        <v>522</v>
      </c>
      <c r="AW147" t="s">
        <v>486</v>
      </c>
      <c r="BF147" s="1"/>
      <c r="BG147" t="s">
        <v>523</v>
      </c>
      <c r="BH147" t="s">
        <v>487</v>
      </c>
      <c r="BP147" t="s">
        <v>1489</v>
      </c>
      <c r="BQ147" t="s">
        <v>522</v>
      </c>
    </row>
    <row r="148" spans="1:69" x14ac:dyDescent="0.25">
      <c r="A148" t="s">
        <v>5713</v>
      </c>
      <c r="B148" t="s">
        <v>474</v>
      </c>
      <c r="C148" t="s">
        <v>1679</v>
      </c>
      <c r="E148" t="s">
        <v>480</v>
      </c>
      <c r="G148" s="1" t="s">
        <v>1741</v>
      </c>
      <c r="H148" t="s">
        <v>608</v>
      </c>
      <c r="J148">
        <v>400015</v>
      </c>
      <c r="M148" t="s">
        <v>1420</v>
      </c>
      <c r="P148" t="s">
        <v>109</v>
      </c>
      <c r="R148" t="s">
        <v>543</v>
      </c>
      <c r="S148" t="s">
        <v>1801</v>
      </c>
      <c r="T148" t="s">
        <v>1802</v>
      </c>
      <c r="V148" t="s">
        <v>477</v>
      </c>
      <c r="W148" t="s">
        <v>73</v>
      </c>
      <c r="AE148" t="s">
        <v>478</v>
      </c>
      <c r="AF148" t="s">
        <v>479</v>
      </c>
      <c r="AL148">
        <v>5.8319999999999999</v>
      </c>
      <c r="AM148" t="s">
        <v>1803</v>
      </c>
      <c r="AO148" t="s">
        <v>480</v>
      </c>
      <c r="AP148" t="s">
        <v>481</v>
      </c>
      <c r="AQ148" t="s">
        <v>536</v>
      </c>
      <c r="AR148" t="s">
        <v>482</v>
      </c>
      <c r="AS148" t="s">
        <v>483</v>
      </c>
      <c r="AT148" t="s">
        <v>484</v>
      </c>
      <c r="AU148" t="s">
        <v>521</v>
      </c>
      <c r="AV148" t="s">
        <v>522</v>
      </c>
      <c r="AW148" t="s">
        <v>486</v>
      </c>
      <c r="BF148" s="1"/>
      <c r="BG148" t="s">
        <v>523</v>
      </c>
      <c r="BH148" t="s">
        <v>487</v>
      </c>
      <c r="BP148" t="s">
        <v>1489</v>
      </c>
      <c r="BQ148" t="s">
        <v>522</v>
      </c>
    </row>
    <row r="149" spans="1:69" x14ac:dyDescent="0.25">
      <c r="A149" t="s">
        <v>5713</v>
      </c>
      <c r="B149" t="s">
        <v>474</v>
      </c>
      <c r="C149" t="s">
        <v>1679</v>
      </c>
      <c r="E149" t="s">
        <v>480</v>
      </c>
      <c r="G149" s="1" t="s">
        <v>1804</v>
      </c>
      <c r="H149" t="s">
        <v>476</v>
      </c>
      <c r="J149">
        <v>400015</v>
      </c>
      <c r="M149" t="s">
        <v>1425</v>
      </c>
      <c r="P149" t="s">
        <v>170</v>
      </c>
      <c r="R149" t="s">
        <v>1805</v>
      </c>
      <c r="S149" t="s">
        <v>1806</v>
      </c>
      <c r="T149" t="s">
        <v>1807</v>
      </c>
      <c r="V149" t="s">
        <v>477</v>
      </c>
      <c r="W149" t="s">
        <v>73</v>
      </c>
      <c r="AE149" t="s">
        <v>478</v>
      </c>
      <c r="AF149" t="s">
        <v>479</v>
      </c>
      <c r="AL149">
        <v>351.79599999999999</v>
      </c>
      <c r="AM149" t="s">
        <v>1808</v>
      </c>
      <c r="AO149" t="s">
        <v>480</v>
      </c>
      <c r="AP149" t="s">
        <v>481</v>
      </c>
      <c r="AQ149" t="s">
        <v>854</v>
      </c>
      <c r="AR149" t="s">
        <v>482</v>
      </c>
      <c r="AS149" t="s">
        <v>483</v>
      </c>
      <c r="AT149" t="s">
        <v>484</v>
      </c>
      <c r="AU149" t="s">
        <v>521</v>
      </c>
      <c r="AV149" t="s">
        <v>522</v>
      </c>
      <c r="AW149" t="s">
        <v>486</v>
      </c>
      <c r="BF149" s="1"/>
      <c r="BG149" t="s">
        <v>523</v>
      </c>
      <c r="BH149" t="s">
        <v>487</v>
      </c>
      <c r="BP149" t="s">
        <v>1489</v>
      </c>
      <c r="BQ149" t="s">
        <v>522</v>
      </c>
    </row>
    <row r="150" spans="1:69" x14ac:dyDescent="0.25">
      <c r="A150" t="s">
        <v>5713</v>
      </c>
      <c r="B150" t="s">
        <v>474</v>
      </c>
      <c r="C150" t="s">
        <v>1679</v>
      </c>
      <c r="E150" t="s">
        <v>480</v>
      </c>
      <c r="G150" s="1" t="s">
        <v>1804</v>
      </c>
      <c r="H150" t="s">
        <v>492</v>
      </c>
      <c r="J150">
        <v>400015</v>
      </c>
      <c r="M150" t="s">
        <v>1420</v>
      </c>
      <c r="P150" t="s">
        <v>95</v>
      </c>
      <c r="R150" t="s">
        <v>753</v>
      </c>
      <c r="S150" t="s">
        <v>903</v>
      </c>
      <c r="T150" t="s">
        <v>904</v>
      </c>
      <c r="V150" t="s">
        <v>477</v>
      </c>
      <c r="W150" t="s">
        <v>73</v>
      </c>
      <c r="AE150" t="s">
        <v>478</v>
      </c>
      <c r="AF150" t="s">
        <v>479</v>
      </c>
      <c r="AL150">
        <v>22.916</v>
      </c>
      <c r="AM150" t="s">
        <v>812</v>
      </c>
      <c r="AO150" t="s">
        <v>480</v>
      </c>
      <c r="AP150" t="s">
        <v>481</v>
      </c>
      <c r="AQ150" t="s">
        <v>563</v>
      </c>
      <c r="AR150" t="s">
        <v>482</v>
      </c>
      <c r="AS150" t="s">
        <v>483</v>
      </c>
      <c r="AT150" t="s">
        <v>484</v>
      </c>
      <c r="AU150" t="s">
        <v>521</v>
      </c>
      <c r="AV150" t="s">
        <v>522</v>
      </c>
      <c r="AW150" t="s">
        <v>486</v>
      </c>
      <c r="BF150" s="1"/>
      <c r="BG150" t="s">
        <v>523</v>
      </c>
      <c r="BH150" t="s">
        <v>487</v>
      </c>
      <c r="BP150" t="s">
        <v>1489</v>
      </c>
      <c r="BQ150" t="s">
        <v>522</v>
      </c>
    </row>
    <row r="151" spans="1:69" x14ac:dyDescent="0.25">
      <c r="A151" t="s">
        <v>5713</v>
      </c>
      <c r="B151" t="s">
        <v>474</v>
      </c>
      <c r="C151" t="s">
        <v>1679</v>
      </c>
      <c r="E151" t="s">
        <v>480</v>
      </c>
      <c r="G151" s="1" t="s">
        <v>1804</v>
      </c>
      <c r="H151" t="s">
        <v>498</v>
      </c>
      <c r="J151">
        <v>400015</v>
      </c>
      <c r="M151" t="s">
        <v>1420</v>
      </c>
      <c r="P151" t="s">
        <v>119</v>
      </c>
      <c r="R151" t="s">
        <v>543</v>
      </c>
      <c r="S151" t="s">
        <v>1809</v>
      </c>
      <c r="T151" t="s">
        <v>1810</v>
      </c>
      <c r="V151" t="s">
        <v>477</v>
      </c>
      <c r="W151" t="s">
        <v>73</v>
      </c>
      <c r="AE151" t="s">
        <v>478</v>
      </c>
      <c r="AF151" t="s">
        <v>479</v>
      </c>
      <c r="AL151">
        <v>6.524</v>
      </c>
      <c r="AM151" t="s">
        <v>1624</v>
      </c>
      <c r="AO151" t="s">
        <v>480</v>
      </c>
      <c r="AP151" t="s">
        <v>481</v>
      </c>
      <c r="AQ151" t="s">
        <v>756</v>
      </c>
      <c r="AR151" t="s">
        <v>482</v>
      </c>
      <c r="AS151" t="s">
        <v>483</v>
      </c>
      <c r="AT151" t="s">
        <v>484</v>
      </c>
      <c r="AU151" t="s">
        <v>521</v>
      </c>
      <c r="AV151" t="s">
        <v>522</v>
      </c>
      <c r="AW151" t="s">
        <v>486</v>
      </c>
      <c r="BF151" s="1"/>
      <c r="BG151" t="s">
        <v>523</v>
      </c>
      <c r="BH151" t="s">
        <v>487</v>
      </c>
      <c r="BP151" t="s">
        <v>1489</v>
      </c>
      <c r="BQ151" t="s">
        <v>522</v>
      </c>
    </row>
    <row r="152" spans="1:69" x14ac:dyDescent="0.25">
      <c r="A152" t="s">
        <v>5713</v>
      </c>
      <c r="B152" t="s">
        <v>474</v>
      </c>
      <c r="C152" t="s">
        <v>1679</v>
      </c>
      <c r="E152" t="s">
        <v>480</v>
      </c>
      <c r="G152" s="1" t="s">
        <v>1804</v>
      </c>
      <c r="H152" t="s">
        <v>500</v>
      </c>
      <c r="J152">
        <v>400015</v>
      </c>
      <c r="M152" t="s">
        <v>1425</v>
      </c>
      <c r="P152" t="s">
        <v>116</v>
      </c>
      <c r="R152" t="s">
        <v>1811</v>
      </c>
      <c r="S152" t="s">
        <v>1812</v>
      </c>
      <c r="T152" t="s">
        <v>1813</v>
      </c>
      <c r="V152" t="s">
        <v>477</v>
      </c>
      <c r="W152" t="s">
        <v>73</v>
      </c>
      <c r="AE152" t="s">
        <v>478</v>
      </c>
      <c r="AF152" t="s">
        <v>479</v>
      </c>
      <c r="AL152">
        <v>318.77999999999997</v>
      </c>
      <c r="AM152" t="s">
        <v>648</v>
      </c>
      <c r="AO152" t="s">
        <v>480</v>
      </c>
      <c r="AP152" t="s">
        <v>481</v>
      </c>
      <c r="AQ152" t="s">
        <v>645</v>
      </c>
      <c r="AR152" t="s">
        <v>482</v>
      </c>
      <c r="AS152" t="s">
        <v>483</v>
      </c>
      <c r="AT152" t="s">
        <v>484</v>
      </c>
      <c r="AU152" t="s">
        <v>521</v>
      </c>
      <c r="AV152" t="s">
        <v>522</v>
      </c>
      <c r="AW152" t="s">
        <v>486</v>
      </c>
      <c r="BF152" s="1"/>
      <c r="BG152" t="s">
        <v>523</v>
      </c>
      <c r="BH152" t="s">
        <v>487</v>
      </c>
      <c r="BP152" t="s">
        <v>1489</v>
      </c>
      <c r="BQ152" t="s">
        <v>522</v>
      </c>
    </row>
    <row r="153" spans="1:69" x14ac:dyDescent="0.25">
      <c r="A153" t="s">
        <v>5713</v>
      </c>
      <c r="B153" t="s">
        <v>474</v>
      </c>
      <c r="C153" t="s">
        <v>1679</v>
      </c>
      <c r="E153" t="s">
        <v>480</v>
      </c>
      <c r="G153" s="1" t="s">
        <v>1804</v>
      </c>
      <c r="H153" t="s">
        <v>517</v>
      </c>
      <c r="J153">
        <v>400015</v>
      </c>
      <c r="M153" t="s">
        <v>1425</v>
      </c>
      <c r="P153" t="s">
        <v>110</v>
      </c>
      <c r="R153" t="s">
        <v>532</v>
      </c>
      <c r="S153" t="s">
        <v>1814</v>
      </c>
      <c r="T153" t="s">
        <v>1815</v>
      </c>
      <c r="V153" t="s">
        <v>477</v>
      </c>
      <c r="W153" t="s">
        <v>73</v>
      </c>
      <c r="AE153" t="s">
        <v>478</v>
      </c>
      <c r="AF153" t="s">
        <v>479</v>
      </c>
      <c r="AL153">
        <v>181.12500000000003</v>
      </c>
      <c r="AM153" t="s">
        <v>841</v>
      </c>
      <c r="AO153" t="s">
        <v>480</v>
      </c>
      <c r="AP153" t="s">
        <v>481</v>
      </c>
      <c r="AQ153" t="s">
        <v>624</v>
      </c>
      <c r="AR153" t="s">
        <v>482</v>
      </c>
      <c r="AS153" t="s">
        <v>483</v>
      </c>
      <c r="AT153" t="s">
        <v>484</v>
      </c>
      <c r="AU153" t="s">
        <v>521</v>
      </c>
      <c r="AV153" t="s">
        <v>522</v>
      </c>
      <c r="AW153" t="s">
        <v>486</v>
      </c>
      <c r="BF153" s="1"/>
      <c r="BG153" t="s">
        <v>523</v>
      </c>
      <c r="BH153" t="s">
        <v>487</v>
      </c>
      <c r="BP153" t="s">
        <v>1489</v>
      </c>
      <c r="BQ153" t="s">
        <v>522</v>
      </c>
    </row>
    <row r="154" spans="1:69" x14ac:dyDescent="0.25">
      <c r="A154" t="s">
        <v>5713</v>
      </c>
      <c r="B154" t="s">
        <v>474</v>
      </c>
      <c r="C154" t="s">
        <v>1679</v>
      </c>
      <c r="E154" t="s">
        <v>480</v>
      </c>
      <c r="G154" s="1" t="s">
        <v>1804</v>
      </c>
      <c r="H154" t="s">
        <v>537</v>
      </c>
      <c r="J154">
        <v>400015</v>
      </c>
      <c r="M154" t="s">
        <v>1420</v>
      </c>
      <c r="P154" t="s">
        <v>105</v>
      </c>
      <c r="R154" t="s">
        <v>635</v>
      </c>
      <c r="S154" t="s">
        <v>1816</v>
      </c>
      <c r="T154" t="s">
        <v>1817</v>
      </c>
      <c r="V154" t="s">
        <v>477</v>
      </c>
      <c r="W154" t="s">
        <v>73</v>
      </c>
      <c r="AE154" t="s">
        <v>478</v>
      </c>
      <c r="AF154" t="s">
        <v>479</v>
      </c>
      <c r="AL154">
        <v>70.540000000000006</v>
      </c>
      <c r="AM154" t="s">
        <v>573</v>
      </c>
      <c r="AO154" t="s">
        <v>480</v>
      </c>
      <c r="AP154" t="s">
        <v>481</v>
      </c>
      <c r="AQ154" t="s">
        <v>607</v>
      </c>
      <c r="AR154" t="s">
        <v>482</v>
      </c>
      <c r="AS154" t="s">
        <v>483</v>
      </c>
      <c r="AT154" t="s">
        <v>484</v>
      </c>
      <c r="AU154" t="s">
        <v>521</v>
      </c>
      <c r="AV154" t="s">
        <v>522</v>
      </c>
      <c r="AW154" t="s">
        <v>486</v>
      </c>
      <c r="BF154" s="1"/>
      <c r="BG154" t="s">
        <v>523</v>
      </c>
      <c r="BH154" t="s">
        <v>487</v>
      </c>
      <c r="BP154" t="s">
        <v>1489</v>
      </c>
      <c r="BQ154" t="s">
        <v>522</v>
      </c>
    </row>
    <row r="155" spans="1:69" x14ac:dyDescent="0.25">
      <c r="A155" t="s">
        <v>5713</v>
      </c>
      <c r="B155" t="s">
        <v>474</v>
      </c>
      <c r="C155" t="s">
        <v>1679</v>
      </c>
      <c r="E155" t="s">
        <v>480</v>
      </c>
      <c r="G155" s="1" t="s">
        <v>1804</v>
      </c>
      <c r="H155" t="s">
        <v>542</v>
      </c>
      <c r="J155">
        <v>400015</v>
      </c>
      <c r="M155" t="s">
        <v>1416</v>
      </c>
      <c r="P155" t="s">
        <v>128</v>
      </c>
      <c r="R155" t="s">
        <v>524</v>
      </c>
      <c r="S155" t="s">
        <v>525</v>
      </c>
      <c r="T155" t="s">
        <v>526</v>
      </c>
      <c r="V155" t="s">
        <v>477</v>
      </c>
      <c r="W155" t="s">
        <v>73</v>
      </c>
      <c r="AE155" t="s">
        <v>478</v>
      </c>
      <c r="AF155" t="s">
        <v>479</v>
      </c>
      <c r="AL155">
        <v>83.903999999999996</v>
      </c>
      <c r="AM155" t="s">
        <v>527</v>
      </c>
      <c r="AO155" t="s">
        <v>480</v>
      </c>
      <c r="AP155" t="s">
        <v>481</v>
      </c>
      <c r="AQ155" t="s">
        <v>528</v>
      </c>
      <c r="AR155" t="s">
        <v>482</v>
      </c>
      <c r="AS155" t="s">
        <v>483</v>
      </c>
      <c r="AT155" t="s">
        <v>484</v>
      </c>
      <c r="AU155" t="s">
        <v>521</v>
      </c>
      <c r="AV155" t="s">
        <v>522</v>
      </c>
      <c r="AW155" t="s">
        <v>486</v>
      </c>
      <c r="BF155" s="1"/>
      <c r="BG155" t="s">
        <v>523</v>
      </c>
      <c r="BH155" t="s">
        <v>487</v>
      </c>
      <c r="BP155" t="s">
        <v>1489</v>
      </c>
      <c r="BQ155" t="s">
        <v>522</v>
      </c>
    </row>
    <row r="156" spans="1:69" x14ac:dyDescent="0.25">
      <c r="A156" t="s">
        <v>5713</v>
      </c>
      <c r="B156" t="s">
        <v>474</v>
      </c>
      <c r="C156" t="s">
        <v>1679</v>
      </c>
      <c r="E156" t="s">
        <v>480</v>
      </c>
      <c r="G156" s="1" t="s">
        <v>1804</v>
      </c>
      <c r="H156" t="s">
        <v>546</v>
      </c>
      <c r="J156">
        <v>400015</v>
      </c>
      <c r="M156" t="s">
        <v>1423</v>
      </c>
      <c r="P156" t="s">
        <v>111</v>
      </c>
      <c r="R156" t="s">
        <v>568</v>
      </c>
      <c r="S156" t="s">
        <v>1818</v>
      </c>
      <c r="T156" t="s">
        <v>1819</v>
      </c>
      <c r="V156" t="s">
        <v>477</v>
      </c>
      <c r="W156" t="s">
        <v>73</v>
      </c>
      <c r="AE156" t="s">
        <v>478</v>
      </c>
      <c r="AF156" t="s">
        <v>479</v>
      </c>
      <c r="AL156">
        <v>389.44000000000005</v>
      </c>
      <c r="AM156" t="s">
        <v>569</v>
      </c>
      <c r="AO156" t="s">
        <v>480</v>
      </c>
      <c r="AP156" t="s">
        <v>481</v>
      </c>
      <c r="AQ156" t="s">
        <v>548</v>
      </c>
      <c r="AR156" t="s">
        <v>482</v>
      </c>
      <c r="AS156" t="s">
        <v>483</v>
      </c>
      <c r="AT156" t="s">
        <v>484</v>
      </c>
      <c r="AU156" t="s">
        <v>521</v>
      </c>
      <c r="AV156" t="s">
        <v>522</v>
      </c>
      <c r="AW156" t="s">
        <v>486</v>
      </c>
      <c r="BF156" s="1"/>
      <c r="BG156" t="s">
        <v>523</v>
      </c>
      <c r="BH156" t="s">
        <v>487</v>
      </c>
      <c r="BP156" t="s">
        <v>1489</v>
      </c>
      <c r="BQ156" t="s">
        <v>522</v>
      </c>
    </row>
    <row r="157" spans="1:69" x14ac:dyDescent="0.25">
      <c r="A157" t="s">
        <v>5713</v>
      </c>
      <c r="B157" t="s">
        <v>474</v>
      </c>
      <c r="C157" t="s">
        <v>1679</v>
      </c>
      <c r="E157" t="s">
        <v>480</v>
      </c>
      <c r="G157" s="1" t="s">
        <v>1804</v>
      </c>
      <c r="H157" t="s">
        <v>549</v>
      </c>
      <c r="J157">
        <v>400015</v>
      </c>
      <c r="M157" t="s">
        <v>1423</v>
      </c>
      <c r="P157" t="s">
        <v>140</v>
      </c>
      <c r="R157" t="s">
        <v>1820</v>
      </c>
      <c r="S157" t="s">
        <v>1821</v>
      </c>
      <c r="T157" t="s">
        <v>1822</v>
      </c>
      <c r="V157" t="s">
        <v>477</v>
      </c>
      <c r="W157" t="s">
        <v>73</v>
      </c>
      <c r="AE157" t="s">
        <v>478</v>
      </c>
      <c r="AF157" t="s">
        <v>479</v>
      </c>
      <c r="AL157">
        <v>1717.0309999999999</v>
      </c>
      <c r="AM157" t="s">
        <v>1823</v>
      </c>
      <c r="AO157" t="s">
        <v>480</v>
      </c>
      <c r="AP157" t="s">
        <v>481</v>
      </c>
      <c r="AQ157" t="s">
        <v>681</v>
      </c>
      <c r="AR157" t="s">
        <v>482</v>
      </c>
      <c r="AS157" t="s">
        <v>483</v>
      </c>
      <c r="AT157" t="s">
        <v>484</v>
      </c>
      <c r="AU157" t="s">
        <v>521</v>
      </c>
      <c r="AV157" t="s">
        <v>522</v>
      </c>
      <c r="AW157" t="s">
        <v>486</v>
      </c>
      <c r="BF157" s="1"/>
      <c r="BG157" t="s">
        <v>523</v>
      </c>
      <c r="BH157" t="s">
        <v>487</v>
      </c>
      <c r="BP157" t="s">
        <v>1489</v>
      </c>
      <c r="BQ157" t="s">
        <v>522</v>
      </c>
    </row>
    <row r="158" spans="1:69" x14ac:dyDescent="0.25">
      <c r="A158" t="s">
        <v>5713</v>
      </c>
      <c r="B158" t="s">
        <v>474</v>
      </c>
      <c r="C158" t="s">
        <v>1679</v>
      </c>
      <c r="E158" t="s">
        <v>480</v>
      </c>
      <c r="G158" s="1" t="s">
        <v>1804</v>
      </c>
      <c r="H158" t="s">
        <v>553</v>
      </c>
      <c r="J158">
        <v>400015</v>
      </c>
      <c r="M158" t="s">
        <v>1422</v>
      </c>
      <c r="P158" t="s">
        <v>120</v>
      </c>
      <c r="R158" t="s">
        <v>876</v>
      </c>
      <c r="S158" t="s">
        <v>1824</v>
      </c>
      <c r="T158" t="s">
        <v>1825</v>
      </c>
      <c r="V158" t="s">
        <v>477</v>
      </c>
      <c r="W158" t="s">
        <v>73</v>
      </c>
      <c r="AE158" t="s">
        <v>478</v>
      </c>
      <c r="AF158" t="s">
        <v>479</v>
      </c>
      <c r="AL158">
        <v>180.072</v>
      </c>
      <c r="AM158" t="s">
        <v>1826</v>
      </c>
      <c r="AO158" t="s">
        <v>480</v>
      </c>
      <c r="AP158" t="s">
        <v>481</v>
      </c>
      <c r="AQ158" t="s">
        <v>632</v>
      </c>
      <c r="AR158" t="s">
        <v>482</v>
      </c>
      <c r="AS158" t="s">
        <v>483</v>
      </c>
      <c r="AT158" t="s">
        <v>484</v>
      </c>
      <c r="AU158" t="s">
        <v>521</v>
      </c>
      <c r="AV158" t="s">
        <v>522</v>
      </c>
      <c r="AW158" t="s">
        <v>486</v>
      </c>
      <c r="BF158" s="1"/>
      <c r="BG158" t="s">
        <v>523</v>
      </c>
      <c r="BH158" t="s">
        <v>487</v>
      </c>
      <c r="BP158" t="s">
        <v>1489</v>
      </c>
      <c r="BQ158" t="s">
        <v>522</v>
      </c>
    </row>
    <row r="159" spans="1:69" x14ac:dyDescent="0.25">
      <c r="A159" t="s">
        <v>5713</v>
      </c>
      <c r="B159" t="s">
        <v>474</v>
      </c>
      <c r="C159" t="s">
        <v>1679</v>
      </c>
      <c r="E159" t="s">
        <v>480</v>
      </c>
      <c r="G159" s="1" t="s">
        <v>1804</v>
      </c>
      <c r="H159" t="s">
        <v>556</v>
      </c>
      <c r="J159">
        <v>400015</v>
      </c>
      <c r="M159" t="s">
        <v>1420</v>
      </c>
      <c r="P159" t="s">
        <v>109</v>
      </c>
      <c r="R159" t="s">
        <v>753</v>
      </c>
      <c r="S159" t="s">
        <v>1827</v>
      </c>
      <c r="T159" t="s">
        <v>1828</v>
      </c>
      <c r="V159" t="s">
        <v>477</v>
      </c>
      <c r="W159" t="s">
        <v>73</v>
      </c>
      <c r="AE159" t="s">
        <v>478</v>
      </c>
      <c r="AF159" t="s">
        <v>479</v>
      </c>
      <c r="AL159">
        <v>23.327999999999999</v>
      </c>
      <c r="AM159" t="s">
        <v>812</v>
      </c>
      <c r="AO159" t="s">
        <v>480</v>
      </c>
      <c r="AP159" t="s">
        <v>481</v>
      </c>
      <c r="AQ159" t="s">
        <v>536</v>
      </c>
      <c r="AR159" t="s">
        <v>482</v>
      </c>
      <c r="AS159" t="s">
        <v>483</v>
      </c>
      <c r="AT159" t="s">
        <v>484</v>
      </c>
      <c r="AU159" t="s">
        <v>521</v>
      </c>
      <c r="AV159" t="s">
        <v>522</v>
      </c>
      <c r="AW159" t="s">
        <v>486</v>
      </c>
      <c r="BF159" s="1"/>
      <c r="BG159" t="s">
        <v>523</v>
      </c>
      <c r="BH159" t="s">
        <v>487</v>
      </c>
      <c r="BP159" t="s">
        <v>1489</v>
      </c>
      <c r="BQ159" t="s">
        <v>522</v>
      </c>
    </row>
    <row r="160" spans="1:69" x14ac:dyDescent="0.25">
      <c r="A160" t="s">
        <v>5713</v>
      </c>
      <c r="B160" t="s">
        <v>474</v>
      </c>
      <c r="C160" t="s">
        <v>1679</v>
      </c>
      <c r="E160" t="s">
        <v>480</v>
      </c>
      <c r="G160" s="1" t="s">
        <v>1804</v>
      </c>
      <c r="H160" t="s">
        <v>559</v>
      </c>
      <c r="J160">
        <v>400015</v>
      </c>
      <c r="M160" t="s">
        <v>1423</v>
      </c>
      <c r="P160" t="s">
        <v>124</v>
      </c>
      <c r="R160" t="s">
        <v>739</v>
      </c>
      <c r="S160" t="s">
        <v>1829</v>
      </c>
      <c r="T160" t="s">
        <v>1830</v>
      </c>
      <c r="V160" t="s">
        <v>477</v>
      </c>
      <c r="W160" t="s">
        <v>73</v>
      </c>
      <c r="AE160" t="s">
        <v>478</v>
      </c>
      <c r="AF160" t="s">
        <v>479</v>
      </c>
      <c r="AL160">
        <v>9.5079999999999991</v>
      </c>
      <c r="AM160" t="s">
        <v>795</v>
      </c>
      <c r="AO160" t="s">
        <v>480</v>
      </c>
      <c r="AP160" t="s">
        <v>481</v>
      </c>
      <c r="AQ160" t="s">
        <v>588</v>
      </c>
      <c r="AR160" t="s">
        <v>482</v>
      </c>
      <c r="AS160" t="s">
        <v>483</v>
      </c>
      <c r="AT160" t="s">
        <v>484</v>
      </c>
      <c r="AU160" t="s">
        <v>521</v>
      </c>
      <c r="AV160" t="s">
        <v>522</v>
      </c>
      <c r="AW160" t="s">
        <v>486</v>
      </c>
      <c r="BF160" s="1"/>
      <c r="BG160" t="s">
        <v>523</v>
      </c>
      <c r="BH160" t="s">
        <v>487</v>
      </c>
      <c r="BP160" t="s">
        <v>1489</v>
      </c>
      <c r="BQ160" t="s">
        <v>522</v>
      </c>
    </row>
    <row r="161" spans="1:69" x14ac:dyDescent="0.25">
      <c r="A161" t="s">
        <v>5713</v>
      </c>
      <c r="B161" t="s">
        <v>474</v>
      </c>
      <c r="C161" t="s">
        <v>1679</v>
      </c>
      <c r="E161" t="s">
        <v>480</v>
      </c>
      <c r="G161" s="1" t="s">
        <v>1804</v>
      </c>
      <c r="H161" t="s">
        <v>562</v>
      </c>
      <c r="J161">
        <v>400015</v>
      </c>
      <c r="M161" t="s">
        <v>1425</v>
      </c>
      <c r="P161" t="s">
        <v>170</v>
      </c>
      <c r="R161" t="s">
        <v>821</v>
      </c>
      <c r="S161" t="s">
        <v>1831</v>
      </c>
      <c r="T161" t="s">
        <v>1832</v>
      </c>
      <c r="V161" t="s">
        <v>477</v>
      </c>
      <c r="W161" t="s">
        <v>73</v>
      </c>
      <c r="AE161" t="s">
        <v>478</v>
      </c>
      <c r="AF161" t="s">
        <v>479</v>
      </c>
      <c r="AL161">
        <v>347.04199999999997</v>
      </c>
      <c r="AM161" t="s">
        <v>822</v>
      </c>
      <c r="AO161" t="s">
        <v>480</v>
      </c>
      <c r="AP161" t="s">
        <v>481</v>
      </c>
      <c r="AQ161" t="s">
        <v>854</v>
      </c>
      <c r="AR161" t="s">
        <v>482</v>
      </c>
      <c r="AS161" t="s">
        <v>483</v>
      </c>
      <c r="AT161" t="s">
        <v>484</v>
      </c>
      <c r="AU161" t="s">
        <v>521</v>
      </c>
      <c r="AV161" t="s">
        <v>522</v>
      </c>
      <c r="AW161" t="s">
        <v>486</v>
      </c>
      <c r="BF161" s="1"/>
      <c r="BG161" t="s">
        <v>523</v>
      </c>
      <c r="BH161" t="s">
        <v>487</v>
      </c>
      <c r="BP161" t="s">
        <v>1489</v>
      </c>
      <c r="BQ161" t="s">
        <v>522</v>
      </c>
    </row>
    <row r="162" spans="1:69" x14ac:dyDescent="0.25">
      <c r="A162" t="s">
        <v>5713</v>
      </c>
      <c r="B162" t="s">
        <v>474</v>
      </c>
      <c r="C162" t="s">
        <v>1679</v>
      </c>
      <c r="E162" t="s">
        <v>480</v>
      </c>
      <c r="G162" s="1" t="s">
        <v>1804</v>
      </c>
      <c r="H162" t="s">
        <v>564</v>
      </c>
      <c r="J162">
        <v>400015</v>
      </c>
      <c r="M162" t="s">
        <v>1427</v>
      </c>
      <c r="P162" t="s">
        <v>104</v>
      </c>
      <c r="R162" t="s">
        <v>859</v>
      </c>
      <c r="S162" t="s">
        <v>1833</v>
      </c>
      <c r="T162" t="s">
        <v>1834</v>
      </c>
      <c r="V162" t="s">
        <v>477</v>
      </c>
      <c r="W162" t="s">
        <v>73</v>
      </c>
      <c r="AE162" t="s">
        <v>478</v>
      </c>
      <c r="AF162" t="s">
        <v>479</v>
      </c>
      <c r="AL162">
        <v>157.50799999999998</v>
      </c>
      <c r="AM162" t="s">
        <v>1835</v>
      </c>
      <c r="AO162" t="s">
        <v>480</v>
      </c>
      <c r="AP162" t="s">
        <v>481</v>
      </c>
      <c r="AQ162" t="s">
        <v>637</v>
      </c>
      <c r="AR162" t="s">
        <v>482</v>
      </c>
      <c r="AS162" t="s">
        <v>483</v>
      </c>
      <c r="AT162" t="s">
        <v>484</v>
      </c>
      <c r="AU162" t="s">
        <v>521</v>
      </c>
      <c r="AV162" t="s">
        <v>522</v>
      </c>
      <c r="AW162" t="s">
        <v>486</v>
      </c>
      <c r="BF162" s="1"/>
      <c r="BG162" t="s">
        <v>523</v>
      </c>
      <c r="BH162" t="s">
        <v>487</v>
      </c>
      <c r="BP162" t="s">
        <v>1489</v>
      </c>
      <c r="BQ162" t="s">
        <v>522</v>
      </c>
    </row>
    <row r="163" spans="1:69" x14ac:dyDescent="0.25">
      <c r="A163" t="s">
        <v>5713</v>
      </c>
      <c r="B163" t="s">
        <v>474</v>
      </c>
      <c r="C163" t="s">
        <v>1679</v>
      </c>
      <c r="E163" t="s">
        <v>480</v>
      </c>
      <c r="G163" s="1" t="s">
        <v>1804</v>
      </c>
      <c r="H163" t="s">
        <v>567</v>
      </c>
      <c r="J163">
        <v>400015</v>
      </c>
      <c r="M163" t="s">
        <v>1426</v>
      </c>
      <c r="P163" t="s">
        <v>155</v>
      </c>
      <c r="R163" t="s">
        <v>557</v>
      </c>
      <c r="S163" t="s">
        <v>620</v>
      </c>
      <c r="T163" t="s">
        <v>621</v>
      </c>
      <c r="V163" t="s">
        <v>477</v>
      </c>
      <c r="W163" t="s">
        <v>73</v>
      </c>
      <c r="AE163" t="s">
        <v>478</v>
      </c>
      <c r="AF163" t="s">
        <v>479</v>
      </c>
      <c r="AL163">
        <v>26.74</v>
      </c>
      <c r="AM163" t="s">
        <v>622</v>
      </c>
      <c r="AO163" t="s">
        <v>480</v>
      </c>
      <c r="AP163" t="s">
        <v>481</v>
      </c>
      <c r="AQ163" t="s">
        <v>610</v>
      </c>
      <c r="AR163" t="s">
        <v>482</v>
      </c>
      <c r="AS163" t="s">
        <v>483</v>
      </c>
      <c r="AT163" t="s">
        <v>484</v>
      </c>
      <c r="AU163" t="s">
        <v>521</v>
      </c>
      <c r="AV163" t="s">
        <v>522</v>
      </c>
      <c r="AW163" t="s">
        <v>486</v>
      </c>
      <c r="BF163" s="1"/>
      <c r="BG163" t="s">
        <v>523</v>
      </c>
      <c r="BH163" t="s">
        <v>487</v>
      </c>
      <c r="BP163" t="s">
        <v>1489</v>
      </c>
      <c r="BQ163" t="s">
        <v>522</v>
      </c>
    </row>
    <row r="164" spans="1:69" x14ac:dyDescent="0.25">
      <c r="A164" t="s">
        <v>5713</v>
      </c>
      <c r="B164" t="s">
        <v>474</v>
      </c>
      <c r="C164" t="s">
        <v>1679</v>
      </c>
      <c r="E164" t="s">
        <v>480</v>
      </c>
      <c r="G164" s="1" t="s">
        <v>1804</v>
      </c>
      <c r="H164" t="s">
        <v>571</v>
      </c>
      <c r="J164">
        <v>400015</v>
      </c>
      <c r="M164" t="s">
        <v>1416</v>
      </c>
      <c r="P164" t="s">
        <v>135</v>
      </c>
      <c r="R164" t="s">
        <v>601</v>
      </c>
      <c r="S164" t="s">
        <v>823</v>
      </c>
      <c r="T164" t="s">
        <v>824</v>
      </c>
      <c r="V164" t="s">
        <v>477</v>
      </c>
      <c r="W164" t="s">
        <v>73</v>
      </c>
      <c r="AE164" t="s">
        <v>478</v>
      </c>
      <c r="AF164" t="s">
        <v>479</v>
      </c>
      <c r="AL164">
        <v>118.239</v>
      </c>
      <c r="AM164" t="s">
        <v>666</v>
      </c>
      <c r="AO164" t="s">
        <v>480</v>
      </c>
      <c r="AP164" t="s">
        <v>481</v>
      </c>
      <c r="AQ164" t="s">
        <v>574</v>
      </c>
      <c r="AR164" t="s">
        <v>482</v>
      </c>
      <c r="AS164" t="s">
        <v>483</v>
      </c>
      <c r="AT164" t="s">
        <v>484</v>
      </c>
      <c r="AU164" t="s">
        <v>521</v>
      </c>
      <c r="AV164" t="s">
        <v>522</v>
      </c>
      <c r="AW164" t="s">
        <v>486</v>
      </c>
      <c r="BF164" s="1"/>
      <c r="BG164" t="s">
        <v>523</v>
      </c>
      <c r="BH164" t="s">
        <v>487</v>
      </c>
      <c r="BP164" t="s">
        <v>1489</v>
      </c>
      <c r="BQ164" t="s">
        <v>522</v>
      </c>
    </row>
    <row r="165" spans="1:69" x14ac:dyDescent="0.25">
      <c r="A165" t="s">
        <v>5713</v>
      </c>
      <c r="B165" t="s">
        <v>474</v>
      </c>
      <c r="C165" t="s">
        <v>1679</v>
      </c>
      <c r="E165" t="s">
        <v>480</v>
      </c>
      <c r="G165" s="1" t="s">
        <v>1804</v>
      </c>
      <c r="H165" t="s">
        <v>575</v>
      </c>
      <c r="J165">
        <v>400015</v>
      </c>
      <c r="M165" t="s">
        <v>1420</v>
      </c>
      <c r="P165" t="s">
        <v>103</v>
      </c>
      <c r="R165" t="s">
        <v>529</v>
      </c>
      <c r="S165" t="s">
        <v>1836</v>
      </c>
      <c r="T165" t="s">
        <v>1837</v>
      </c>
      <c r="V165" t="s">
        <v>477</v>
      </c>
      <c r="W165" t="s">
        <v>73</v>
      </c>
      <c r="AE165" t="s">
        <v>478</v>
      </c>
      <c r="AF165" t="s">
        <v>479</v>
      </c>
      <c r="AL165">
        <v>81.12</v>
      </c>
      <c r="AM165" t="s">
        <v>1838</v>
      </c>
      <c r="AO165" t="s">
        <v>480</v>
      </c>
      <c r="AP165" t="s">
        <v>481</v>
      </c>
      <c r="AQ165" t="s">
        <v>545</v>
      </c>
      <c r="AR165" t="s">
        <v>482</v>
      </c>
      <c r="AS165" t="s">
        <v>483</v>
      </c>
      <c r="AT165" t="s">
        <v>484</v>
      </c>
      <c r="AU165" t="s">
        <v>521</v>
      </c>
      <c r="AV165" t="s">
        <v>522</v>
      </c>
      <c r="AW165" t="s">
        <v>486</v>
      </c>
      <c r="BF165" s="1"/>
      <c r="BG165" t="s">
        <v>523</v>
      </c>
      <c r="BH165" t="s">
        <v>487</v>
      </c>
      <c r="BP165" t="s">
        <v>1489</v>
      </c>
      <c r="BQ165" t="s">
        <v>522</v>
      </c>
    </row>
    <row r="166" spans="1:69" x14ac:dyDescent="0.25">
      <c r="A166" t="s">
        <v>5713</v>
      </c>
      <c r="B166" t="s">
        <v>474</v>
      </c>
      <c r="C166" t="s">
        <v>1679</v>
      </c>
      <c r="E166" t="s">
        <v>480</v>
      </c>
      <c r="G166" s="1" t="s">
        <v>1804</v>
      </c>
      <c r="H166" t="s">
        <v>578</v>
      </c>
      <c r="J166">
        <v>400015</v>
      </c>
      <c r="M166" t="s">
        <v>1426</v>
      </c>
      <c r="P166" t="s">
        <v>155</v>
      </c>
      <c r="R166" t="s">
        <v>557</v>
      </c>
      <c r="S166" t="s">
        <v>620</v>
      </c>
      <c r="T166" t="s">
        <v>621</v>
      </c>
      <c r="V166" t="s">
        <v>477</v>
      </c>
      <c r="W166" t="s">
        <v>73</v>
      </c>
      <c r="AE166" t="s">
        <v>478</v>
      </c>
      <c r="AF166" t="s">
        <v>479</v>
      </c>
      <c r="AL166">
        <v>26.74</v>
      </c>
      <c r="AM166" t="s">
        <v>622</v>
      </c>
      <c r="AO166" t="s">
        <v>480</v>
      </c>
      <c r="AP166" t="s">
        <v>481</v>
      </c>
      <c r="AQ166" t="s">
        <v>610</v>
      </c>
      <c r="AR166" t="s">
        <v>482</v>
      </c>
      <c r="AS166" t="s">
        <v>483</v>
      </c>
      <c r="AT166" t="s">
        <v>484</v>
      </c>
      <c r="AU166" t="s">
        <v>521</v>
      </c>
      <c r="AV166" t="s">
        <v>522</v>
      </c>
      <c r="AW166" t="s">
        <v>486</v>
      </c>
      <c r="BF166" s="1"/>
      <c r="BG166" t="s">
        <v>523</v>
      </c>
      <c r="BH166" t="s">
        <v>487</v>
      </c>
      <c r="BP166" t="s">
        <v>1489</v>
      </c>
      <c r="BQ166" t="s">
        <v>522</v>
      </c>
    </row>
    <row r="167" spans="1:69" x14ac:dyDescent="0.25">
      <c r="A167" t="s">
        <v>5713</v>
      </c>
      <c r="B167" t="s">
        <v>474</v>
      </c>
      <c r="C167" t="s">
        <v>1679</v>
      </c>
      <c r="E167" t="s">
        <v>480</v>
      </c>
      <c r="G167" s="1" t="s">
        <v>1804</v>
      </c>
      <c r="H167" t="s">
        <v>581</v>
      </c>
      <c r="J167">
        <v>400015</v>
      </c>
      <c r="M167" t="s">
        <v>1427</v>
      </c>
      <c r="P167" t="s">
        <v>104</v>
      </c>
      <c r="R167" t="s">
        <v>753</v>
      </c>
      <c r="S167" t="s">
        <v>1839</v>
      </c>
      <c r="T167" t="s">
        <v>1840</v>
      </c>
      <c r="V167" t="s">
        <v>477</v>
      </c>
      <c r="W167" t="s">
        <v>73</v>
      </c>
      <c r="AE167" t="s">
        <v>478</v>
      </c>
      <c r="AF167" t="s">
        <v>479</v>
      </c>
      <c r="AL167">
        <v>12.116</v>
      </c>
      <c r="AM167" t="s">
        <v>754</v>
      </c>
      <c r="AO167" t="s">
        <v>480</v>
      </c>
      <c r="AP167" t="s">
        <v>481</v>
      </c>
      <c r="AQ167" t="s">
        <v>637</v>
      </c>
      <c r="AR167" t="s">
        <v>482</v>
      </c>
      <c r="AS167" t="s">
        <v>483</v>
      </c>
      <c r="AT167" t="s">
        <v>484</v>
      </c>
      <c r="AU167" t="s">
        <v>521</v>
      </c>
      <c r="AV167" t="s">
        <v>522</v>
      </c>
      <c r="AW167" t="s">
        <v>486</v>
      </c>
      <c r="BF167" s="1"/>
      <c r="BG167" t="s">
        <v>523</v>
      </c>
      <c r="BH167" t="s">
        <v>487</v>
      </c>
      <c r="BP167" t="s">
        <v>1489</v>
      </c>
      <c r="BQ167" t="s">
        <v>522</v>
      </c>
    </row>
    <row r="168" spans="1:69" x14ac:dyDescent="0.25">
      <c r="A168" t="s">
        <v>5713</v>
      </c>
      <c r="B168" t="s">
        <v>474</v>
      </c>
      <c r="C168" t="s">
        <v>1679</v>
      </c>
      <c r="E168" t="s">
        <v>480</v>
      </c>
      <c r="G168" s="1" t="s">
        <v>1804</v>
      </c>
      <c r="H168" t="s">
        <v>585</v>
      </c>
      <c r="J168">
        <v>400015</v>
      </c>
      <c r="M168" t="s">
        <v>1423</v>
      </c>
      <c r="P168" t="s">
        <v>140</v>
      </c>
      <c r="R168" t="s">
        <v>1841</v>
      </c>
      <c r="S168" t="s">
        <v>1842</v>
      </c>
      <c r="T168" t="s">
        <v>1843</v>
      </c>
      <c r="V168" t="s">
        <v>477</v>
      </c>
      <c r="W168" t="s">
        <v>73</v>
      </c>
      <c r="AE168" t="s">
        <v>478</v>
      </c>
      <c r="AF168" t="s">
        <v>479</v>
      </c>
      <c r="AL168">
        <v>2611.433</v>
      </c>
      <c r="AM168" t="s">
        <v>906</v>
      </c>
      <c r="AO168" t="s">
        <v>480</v>
      </c>
      <c r="AP168" t="s">
        <v>481</v>
      </c>
      <c r="AQ168" t="s">
        <v>681</v>
      </c>
      <c r="AR168" t="s">
        <v>482</v>
      </c>
      <c r="AS168" t="s">
        <v>483</v>
      </c>
      <c r="AT168" t="s">
        <v>484</v>
      </c>
      <c r="AU168" t="s">
        <v>521</v>
      </c>
      <c r="AV168" t="s">
        <v>522</v>
      </c>
      <c r="AW168" t="s">
        <v>486</v>
      </c>
      <c r="BF168" s="1"/>
      <c r="BG168" t="s">
        <v>523</v>
      </c>
      <c r="BH168" t="s">
        <v>487</v>
      </c>
      <c r="BP168" t="s">
        <v>1489</v>
      </c>
      <c r="BQ168" t="s">
        <v>522</v>
      </c>
    </row>
    <row r="169" spans="1:69" x14ac:dyDescent="0.25">
      <c r="A169" t="s">
        <v>5713</v>
      </c>
      <c r="B169" t="s">
        <v>474</v>
      </c>
      <c r="C169" t="s">
        <v>1679</v>
      </c>
      <c r="E169" t="s">
        <v>480</v>
      </c>
      <c r="G169" s="1" t="s">
        <v>1844</v>
      </c>
      <c r="H169" t="s">
        <v>476</v>
      </c>
      <c r="J169">
        <v>400015</v>
      </c>
      <c r="M169" t="s">
        <v>1415</v>
      </c>
      <c r="P169" t="s">
        <v>87</v>
      </c>
      <c r="R169" t="s">
        <v>543</v>
      </c>
      <c r="S169" t="s">
        <v>1845</v>
      </c>
      <c r="T169" t="s">
        <v>1846</v>
      </c>
      <c r="V169" t="s">
        <v>477</v>
      </c>
      <c r="W169" t="s">
        <v>73</v>
      </c>
      <c r="AE169" t="s">
        <v>478</v>
      </c>
      <c r="AF169" t="s">
        <v>479</v>
      </c>
      <c r="AL169">
        <v>3.3180000000000001</v>
      </c>
      <c r="AM169" t="s">
        <v>1847</v>
      </c>
      <c r="AO169" t="s">
        <v>480</v>
      </c>
      <c r="AP169" t="s">
        <v>481</v>
      </c>
      <c r="AQ169" t="s">
        <v>552</v>
      </c>
      <c r="AR169" t="s">
        <v>482</v>
      </c>
      <c r="AS169" t="s">
        <v>483</v>
      </c>
      <c r="AT169" t="s">
        <v>484</v>
      </c>
      <c r="AU169" t="s">
        <v>521</v>
      </c>
      <c r="AV169" t="s">
        <v>662</v>
      </c>
      <c r="AW169" t="s">
        <v>486</v>
      </c>
      <c r="BF169" s="1"/>
      <c r="BG169" t="s">
        <v>523</v>
      </c>
      <c r="BH169" t="s">
        <v>487</v>
      </c>
      <c r="BP169" t="s">
        <v>1489</v>
      </c>
      <c r="BQ169" t="s">
        <v>662</v>
      </c>
    </row>
    <row r="170" spans="1:69" x14ac:dyDescent="0.25">
      <c r="A170" t="s">
        <v>5713</v>
      </c>
      <c r="B170" t="s">
        <v>474</v>
      </c>
      <c r="C170" t="s">
        <v>1679</v>
      </c>
      <c r="E170" t="s">
        <v>480</v>
      </c>
      <c r="G170" s="1" t="s">
        <v>1844</v>
      </c>
      <c r="H170" t="s">
        <v>492</v>
      </c>
      <c r="J170">
        <v>400015</v>
      </c>
      <c r="M170" t="s">
        <v>1420</v>
      </c>
      <c r="P170" t="s">
        <v>109</v>
      </c>
      <c r="R170" t="s">
        <v>590</v>
      </c>
      <c r="S170" t="s">
        <v>1848</v>
      </c>
      <c r="T170" t="s">
        <v>1849</v>
      </c>
      <c r="V170" t="s">
        <v>477</v>
      </c>
      <c r="W170" t="s">
        <v>73</v>
      </c>
      <c r="AE170" t="s">
        <v>478</v>
      </c>
      <c r="AF170" t="s">
        <v>479</v>
      </c>
      <c r="AL170">
        <v>17.495999999999999</v>
      </c>
      <c r="AM170" t="s">
        <v>1850</v>
      </c>
      <c r="AO170" t="s">
        <v>480</v>
      </c>
      <c r="AP170" t="s">
        <v>481</v>
      </c>
      <c r="AQ170" t="s">
        <v>536</v>
      </c>
      <c r="AR170" t="s">
        <v>482</v>
      </c>
      <c r="AS170" t="s">
        <v>483</v>
      </c>
      <c r="AT170" t="s">
        <v>484</v>
      </c>
      <c r="AU170" t="s">
        <v>521</v>
      </c>
      <c r="AV170" t="s">
        <v>662</v>
      </c>
      <c r="AW170" t="s">
        <v>486</v>
      </c>
      <c r="BF170" s="1"/>
      <c r="BG170" t="s">
        <v>523</v>
      </c>
      <c r="BH170" t="s">
        <v>487</v>
      </c>
      <c r="BP170" t="s">
        <v>1489</v>
      </c>
      <c r="BQ170" t="s">
        <v>662</v>
      </c>
    </row>
    <row r="171" spans="1:69" x14ac:dyDescent="0.25">
      <c r="A171" t="s">
        <v>5713</v>
      </c>
      <c r="B171" t="s">
        <v>474</v>
      </c>
      <c r="C171" t="s">
        <v>1679</v>
      </c>
      <c r="E171" t="s">
        <v>480</v>
      </c>
      <c r="G171" s="1" t="s">
        <v>1844</v>
      </c>
      <c r="H171" t="s">
        <v>498</v>
      </c>
      <c r="J171">
        <v>400015</v>
      </c>
      <c r="M171" t="s">
        <v>1420</v>
      </c>
      <c r="P171" t="s">
        <v>105</v>
      </c>
      <c r="R171" t="s">
        <v>605</v>
      </c>
      <c r="S171" t="s">
        <v>1777</v>
      </c>
      <c r="T171" t="s">
        <v>1778</v>
      </c>
      <c r="V171" t="s">
        <v>477</v>
      </c>
      <c r="W171" t="s">
        <v>73</v>
      </c>
      <c r="AE171" t="s">
        <v>478</v>
      </c>
      <c r="AF171" t="s">
        <v>479</v>
      </c>
      <c r="AL171">
        <v>56.432000000000002</v>
      </c>
      <c r="AM171" t="s">
        <v>606</v>
      </c>
      <c r="AO171" t="s">
        <v>480</v>
      </c>
      <c r="AP171" t="s">
        <v>481</v>
      </c>
      <c r="AQ171" t="s">
        <v>607</v>
      </c>
      <c r="AR171" t="s">
        <v>482</v>
      </c>
      <c r="AS171" t="s">
        <v>483</v>
      </c>
      <c r="AT171" t="s">
        <v>484</v>
      </c>
      <c r="AU171" t="s">
        <v>521</v>
      </c>
      <c r="AV171" t="s">
        <v>662</v>
      </c>
      <c r="AW171" t="s">
        <v>486</v>
      </c>
      <c r="BF171" s="1"/>
      <c r="BG171" t="s">
        <v>523</v>
      </c>
      <c r="BH171" t="s">
        <v>487</v>
      </c>
      <c r="BP171" t="s">
        <v>1489</v>
      </c>
      <c r="BQ171" t="s">
        <v>662</v>
      </c>
    </row>
    <row r="172" spans="1:69" x14ac:dyDescent="0.25">
      <c r="A172" t="s">
        <v>5713</v>
      </c>
      <c r="B172" t="s">
        <v>474</v>
      </c>
      <c r="C172" t="s">
        <v>1679</v>
      </c>
      <c r="E172" t="s">
        <v>480</v>
      </c>
      <c r="G172" s="1" t="s">
        <v>1844</v>
      </c>
      <c r="H172" t="s">
        <v>500</v>
      </c>
      <c r="J172">
        <v>400015</v>
      </c>
      <c r="M172" t="s">
        <v>1416</v>
      </c>
      <c r="P172" t="s">
        <v>81</v>
      </c>
      <c r="R172" t="s">
        <v>1851</v>
      </c>
      <c r="S172" t="s">
        <v>1852</v>
      </c>
      <c r="T172" t="s">
        <v>1853</v>
      </c>
      <c r="V172" t="s">
        <v>477</v>
      </c>
      <c r="W172" t="s">
        <v>73</v>
      </c>
      <c r="AE172" t="s">
        <v>478</v>
      </c>
      <c r="AF172" t="s">
        <v>479</v>
      </c>
      <c r="AL172">
        <v>525.20000000000005</v>
      </c>
      <c r="AM172" t="s">
        <v>1854</v>
      </c>
      <c r="AO172" t="s">
        <v>480</v>
      </c>
      <c r="AP172" t="s">
        <v>481</v>
      </c>
      <c r="AQ172" t="s">
        <v>805</v>
      </c>
      <c r="AR172" t="s">
        <v>482</v>
      </c>
      <c r="AS172" t="s">
        <v>483</v>
      </c>
      <c r="AT172" t="s">
        <v>484</v>
      </c>
      <c r="AU172" t="s">
        <v>521</v>
      </c>
      <c r="AV172" t="s">
        <v>662</v>
      </c>
      <c r="AW172" t="s">
        <v>486</v>
      </c>
      <c r="BF172" s="1"/>
      <c r="BG172" t="s">
        <v>523</v>
      </c>
      <c r="BH172" t="s">
        <v>487</v>
      </c>
      <c r="BP172" t="s">
        <v>1489</v>
      </c>
      <c r="BQ172" t="s">
        <v>662</v>
      </c>
    </row>
    <row r="173" spans="1:69" x14ac:dyDescent="0.25">
      <c r="A173" t="s">
        <v>5713</v>
      </c>
      <c r="B173" t="s">
        <v>474</v>
      </c>
      <c r="C173" t="s">
        <v>1679</v>
      </c>
      <c r="E173" t="s">
        <v>480</v>
      </c>
      <c r="G173" s="1" t="s">
        <v>1844</v>
      </c>
      <c r="H173" t="s">
        <v>517</v>
      </c>
      <c r="J173">
        <v>400015</v>
      </c>
      <c r="M173" t="s">
        <v>1427</v>
      </c>
      <c r="P173" t="s">
        <v>104</v>
      </c>
      <c r="R173" t="s">
        <v>763</v>
      </c>
      <c r="S173" t="s">
        <v>1855</v>
      </c>
      <c r="T173" t="s">
        <v>1856</v>
      </c>
      <c r="V173" t="s">
        <v>477</v>
      </c>
      <c r="W173" t="s">
        <v>73</v>
      </c>
      <c r="AE173" t="s">
        <v>478</v>
      </c>
      <c r="AF173" t="s">
        <v>479</v>
      </c>
      <c r="AL173">
        <v>424.06</v>
      </c>
      <c r="AM173" t="s">
        <v>676</v>
      </c>
      <c r="AO173" t="s">
        <v>480</v>
      </c>
      <c r="AP173" t="s">
        <v>481</v>
      </c>
      <c r="AQ173" t="s">
        <v>637</v>
      </c>
      <c r="AR173" t="s">
        <v>482</v>
      </c>
      <c r="AS173" t="s">
        <v>483</v>
      </c>
      <c r="AT173" t="s">
        <v>484</v>
      </c>
      <c r="AU173" t="s">
        <v>521</v>
      </c>
      <c r="AV173" t="s">
        <v>662</v>
      </c>
      <c r="AW173" t="s">
        <v>486</v>
      </c>
      <c r="BF173" s="1"/>
      <c r="BG173" t="s">
        <v>523</v>
      </c>
      <c r="BH173" t="s">
        <v>487</v>
      </c>
      <c r="BP173" t="s">
        <v>1489</v>
      </c>
      <c r="BQ173" t="s">
        <v>662</v>
      </c>
    </row>
    <row r="174" spans="1:69" x14ac:dyDescent="0.25">
      <c r="A174" t="s">
        <v>5713</v>
      </c>
      <c r="B174" t="s">
        <v>474</v>
      </c>
      <c r="C174" t="s">
        <v>1679</v>
      </c>
      <c r="E174" t="s">
        <v>480</v>
      </c>
      <c r="G174" s="1" t="s">
        <v>1844</v>
      </c>
      <c r="H174" t="s">
        <v>537</v>
      </c>
      <c r="J174">
        <v>400015</v>
      </c>
      <c r="M174" t="s">
        <v>1420</v>
      </c>
      <c r="P174" t="s">
        <v>78</v>
      </c>
      <c r="R174" t="s">
        <v>778</v>
      </c>
      <c r="S174" t="s">
        <v>1857</v>
      </c>
      <c r="T174" t="s">
        <v>1858</v>
      </c>
      <c r="V174" t="s">
        <v>477</v>
      </c>
      <c r="W174" t="s">
        <v>73</v>
      </c>
      <c r="AE174" t="s">
        <v>478</v>
      </c>
      <c r="AF174" t="s">
        <v>479</v>
      </c>
      <c r="AL174">
        <v>918.24</v>
      </c>
      <c r="AM174" t="s">
        <v>1859</v>
      </c>
      <c r="AO174" t="s">
        <v>480</v>
      </c>
      <c r="AP174" t="s">
        <v>481</v>
      </c>
      <c r="AQ174" t="s">
        <v>631</v>
      </c>
      <c r="AR174" t="s">
        <v>482</v>
      </c>
      <c r="AS174" t="s">
        <v>483</v>
      </c>
      <c r="AT174" t="s">
        <v>484</v>
      </c>
      <c r="AU174" t="s">
        <v>521</v>
      </c>
      <c r="AV174" t="s">
        <v>662</v>
      </c>
      <c r="AW174" t="s">
        <v>486</v>
      </c>
      <c r="BF174" s="1"/>
      <c r="BG174" t="s">
        <v>523</v>
      </c>
      <c r="BH174" t="s">
        <v>487</v>
      </c>
      <c r="BP174" t="s">
        <v>1489</v>
      </c>
      <c r="BQ174" t="s">
        <v>662</v>
      </c>
    </row>
    <row r="175" spans="1:69" x14ac:dyDescent="0.25">
      <c r="A175" t="s">
        <v>5713</v>
      </c>
      <c r="B175" t="s">
        <v>474</v>
      </c>
      <c r="C175" t="s">
        <v>1679</v>
      </c>
      <c r="E175" t="s">
        <v>480</v>
      </c>
      <c r="G175" s="1" t="s">
        <v>1844</v>
      </c>
      <c r="H175" t="s">
        <v>542</v>
      </c>
      <c r="J175">
        <v>400015</v>
      </c>
      <c r="M175" t="s">
        <v>1415</v>
      </c>
      <c r="P175" t="s">
        <v>82</v>
      </c>
      <c r="R175" t="s">
        <v>649</v>
      </c>
      <c r="S175" t="s">
        <v>650</v>
      </c>
      <c r="T175" t="s">
        <v>651</v>
      </c>
      <c r="V175" t="s">
        <v>477</v>
      </c>
      <c r="W175" t="s">
        <v>73</v>
      </c>
      <c r="AE175" t="s">
        <v>478</v>
      </c>
      <c r="AF175" t="s">
        <v>479</v>
      </c>
      <c r="AL175">
        <v>119.21000000000001</v>
      </c>
      <c r="AM175" t="s">
        <v>652</v>
      </c>
      <c r="AO175" t="s">
        <v>480</v>
      </c>
      <c r="AP175" t="s">
        <v>481</v>
      </c>
      <c r="AQ175" t="s">
        <v>541</v>
      </c>
      <c r="AR175" t="s">
        <v>482</v>
      </c>
      <c r="AS175" t="s">
        <v>483</v>
      </c>
      <c r="AT175" t="s">
        <v>484</v>
      </c>
      <c r="AU175" t="s">
        <v>521</v>
      </c>
      <c r="AV175" t="s">
        <v>662</v>
      </c>
      <c r="AW175" t="s">
        <v>486</v>
      </c>
      <c r="BF175" s="1"/>
      <c r="BG175" t="s">
        <v>523</v>
      </c>
      <c r="BH175" t="s">
        <v>487</v>
      </c>
      <c r="BP175" t="s">
        <v>1489</v>
      </c>
      <c r="BQ175" t="s">
        <v>662</v>
      </c>
    </row>
    <row r="176" spans="1:69" x14ac:dyDescent="0.25">
      <c r="A176" t="s">
        <v>5713</v>
      </c>
      <c r="B176" t="s">
        <v>474</v>
      </c>
      <c r="C176" t="s">
        <v>1679</v>
      </c>
      <c r="E176" t="s">
        <v>480</v>
      </c>
      <c r="G176" s="1" t="s">
        <v>1844</v>
      </c>
      <c r="H176" t="s">
        <v>546</v>
      </c>
      <c r="J176">
        <v>400015</v>
      </c>
      <c r="M176" t="s">
        <v>1420</v>
      </c>
      <c r="P176" t="s">
        <v>109</v>
      </c>
      <c r="R176" t="s">
        <v>653</v>
      </c>
      <c r="S176" t="s">
        <v>1860</v>
      </c>
      <c r="T176" t="s">
        <v>1861</v>
      </c>
      <c r="V176" t="s">
        <v>477</v>
      </c>
      <c r="W176" t="s">
        <v>73</v>
      </c>
      <c r="AE176" t="s">
        <v>478</v>
      </c>
      <c r="AF176" t="s">
        <v>479</v>
      </c>
      <c r="AL176">
        <v>163.29599999999999</v>
      </c>
      <c r="AM176" t="s">
        <v>793</v>
      </c>
      <c r="AO176" t="s">
        <v>480</v>
      </c>
      <c r="AP176" t="s">
        <v>481</v>
      </c>
      <c r="AQ176" t="s">
        <v>536</v>
      </c>
      <c r="AR176" t="s">
        <v>482</v>
      </c>
      <c r="AS176" t="s">
        <v>483</v>
      </c>
      <c r="AT176" t="s">
        <v>484</v>
      </c>
      <c r="AU176" t="s">
        <v>521</v>
      </c>
      <c r="AV176" t="s">
        <v>662</v>
      </c>
      <c r="AW176" t="s">
        <v>486</v>
      </c>
      <c r="BF176" s="1"/>
      <c r="BG176" t="s">
        <v>523</v>
      </c>
      <c r="BH176" t="s">
        <v>487</v>
      </c>
      <c r="BP176" t="s">
        <v>1489</v>
      </c>
      <c r="BQ176" t="s">
        <v>662</v>
      </c>
    </row>
    <row r="177" spans="1:69" x14ac:dyDescent="0.25">
      <c r="A177" t="s">
        <v>5713</v>
      </c>
      <c r="B177" t="s">
        <v>474</v>
      </c>
      <c r="C177" t="s">
        <v>1679</v>
      </c>
      <c r="E177" t="s">
        <v>480</v>
      </c>
      <c r="G177" s="1" t="s">
        <v>1844</v>
      </c>
      <c r="H177" t="s">
        <v>549</v>
      </c>
      <c r="J177">
        <v>400015</v>
      </c>
      <c r="M177" t="s">
        <v>1415</v>
      </c>
      <c r="P177" t="s">
        <v>87</v>
      </c>
      <c r="R177" t="s">
        <v>663</v>
      </c>
      <c r="S177" t="s">
        <v>1862</v>
      </c>
      <c r="T177" t="s">
        <v>1863</v>
      </c>
      <c r="V177" t="s">
        <v>477</v>
      </c>
      <c r="W177" t="s">
        <v>73</v>
      </c>
      <c r="AE177" t="s">
        <v>478</v>
      </c>
      <c r="AF177" t="s">
        <v>479</v>
      </c>
      <c r="AL177">
        <v>205.71600000000001</v>
      </c>
      <c r="AM177" t="s">
        <v>664</v>
      </c>
      <c r="AO177" t="s">
        <v>480</v>
      </c>
      <c r="AP177" t="s">
        <v>481</v>
      </c>
      <c r="AQ177" t="s">
        <v>552</v>
      </c>
      <c r="AR177" t="s">
        <v>482</v>
      </c>
      <c r="AS177" t="s">
        <v>483</v>
      </c>
      <c r="AT177" t="s">
        <v>484</v>
      </c>
      <c r="AU177" t="s">
        <v>521</v>
      </c>
      <c r="AV177" t="s">
        <v>662</v>
      </c>
      <c r="AW177" t="s">
        <v>486</v>
      </c>
      <c r="BF177" s="1"/>
      <c r="BG177" t="s">
        <v>523</v>
      </c>
      <c r="BH177" t="s">
        <v>487</v>
      </c>
      <c r="BP177" t="s">
        <v>1489</v>
      </c>
      <c r="BQ177" t="s">
        <v>662</v>
      </c>
    </row>
    <row r="178" spans="1:69" x14ac:dyDescent="0.25">
      <c r="A178" t="s">
        <v>5713</v>
      </c>
      <c r="B178" t="s">
        <v>474</v>
      </c>
      <c r="C178" t="s">
        <v>1679</v>
      </c>
      <c r="E178" t="s">
        <v>480</v>
      </c>
      <c r="G178" s="1" t="s">
        <v>1844</v>
      </c>
      <c r="H178" t="s">
        <v>553</v>
      </c>
      <c r="J178">
        <v>400015</v>
      </c>
      <c r="M178" t="s">
        <v>1420</v>
      </c>
      <c r="P178" t="s">
        <v>158</v>
      </c>
      <c r="R178" t="s">
        <v>543</v>
      </c>
      <c r="S178" t="s">
        <v>1864</v>
      </c>
      <c r="T178" t="s">
        <v>1865</v>
      </c>
      <c r="V178" t="s">
        <v>477</v>
      </c>
      <c r="W178" t="s">
        <v>73</v>
      </c>
      <c r="AE178" t="s">
        <v>478</v>
      </c>
      <c r="AF178" t="s">
        <v>479</v>
      </c>
      <c r="AL178">
        <v>6.2969999999999997</v>
      </c>
      <c r="AM178" t="s">
        <v>689</v>
      </c>
      <c r="AO178" t="s">
        <v>480</v>
      </c>
      <c r="AP178" t="s">
        <v>481</v>
      </c>
      <c r="AQ178" t="s">
        <v>690</v>
      </c>
      <c r="AR178" t="s">
        <v>482</v>
      </c>
      <c r="AS178" t="s">
        <v>483</v>
      </c>
      <c r="AT178" t="s">
        <v>484</v>
      </c>
      <c r="AU178" t="s">
        <v>521</v>
      </c>
      <c r="AV178" t="s">
        <v>662</v>
      </c>
      <c r="AW178" t="s">
        <v>486</v>
      </c>
      <c r="BF178" s="1"/>
      <c r="BG178" t="s">
        <v>523</v>
      </c>
      <c r="BH178" t="s">
        <v>487</v>
      </c>
      <c r="BP178" t="s">
        <v>1489</v>
      </c>
      <c r="BQ178" t="s">
        <v>662</v>
      </c>
    </row>
    <row r="179" spans="1:69" x14ac:dyDescent="0.25">
      <c r="A179" t="s">
        <v>5713</v>
      </c>
      <c r="B179" t="s">
        <v>474</v>
      </c>
      <c r="C179" t="s">
        <v>1679</v>
      </c>
      <c r="E179" t="s">
        <v>480</v>
      </c>
      <c r="G179" s="1" t="s">
        <v>1844</v>
      </c>
      <c r="H179" t="s">
        <v>556</v>
      </c>
      <c r="J179">
        <v>400015</v>
      </c>
      <c r="M179" t="s">
        <v>1415</v>
      </c>
      <c r="P179" t="s">
        <v>102</v>
      </c>
      <c r="R179" t="s">
        <v>683</v>
      </c>
      <c r="S179" t="s">
        <v>1866</v>
      </c>
      <c r="T179" t="s">
        <v>1867</v>
      </c>
      <c r="V179" t="s">
        <v>477</v>
      </c>
      <c r="W179" t="s">
        <v>73</v>
      </c>
      <c r="AE179" t="s">
        <v>478</v>
      </c>
      <c r="AF179" t="s">
        <v>479</v>
      </c>
      <c r="AL179">
        <v>249.76</v>
      </c>
      <c r="AM179" t="s">
        <v>875</v>
      </c>
      <c r="AO179" t="s">
        <v>480</v>
      </c>
      <c r="AP179" t="s">
        <v>481</v>
      </c>
      <c r="AQ179" t="s">
        <v>646</v>
      </c>
      <c r="AR179" t="s">
        <v>482</v>
      </c>
      <c r="AS179" t="s">
        <v>483</v>
      </c>
      <c r="AT179" t="s">
        <v>484</v>
      </c>
      <c r="AU179" t="s">
        <v>521</v>
      </c>
      <c r="AV179" t="s">
        <v>662</v>
      </c>
      <c r="AW179" t="s">
        <v>486</v>
      </c>
      <c r="BF179" s="1"/>
      <c r="BG179" t="s">
        <v>523</v>
      </c>
      <c r="BH179" t="s">
        <v>487</v>
      </c>
      <c r="BP179" t="s">
        <v>1489</v>
      </c>
      <c r="BQ179" t="s">
        <v>662</v>
      </c>
    </row>
    <row r="180" spans="1:69" x14ac:dyDescent="0.25">
      <c r="A180" t="s">
        <v>5713</v>
      </c>
      <c r="B180" t="s">
        <v>474</v>
      </c>
      <c r="C180" t="s">
        <v>1679</v>
      </c>
      <c r="E180" t="s">
        <v>480</v>
      </c>
      <c r="G180" s="1" t="s">
        <v>1844</v>
      </c>
      <c r="H180" t="s">
        <v>559</v>
      </c>
      <c r="J180">
        <v>400015</v>
      </c>
      <c r="M180" t="s">
        <v>1415</v>
      </c>
      <c r="P180" t="s">
        <v>82</v>
      </c>
      <c r="R180" t="s">
        <v>655</v>
      </c>
      <c r="S180" t="s">
        <v>1868</v>
      </c>
      <c r="T180" t="s">
        <v>1869</v>
      </c>
      <c r="V180" t="s">
        <v>477</v>
      </c>
      <c r="W180" t="s">
        <v>73</v>
      </c>
      <c r="AE180" t="s">
        <v>478</v>
      </c>
      <c r="AF180" t="s">
        <v>479</v>
      </c>
      <c r="AL180">
        <v>214.578</v>
      </c>
      <c r="AM180" t="s">
        <v>576</v>
      </c>
      <c r="AO180" t="s">
        <v>480</v>
      </c>
      <c r="AP180" t="s">
        <v>481</v>
      </c>
      <c r="AQ180" t="s">
        <v>541</v>
      </c>
      <c r="AR180" t="s">
        <v>482</v>
      </c>
      <c r="AS180" t="s">
        <v>483</v>
      </c>
      <c r="AT180" t="s">
        <v>484</v>
      </c>
      <c r="AU180" t="s">
        <v>521</v>
      </c>
      <c r="AV180" t="s">
        <v>662</v>
      </c>
      <c r="AW180" t="s">
        <v>486</v>
      </c>
      <c r="BF180" s="1"/>
      <c r="BG180" t="s">
        <v>523</v>
      </c>
      <c r="BH180" t="s">
        <v>487</v>
      </c>
      <c r="BP180" t="s">
        <v>1489</v>
      </c>
      <c r="BQ180" t="s">
        <v>662</v>
      </c>
    </row>
    <row r="181" spans="1:69" x14ac:dyDescent="0.25">
      <c r="A181" t="s">
        <v>5713</v>
      </c>
      <c r="B181" t="s">
        <v>474</v>
      </c>
      <c r="C181" t="s">
        <v>1679</v>
      </c>
      <c r="E181" t="s">
        <v>480</v>
      </c>
      <c r="G181" s="1" t="s">
        <v>1844</v>
      </c>
      <c r="H181" t="s">
        <v>562</v>
      </c>
      <c r="J181">
        <v>400015</v>
      </c>
      <c r="M181" t="s">
        <v>1425</v>
      </c>
      <c r="P181" t="s">
        <v>170</v>
      </c>
      <c r="R181" t="s">
        <v>683</v>
      </c>
      <c r="S181" t="s">
        <v>1870</v>
      </c>
      <c r="T181" t="s">
        <v>1871</v>
      </c>
      <c r="V181" t="s">
        <v>477</v>
      </c>
      <c r="W181" t="s">
        <v>73</v>
      </c>
      <c r="AE181" t="s">
        <v>478</v>
      </c>
      <c r="AF181" t="s">
        <v>479</v>
      </c>
      <c r="AL181">
        <v>332.78</v>
      </c>
      <c r="AM181" t="s">
        <v>674</v>
      </c>
      <c r="AO181" t="s">
        <v>480</v>
      </c>
      <c r="AP181" t="s">
        <v>481</v>
      </c>
      <c r="AQ181" t="s">
        <v>854</v>
      </c>
      <c r="AR181" t="s">
        <v>482</v>
      </c>
      <c r="AS181" t="s">
        <v>483</v>
      </c>
      <c r="AT181" t="s">
        <v>484</v>
      </c>
      <c r="AU181" t="s">
        <v>521</v>
      </c>
      <c r="AV181" t="s">
        <v>662</v>
      </c>
      <c r="AW181" t="s">
        <v>486</v>
      </c>
      <c r="BF181" s="1"/>
      <c r="BG181" t="s">
        <v>523</v>
      </c>
      <c r="BH181" t="s">
        <v>487</v>
      </c>
      <c r="BP181" t="s">
        <v>1489</v>
      </c>
      <c r="BQ181" t="s">
        <v>662</v>
      </c>
    </row>
    <row r="182" spans="1:69" x14ac:dyDescent="0.25">
      <c r="A182" t="s">
        <v>5713</v>
      </c>
      <c r="B182" t="s">
        <v>474</v>
      </c>
      <c r="C182" t="s">
        <v>1679</v>
      </c>
      <c r="E182" t="s">
        <v>480</v>
      </c>
      <c r="G182" s="1" t="s">
        <v>1844</v>
      </c>
      <c r="H182" t="s">
        <v>564</v>
      </c>
      <c r="J182">
        <v>400015</v>
      </c>
      <c r="M182" t="s">
        <v>1416</v>
      </c>
      <c r="P182" t="s">
        <v>94</v>
      </c>
      <c r="R182" t="s">
        <v>1872</v>
      </c>
      <c r="S182" t="s">
        <v>1873</v>
      </c>
      <c r="T182" t="s">
        <v>1874</v>
      </c>
      <c r="V182" t="s">
        <v>477</v>
      </c>
      <c r="W182" t="s">
        <v>73</v>
      </c>
      <c r="AE182" t="s">
        <v>478</v>
      </c>
      <c r="AF182" t="s">
        <v>479</v>
      </c>
      <c r="AL182">
        <v>1585.3680000000002</v>
      </c>
      <c r="AM182" t="s">
        <v>1875</v>
      </c>
      <c r="AO182" t="s">
        <v>480</v>
      </c>
      <c r="AP182" t="s">
        <v>481</v>
      </c>
      <c r="AQ182" t="s">
        <v>555</v>
      </c>
      <c r="AR182" t="s">
        <v>482</v>
      </c>
      <c r="AS182" t="s">
        <v>483</v>
      </c>
      <c r="AT182" t="s">
        <v>484</v>
      </c>
      <c r="AU182" t="s">
        <v>521</v>
      </c>
      <c r="AV182" t="s">
        <v>662</v>
      </c>
      <c r="AW182" t="s">
        <v>486</v>
      </c>
      <c r="BF182" s="1"/>
      <c r="BG182" t="s">
        <v>523</v>
      </c>
      <c r="BH182" t="s">
        <v>487</v>
      </c>
      <c r="BP182" t="s">
        <v>1489</v>
      </c>
      <c r="BQ182" t="s">
        <v>662</v>
      </c>
    </row>
    <row r="183" spans="1:69" x14ac:dyDescent="0.25">
      <c r="A183" t="s">
        <v>5713</v>
      </c>
      <c r="B183" t="s">
        <v>474</v>
      </c>
      <c r="C183" t="s">
        <v>1679</v>
      </c>
      <c r="E183" t="s">
        <v>480</v>
      </c>
      <c r="G183" s="1" t="s">
        <v>1844</v>
      </c>
      <c r="H183" t="s">
        <v>567</v>
      </c>
      <c r="J183">
        <v>400015</v>
      </c>
      <c r="M183" t="s">
        <v>1415</v>
      </c>
      <c r="P183" t="s">
        <v>82</v>
      </c>
      <c r="R183" t="s">
        <v>524</v>
      </c>
      <c r="S183" t="s">
        <v>538</v>
      </c>
      <c r="T183" t="s">
        <v>539</v>
      </c>
      <c r="V183" t="s">
        <v>477</v>
      </c>
      <c r="W183" t="s">
        <v>73</v>
      </c>
      <c r="AE183" t="s">
        <v>478</v>
      </c>
      <c r="AF183" t="s">
        <v>479</v>
      </c>
      <c r="AL183">
        <v>78.338000000000008</v>
      </c>
      <c r="AM183" t="s">
        <v>540</v>
      </c>
      <c r="AO183" t="s">
        <v>480</v>
      </c>
      <c r="AP183" t="s">
        <v>481</v>
      </c>
      <c r="AQ183" t="s">
        <v>541</v>
      </c>
      <c r="AR183" t="s">
        <v>482</v>
      </c>
      <c r="AS183" t="s">
        <v>483</v>
      </c>
      <c r="AT183" t="s">
        <v>484</v>
      </c>
      <c r="AU183" t="s">
        <v>521</v>
      </c>
      <c r="AV183" t="s">
        <v>662</v>
      </c>
      <c r="AW183" t="s">
        <v>486</v>
      </c>
      <c r="BF183" s="1"/>
      <c r="BG183" t="s">
        <v>523</v>
      </c>
      <c r="BH183" t="s">
        <v>487</v>
      </c>
      <c r="BP183" t="s">
        <v>1489</v>
      </c>
      <c r="BQ183" t="s">
        <v>662</v>
      </c>
    </row>
    <row r="184" spans="1:69" x14ac:dyDescent="0.25">
      <c r="A184" t="s">
        <v>5713</v>
      </c>
      <c r="B184" t="s">
        <v>474</v>
      </c>
      <c r="C184" t="s">
        <v>1679</v>
      </c>
      <c r="E184" t="s">
        <v>480</v>
      </c>
      <c r="G184" s="1" t="s">
        <v>1844</v>
      </c>
      <c r="H184" t="s">
        <v>571</v>
      </c>
      <c r="J184">
        <v>400015</v>
      </c>
      <c r="M184" t="s">
        <v>1424</v>
      </c>
      <c r="P184" t="s">
        <v>76</v>
      </c>
      <c r="R184" t="s">
        <v>830</v>
      </c>
      <c r="S184" t="s">
        <v>1876</v>
      </c>
      <c r="T184" t="s">
        <v>1877</v>
      </c>
      <c r="V184" t="s">
        <v>477</v>
      </c>
      <c r="W184" t="s">
        <v>73</v>
      </c>
      <c r="AE184" t="s">
        <v>478</v>
      </c>
      <c r="AF184" t="s">
        <v>479</v>
      </c>
      <c r="AL184">
        <v>376.76799999999997</v>
      </c>
      <c r="AM184" t="s">
        <v>831</v>
      </c>
      <c r="AO184" t="s">
        <v>480</v>
      </c>
      <c r="AP184" t="s">
        <v>481</v>
      </c>
      <c r="AQ184" t="s">
        <v>558</v>
      </c>
      <c r="AR184" t="s">
        <v>482</v>
      </c>
      <c r="AS184" t="s">
        <v>483</v>
      </c>
      <c r="AT184" t="s">
        <v>484</v>
      </c>
      <c r="AU184" t="s">
        <v>521</v>
      </c>
      <c r="AV184" t="s">
        <v>662</v>
      </c>
      <c r="AW184" t="s">
        <v>486</v>
      </c>
      <c r="BF184" s="1"/>
      <c r="BG184" t="s">
        <v>523</v>
      </c>
      <c r="BH184" t="s">
        <v>487</v>
      </c>
      <c r="BP184" t="s">
        <v>1489</v>
      </c>
      <c r="BQ184" t="s">
        <v>662</v>
      </c>
    </row>
    <row r="185" spans="1:69" x14ac:dyDescent="0.25">
      <c r="A185" t="s">
        <v>5713</v>
      </c>
      <c r="B185" t="s">
        <v>474</v>
      </c>
      <c r="C185" t="s">
        <v>1679</v>
      </c>
      <c r="E185" t="s">
        <v>480</v>
      </c>
      <c r="G185" s="1" t="s">
        <v>1844</v>
      </c>
      <c r="H185" t="s">
        <v>575</v>
      </c>
      <c r="J185">
        <v>400015</v>
      </c>
      <c r="M185" t="s">
        <v>1421</v>
      </c>
      <c r="P185" t="s">
        <v>126</v>
      </c>
      <c r="R185" t="s">
        <v>1792</v>
      </c>
      <c r="S185" t="s">
        <v>1878</v>
      </c>
      <c r="T185" t="s">
        <v>1879</v>
      </c>
      <c r="V185" t="s">
        <v>477</v>
      </c>
      <c r="W185" t="s">
        <v>73</v>
      </c>
      <c r="AE185" t="s">
        <v>478</v>
      </c>
      <c r="AF185" t="s">
        <v>479</v>
      </c>
      <c r="AL185">
        <v>1162.116</v>
      </c>
      <c r="AM185" t="s">
        <v>1880</v>
      </c>
      <c r="AO185" t="s">
        <v>480</v>
      </c>
      <c r="AP185" t="s">
        <v>481</v>
      </c>
      <c r="AQ185" t="s">
        <v>639</v>
      </c>
      <c r="AR185" t="s">
        <v>482</v>
      </c>
      <c r="AS185" t="s">
        <v>483</v>
      </c>
      <c r="AT185" t="s">
        <v>484</v>
      </c>
      <c r="AU185" t="s">
        <v>521</v>
      </c>
      <c r="AV185" t="s">
        <v>662</v>
      </c>
      <c r="AW185" t="s">
        <v>486</v>
      </c>
      <c r="BF185" s="1"/>
      <c r="BG185" t="s">
        <v>523</v>
      </c>
      <c r="BH185" t="s">
        <v>487</v>
      </c>
      <c r="BP185" t="s">
        <v>1489</v>
      </c>
      <c r="BQ185" t="s">
        <v>662</v>
      </c>
    </row>
    <row r="186" spans="1:69" x14ac:dyDescent="0.25">
      <c r="A186" t="s">
        <v>5713</v>
      </c>
      <c r="B186" t="s">
        <v>474</v>
      </c>
      <c r="C186" t="s">
        <v>1679</v>
      </c>
      <c r="E186" t="s">
        <v>480</v>
      </c>
      <c r="G186" s="1" t="s">
        <v>1881</v>
      </c>
      <c r="H186" t="s">
        <v>476</v>
      </c>
      <c r="J186">
        <v>400015</v>
      </c>
      <c r="M186" t="s">
        <v>1420</v>
      </c>
      <c r="P186" t="s">
        <v>109</v>
      </c>
      <c r="R186" t="s">
        <v>613</v>
      </c>
      <c r="S186" t="s">
        <v>1882</v>
      </c>
      <c r="T186" t="s">
        <v>1883</v>
      </c>
      <c r="V186" t="s">
        <v>477</v>
      </c>
      <c r="W186" t="s">
        <v>73</v>
      </c>
      <c r="AE186" t="s">
        <v>478</v>
      </c>
      <c r="AF186" t="s">
        <v>479</v>
      </c>
      <c r="AL186">
        <v>34.991999999999997</v>
      </c>
      <c r="AM186" t="s">
        <v>658</v>
      </c>
      <c r="AO186" t="s">
        <v>480</v>
      </c>
      <c r="AP186" t="s">
        <v>481</v>
      </c>
      <c r="AQ186" t="s">
        <v>536</v>
      </c>
      <c r="AR186" t="s">
        <v>482</v>
      </c>
      <c r="AS186" t="s">
        <v>483</v>
      </c>
      <c r="AT186" t="s">
        <v>484</v>
      </c>
      <c r="AU186" t="s">
        <v>521</v>
      </c>
      <c r="AV186" t="s">
        <v>662</v>
      </c>
      <c r="AW186" t="s">
        <v>486</v>
      </c>
      <c r="BF186" s="1"/>
      <c r="BG186" t="s">
        <v>523</v>
      </c>
      <c r="BH186" t="s">
        <v>487</v>
      </c>
      <c r="BP186" t="s">
        <v>1489</v>
      </c>
      <c r="BQ186" t="s">
        <v>662</v>
      </c>
    </row>
    <row r="187" spans="1:69" x14ac:dyDescent="0.25">
      <c r="A187" t="s">
        <v>5713</v>
      </c>
      <c r="B187" t="s">
        <v>474</v>
      </c>
      <c r="C187" t="s">
        <v>1679</v>
      </c>
      <c r="E187" t="s">
        <v>480</v>
      </c>
      <c r="G187" s="1" t="s">
        <v>1881</v>
      </c>
      <c r="H187" t="s">
        <v>492</v>
      </c>
      <c r="J187">
        <v>400015</v>
      </c>
      <c r="M187" t="s">
        <v>1421</v>
      </c>
      <c r="P187" t="s">
        <v>126</v>
      </c>
      <c r="R187" t="s">
        <v>858</v>
      </c>
      <c r="S187" t="s">
        <v>1884</v>
      </c>
      <c r="T187" t="s">
        <v>1885</v>
      </c>
      <c r="V187" t="s">
        <v>477</v>
      </c>
      <c r="W187" t="s">
        <v>73</v>
      </c>
      <c r="AE187" t="s">
        <v>478</v>
      </c>
      <c r="AF187" t="s">
        <v>479</v>
      </c>
      <c r="AL187">
        <v>397.56600000000003</v>
      </c>
      <c r="AM187" t="s">
        <v>1886</v>
      </c>
      <c r="AO187" t="s">
        <v>480</v>
      </c>
      <c r="AP187" t="s">
        <v>481</v>
      </c>
      <c r="AQ187" t="s">
        <v>639</v>
      </c>
      <c r="AR187" t="s">
        <v>482</v>
      </c>
      <c r="AS187" t="s">
        <v>483</v>
      </c>
      <c r="AT187" t="s">
        <v>484</v>
      </c>
      <c r="AU187" t="s">
        <v>521</v>
      </c>
      <c r="AV187" t="s">
        <v>662</v>
      </c>
      <c r="AW187" t="s">
        <v>486</v>
      </c>
      <c r="BF187" s="1"/>
      <c r="BG187" t="s">
        <v>523</v>
      </c>
      <c r="BH187" t="s">
        <v>487</v>
      </c>
      <c r="BP187" t="s">
        <v>1489</v>
      </c>
      <c r="BQ187" t="s">
        <v>662</v>
      </c>
    </row>
    <row r="188" spans="1:69" x14ac:dyDescent="0.25">
      <c r="A188" t="s">
        <v>5713</v>
      </c>
      <c r="B188" t="s">
        <v>474</v>
      </c>
      <c r="C188" t="s">
        <v>1679</v>
      </c>
      <c r="E188" t="s">
        <v>480</v>
      </c>
      <c r="G188" s="1" t="s">
        <v>1881</v>
      </c>
      <c r="H188" t="s">
        <v>498</v>
      </c>
      <c r="J188">
        <v>400015</v>
      </c>
      <c r="M188" t="s">
        <v>1428</v>
      </c>
      <c r="P188" t="s">
        <v>113</v>
      </c>
      <c r="R188" t="s">
        <v>807</v>
      </c>
      <c r="S188" t="s">
        <v>1887</v>
      </c>
      <c r="T188" t="s">
        <v>1888</v>
      </c>
      <c r="V188" t="s">
        <v>477</v>
      </c>
      <c r="W188" t="s">
        <v>73</v>
      </c>
      <c r="AE188" t="s">
        <v>478</v>
      </c>
      <c r="AF188" t="s">
        <v>479</v>
      </c>
      <c r="AL188">
        <v>162.27200000000002</v>
      </c>
      <c r="AM188" t="s">
        <v>1889</v>
      </c>
      <c r="AO188" t="s">
        <v>480</v>
      </c>
      <c r="AP188" t="s">
        <v>481</v>
      </c>
      <c r="AQ188" t="s">
        <v>657</v>
      </c>
      <c r="AR188" t="s">
        <v>482</v>
      </c>
      <c r="AS188" t="s">
        <v>483</v>
      </c>
      <c r="AT188" t="s">
        <v>484</v>
      </c>
      <c r="AU188" t="s">
        <v>521</v>
      </c>
      <c r="AV188" t="s">
        <v>662</v>
      </c>
      <c r="AW188" t="s">
        <v>486</v>
      </c>
      <c r="BF188" s="1"/>
      <c r="BG188" t="s">
        <v>523</v>
      </c>
      <c r="BH188" t="s">
        <v>487</v>
      </c>
      <c r="BP188" t="s">
        <v>1489</v>
      </c>
      <c r="BQ188" t="s">
        <v>662</v>
      </c>
    </row>
    <row r="189" spans="1:69" x14ac:dyDescent="0.25">
      <c r="A189" t="s">
        <v>5713</v>
      </c>
      <c r="B189" t="s">
        <v>474</v>
      </c>
      <c r="C189" t="s">
        <v>1679</v>
      </c>
      <c r="E189" t="s">
        <v>480</v>
      </c>
      <c r="G189" s="1" t="s">
        <v>1881</v>
      </c>
      <c r="H189" t="s">
        <v>500</v>
      </c>
      <c r="J189">
        <v>400015</v>
      </c>
      <c r="M189" t="s">
        <v>1424</v>
      </c>
      <c r="P189" t="s">
        <v>76</v>
      </c>
      <c r="R189" t="s">
        <v>1890</v>
      </c>
      <c r="S189" t="s">
        <v>1891</v>
      </c>
      <c r="T189" t="s">
        <v>1892</v>
      </c>
      <c r="V189" t="s">
        <v>477</v>
      </c>
      <c r="W189" t="s">
        <v>73</v>
      </c>
      <c r="AE189" t="s">
        <v>478</v>
      </c>
      <c r="AF189" t="s">
        <v>479</v>
      </c>
      <c r="AL189">
        <v>624.02199999999993</v>
      </c>
      <c r="AM189" t="s">
        <v>1893</v>
      </c>
      <c r="AO189" t="s">
        <v>480</v>
      </c>
      <c r="AP189" t="s">
        <v>481</v>
      </c>
      <c r="AQ189" t="s">
        <v>558</v>
      </c>
      <c r="AR189" t="s">
        <v>482</v>
      </c>
      <c r="AS189" t="s">
        <v>483</v>
      </c>
      <c r="AT189" t="s">
        <v>484</v>
      </c>
      <c r="AU189" t="s">
        <v>521</v>
      </c>
      <c r="AV189" t="s">
        <v>662</v>
      </c>
      <c r="AW189" t="s">
        <v>486</v>
      </c>
      <c r="BF189" s="1"/>
      <c r="BG189" t="s">
        <v>523</v>
      </c>
      <c r="BH189" t="s">
        <v>487</v>
      </c>
      <c r="BP189" t="s">
        <v>1489</v>
      </c>
      <c r="BQ189" t="s">
        <v>662</v>
      </c>
    </row>
    <row r="190" spans="1:69" x14ac:dyDescent="0.25">
      <c r="A190" t="s">
        <v>5713</v>
      </c>
      <c r="B190" t="s">
        <v>474</v>
      </c>
      <c r="C190" t="s">
        <v>1679</v>
      </c>
      <c r="E190" t="s">
        <v>480</v>
      </c>
      <c r="G190" s="1" t="s">
        <v>1881</v>
      </c>
      <c r="H190" t="s">
        <v>517</v>
      </c>
      <c r="J190">
        <v>400015</v>
      </c>
      <c r="M190" t="s">
        <v>1424</v>
      </c>
      <c r="P190" t="s">
        <v>157</v>
      </c>
      <c r="R190" t="s">
        <v>743</v>
      </c>
      <c r="S190" t="s">
        <v>1894</v>
      </c>
      <c r="T190" t="s">
        <v>1895</v>
      </c>
      <c r="V190" t="s">
        <v>477</v>
      </c>
      <c r="W190" t="s">
        <v>73</v>
      </c>
      <c r="AE190" t="s">
        <v>478</v>
      </c>
      <c r="AF190" t="s">
        <v>479</v>
      </c>
      <c r="AL190">
        <v>280.39999999999998</v>
      </c>
      <c r="AM190" t="s">
        <v>1896</v>
      </c>
      <c r="AO190" t="s">
        <v>480</v>
      </c>
      <c r="AP190" t="s">
        <v>481</v>
      </c>
      <c r="AQ190" t="s">
        <v>667</v>
      </c>
      <c r="AR190" t="s">
        <v>482</v>
      </c>
      <c r="AS190" t="s">
        <v>483</v>
      </c>
      <c r="AT190" t="s">
        <v>484</v>
      </c>
      <c r="AU190" t="s">
        <v>521</v>
      </c>
      <c r="AV190" t="s">
        <v>662</v>
      </c>
      <c r="AW190" t="s">
        <v>486</v>
      </c>
      <c r="BF190" s="1"/>
      <c r="BG190" t="s">
        <v>523</v>
      </c>
      <c r="BH190" t="s">
        <v>487</v>
      </c>
      <c r="BP190" t="s">
        <v>1489</v>
      </c>
      <c r="BQ190" t="s">
        <v>662</v>
      </c>
    </row>
    <row r="191" spans="1:69" x14ac:dyDescent="0.25">
      <c r="A191" t="s">
        <v>5713</v>
      </c>
      <c r="B191" t="s">
        <v>474</v>
      </c>
      <c r="C191" t="s">
        <v>1679</v>
      </c>
      <c r="E191" t="s">
        <v>480</v>
      </c>
      <c r="G191" s="1" t="s">
        <v>1881</v>
      </c>
      <c r="H191" t="s">
        <v>537</v>
      </c>
      <c r="J191">
        <v>400015</v>
      </c>
      <c r="M191" t="s">
        <v>1420</v>
      </c>
      <c r="P191" t="s">
        <v>109</v>
      </c>
      <c r="R191" t="s">
        <v>848</v>
      </c>
      <c r="S191" t="s">
        <v>1897</v>
      </c>
      <c r="T191" t="s">
        <v>1898</v>
      </c>
      <c r="V191" t="s">
        <v>477</v>
      </c>
      <c r="W191" t="s">
        <v>73</v>
      </c>
      <c r="AE191" t="s">
        <v>478</v>
      </c>
      <c r="AF191" t="s">
        <v>479</v>
      </c>
      <c r="AL191">
        <v>128.304</v>
      </c>
      <c r="AM191" t="s">
        <v>787</v>
      </c>
      <c r="AO191" t="s">
        <v>480</v>
      </c>
      <c r="AP191" t="s">
        <v>481</v>
      </c>
      <c r="AQ191" t="s">
        <v>536</v>
      </c>
      <c r="AR191" t="s">
        <v>482</v>
      </c>
      <c r="AS191" t="s">
        <v>483</v>
      </c>
      <c r="AT191" t="s">
        <v>484</v>
      </c>
      <c r="AU191" t="s">
        <v>521</v>
      </c>
      <c r="AV191" t="s">
        <v>662</v>
      </c>
      <c r="AW191" t="s">
        <v>486</v>
      </c>
      <c r="BF191" s="1"/>
      <c r="BG191" t="s">
        <v>523</v>
      </c>
      <c r="BH191" t="s">
        <v>487</v>
      </c>
      <c r="BP191" t="s">
        <v>1489</v>
      </c>
      <c r="BQ191" t="s">
        <v>662</v>
      </c>
    </row>
    <row r="192" spans="1:69" x14ac:dyDescent="0.25">
      <c r="A192" t="s">
        <v>5713</v>
      </c>
      <c r="B192" t="s">
        <v>474</v>
      </c>
      <c r="C192" t="s">
        <v>1679</v>
      </c>
      <c r="E192" t="s">
        <v>480</v>
      </c>
      <c r="G192" s="1" t="s">
        <v>1881</v>
      </c>
      <c r="H192" t="s">
        <v>542</v>
      </c>
      <c r="J192">
        <v>400015</v>
      </c>
      <c r="M192" t="s">
        <v>1416</v>
      </c>
      <c r="P192" t="s">
        <v>98</v>
      </c>
      <c r="R192" t="s">
        <v>586</v>
      </c>
      <c r="S192" t="s">
        <v>1899</v>
      </c>
      <c r="T192" t="s">
        <v>1900</v>
      </c>
      <c r="V192" t="s">
        <v>477</v>
      </c>
      <c r="W192" t="s">
        <v>73</v>
      </c>
      <c r="AE192" t="s">
        <v>478</v>
      </c>
      <c r="AF192" t="s">
        <v>479</v>
      </c>
      <c r="AL192">
        <v>122.22</v>
      </c>
      <c r="AM192" t="s">
        <v>587</v>
      </c>
      <c r="AO192" t="s">
        <v>480</v>
      </c>
      <c r="AP192" t="s">
        <v>481</v>
      </c>
      <c r="AQ192" t="s">
        <v>580</v>
      </c>
      <c r="AR192" t="s">
        <v>482</v>
      </c>
      <c r="AS192" t="s">
        <v>483</v>
      </c>
      <c r="AT192" t="s">
        <v>484</v>
      </c>
      <c r="AU192" t="s">
        <v>521</v>
      </c>
      <c r="AV192" t="s">
        <v>662</v>
      </c>
      <c r="AW192" t="s">
        <v>486</v>
      </c>
      <c r="BF192" s="1"/>
      <c r="BG192" t="s">
        <v>523</v>
      </c>
      <c r="BH192" t="s">
        <v>487</v>
      </c>
      <c r="BP192" t="s">
        <v>1489</v>
      </c>
      <c r="BQ192" t="s">
        <v>662</v>
      </c>
    </row>
    <row r="193" spans="1:69" x14ac:dyDescent="0.25">
      <c r="A193" t="s">
        <v>5713</v>
      </c>
      <c r="B193" t="s">
        <v>474</v>
      </c>
      <c r="C193" t="s">
        <v>1679</v>
      </c>
      <c r="E193" t="s">
        <v>480</v>
      </c>
      <c r="G193" s="1" t="s">
        <v>1881</v>
      </c>
      <c r="H193" t="s">
        <v>546</v>
      </c>
      <c r="J193">
        <v>400015</v>
      </c>
      <c r="M193" t="s">
        <v>1415</v>
      </c>
      <c r="P193" t="s">
        <v>87</v>
      </c>
      <c r="R193" t="s">
        <v>670</v>
      </c>
      <c r="S193" t="s">
        <v>1901</v>
      </c>
      <c r="T193" t="s">
        <v>1902</v>
      </c>
      <c r="V193" t="s">
        <v>477</v>
      </c>
      <c r="W193" t="s">
        <v>73</v>
      </c>
      <c r="AE193" t="s">
        <v>478</v>
      </c>
      <c r="AF193" t="s">
        <v>479</v>
      </c>
      <c r="AL193">
        <v>66.36</v>
      </c>
      <c r="AM193" t="s">
        <v>694</v>
      </c>
      <c r="AO193" t="s">
        <v>480</v>
      </c>
      <c r="AP193" t="s">
        <v>481</v>
      </c>
      <c r="AQ193" t="s">
        <v>552</v>
      </c>
      <c r="AR193" t="s">
        <v>482</v>
      </c>
      <c r="AS193" t="s">
        <v>483</v>
      </c>
      <c r="AT193" t="s">
        <v>484</v>
      </c>
      <c r="AU193" t="s">
        <v>521</v>
      </c>
      <c r="AV193" t="s">
        <v>662</v>
      </c>
      <c r="AW193" t="s">
        <v>486</v>
      </c>
      <c r="BF193" s="1"/>
      <c r="BG193" t="s">
        <v>523</v>
      </c>
      <c r="BH193" t="s">
        <v>487</v>
      </c>
      <c r="BP193" t="s">
        <v>1489</v>
      </c>
      <c r="BQ193" t="s">
        <v>662</v>
      </c>
    </row>
    <row r="194" spans="1:69" x14ac:dyDescent="0.25">
      <c r="A194" t="s">
        <v>5713</v>
      </c>
      <c r="B194" t="s">
        <v>474</v>
      </c>
      <c r="C194" t="s">
        <v>1679</v>
      </c>
      <c r="E194" t="s">
        <v>480</v>
      </c>
      <c r="G194" s="1" t="s">
        <v>1881</v>
      </c>
      <c r="H194" t="s">
        <v>549</v>
      </c>
      <c r="J194">
        <v>400015</v>
      </c>
      <c r="M194" t="s">
        <v>1420</v>
      </c>
      <c r="P194" t="s">
        <v>105</v>
      </c>
      <c r="R194" t="s">
        <v>550</v>
      </c>
      <c r="S194" t="s">
        <v>1903</v>
      </c>
      <c r="T194" t="s">
        <v>1904</v>
      </c>
      <c r="V194" t="s">
        <v>477</v>
      </c>
      <c r="W194" t="s">
        <v>73</v>
      </c>
      <c r="AE194" t="s">
        <v>478</v>
      </c>
      <c r="AF194" t="s">
        <v>479</v>
      </c>
      <c r="AL194">
        <v>183.404</v>
      </c>
      <c r="AM194" t="s">
        <v>1905</v>
      </c>
      <c r="AO194" t="s">
        <v>480</v>
      </c>
      <c r="AP194" t="s">
        <v>481</v>
      </c>
      <c r="AQ194" t="s">
        <v>607</v>
      </c>
      <c r="AR194" t="s">
        <v>482</v>
      </c>
      <c r="AS194" t="s">
        <v>483</v>
      </c>
      <c r="AT194" t="s">
        <v>484</v>
      </c>
      <c r="AU194" t="s">
        <v>521</v>
      </c>
      <c r="AV194" t="s">
        <v>662</v>
      </c>
      <c r="AW194" t="s">
        <v>486</v>
      </c>
      <c r="BF194" s="1"/>
      <c r="BG194" t="s">
        <v>523</v>
      </c>
      <c r="BH194" t="s">
        <v>487</v>
      </c>
      <c r="BP194" t="s">
        <v>1489</v>
      </c>
      <c r="BQ194" t="s">
        <v>662</v>
      </c>
    </row>
    <row r="195" spans="1:69" x14ac:dyDescent="0.25">
      <c r="A195" t="s">
        <v>5713</v>
      </c>
      <c r="B195" t="s">
        <v>474</v>
      </c>
      <c r="C195" t="s">
        <v>1679</v>
      </c>
      <c r="E195" t="s">
        <v>480</v>
      </c>
      <c r="G195" s="1" t="s">
        <v>1881</v>
      </c>
      <c r="H195" t="s">
        <v>553</v>
      </c>
      <c r="J195">
        <v>400015</v>
      </c>
      <c r="M195" t="s">
        <v>1425</v>
      </c>
      <c r="P195" t="s">
        <v>110</v>
      </c>
      <c r="R195" t="s">
        <v>848</v>
      </c>
      <c r="S195" t="s">
        <v>1906</v>
      </c>
      <c r="T195" t="s">
        <v>1907</v>
      </c>
      <c r="V195" t="s">
        <v>477</v>
      </c>
      <c r="W195" t="s">
        <v>73</v>
      </c>
      <c r="AE195" t="s">
        <v>478</v>
      </c>
      <c r="AF195" t="s">
        <v>479</v>
      </c>
      <c r="AL195">
        <v>88.550000000000011</v>
      </c>
      <c r="AM195" t="s">
        <v>789</v>
      </c>
      <c r="AO195" t="s">
        <v>480</v>
      </c>
      <c r="AP195" t="s">
        <v>481</v>
      </c>
      <c r="AQ195" t="s">
        <v>624</v>
      </c>
      <c r="AR195" t="s">
        <v>482</v>
      </c>
      <c r="AS195" t="s">
        <v>483</v>
      </c>
      <c r="AT195" t="s">
        <v>484</v>
      </c>
      <c r="AU195" t="s">
        <v>521</v>
      </c>
      <c r="AV195" t="s">
        <v>662</v>
      </c>
      <c r="AW195" t="s">
        <v>486</v>
      </c>
      <c r="BF195" s="1"/>
      <c r="BG195" t="s">
        <v>523</v>
      </c>
      <c r="BH195" t="s">
        <v>487</v>
      </c>
      <c r="BP195" t="s">
        <v>1489</v>
      </c>
      <c r="BQ195" t="s">
        <v>662</v>
      </c>
    </row>
    <row r="196" spans="1:69" x14ac:dyDescent="0.25">
      <c r="A196" t="s">
        <v>5713</v>
      </c>
      <c r="B196" t="s">
        <v>474</v>
      </c>
      <c r="C196" t="s">
        <v>1679</v>
      </c>
      <c r="E196" t="s">
        <v>480</v>
      </c>
      <c r="G196" s="1" t="s">
        <v>1881</v>
      </c>
      <c r="H196" t="s">
        <v>556</v>
      </c>
      <c r="J196">
        <v>400015</v>
      </c>
      <c r="M196" t="s">
        <v>1426</v>
      </c>
      <c r="P196" t="s">
        <v>114</v>
      </c>
      <c r="R196" t="s">
        <v>635</v>
      </c>
      <c r="S196" t="s">
        <v>838</v>
      </c>
      <c r="T196" t="s">
        <v>839</v>
      </c>
      <c r="V196" t="s">
        <v>477</v>
      </c>
      <c r="W196" t="s">
        <v>73</v>
      </c>
      <c r="AE196" t="s">
        <v>478</v>
      </c>
      <c r="AF196" t="s">
        <v>479</v>
      </c>
      <c r="AL196">
        <v>49.699999999999996</v>
      </c>
      <c r="AM196" t="s">
        <v>687</v>
      </c>
      <c r="AO196" t="s">
        <v>480</v>
      </c>
      <c r="AP196" t="s">
        <v>481</v>
      </c>
      <c r="AQ196" t="s">
        <v>584</v>
      </c>
      <c r="AR196" t="s">
        <v>482</v>
      </c>
      <c r="AS196" t="s">
        <v>483</v>
      </c>
      <c r="AT196" t="s">
        <v>484</v>
      </c>
      <c r="AU196" t="s">
        <v>521</v>
      </c>
      <c r="AV196" t="s">
        <v>662</v>
      </c>
      <c r="AW196" t="s">
        <v>486</v>
      </c>
      <c r="BF196" s="1"/>
      <c r="BG196" t="s">
        <v>523</v>
      </c>
      <c r="BH196" t="s">
        <v>487</v>
      </c>
      <c r="BP196" t="s">
        <v>1489</v>
      </c>
      <c r="BQ196" t="s">
        <v>662</v>
      </c>
    </row>
    <row r="197" spans="1:69" x14ac:dyDescent="0.25">
      <c r="A197" t="s">
        <v>5713</v>
      </c>
      <c r="B197" t="s">
        <v>474</v>
      </c>
      <c r="C197" t="s">
        <v>1679</v>
      </c>
      <c r="E197" t="s">
        <v>480</v>
      </c>
      <c r="G197" s="1" t="s">
        <v>1881</v>
      </c>
      <c r="H197" t="s">
        <v>559</v>
      </c>
      <c r="J197">
        <v>400015</v>
      </c>
      <c r="M197" t="s">
        <v>1427</v>
      </c>
      <c r="P197" t="s">
        <v>104</v>
      </c>
      <c r="R197" t="s">
        <v>529</v>
      </c>
      <c r="S197" t="s">
        <v>1908</v>
      </c>
      <c r="T197" t="s">
        <v>1909</v>
      </c>
      <c r="V197" t="s">
        <v>477</v>
      </c>
      <c r="W197" t="s">
        <v>73</v>
      </c>
      <c r="AE197" t="s">
        <v>478</v>
      </c>
      <c r="AF197" t="s">
        <v>479</v>
      </c>
      <c r="AL197">
        <v>48.463999999999999</v>
      </c>
      <c r="AM197" t="s">
        <v>687</v>
      </c>
      <c r="AO197" t="s">
        <v>480</v>
      </c>
      <c r="AP197" t="s">
        <v>481</v>
      </c>
      <c r="AQ197" t="s">
        <v>637</v>
      </c>
      <c r="AR197" t="s">
        <v>482</v>
      </c>
      <c r="AS197" t="s">
        <v>483</v>
      </c>
      <c r="AT197" t="s">
        <v>484</v>
      </c>
      <c r="AU197" t="s">
        <v>521</v>
      </c>
      <c r="AV197" t="s">
        <v>662</v>
      </c>
      <c r="AW197" t="s">
        <v>486</v>
      </c>
      <c r="BF197" s="1"/>
      <c r="BG197" t="s">
        <v>523</v>
      </c>
      <c r="BH197" t="s">
        <v>487</v>
      </c>
      <c r="BP197" t="s">
        <v>1489</v>
      </c>
      <c r="BQ197" t="s">
        <v>662</v>
      </c>
    </row>
    <row r="198" spans="1:69" x14ac:dyDescent="0.25">
      <c r="A198" t="s">
        <v>5713</v>
      </c>
      <c r="B198" t="s">
        <v>474</v>
      </c>
      <c r="C198" t="s">
        <v>1679</v>
      </c>
      <c r="E198" t="s">
        <v>480</v>
      </c>
      <c r="G198" s="1" t="s">
        <v>1881</v>
      </c>
      <c r="H198" t="s">
        <v>562</v>
      </c>
      <c r="J198">
        <v>400015</v>
      </c>
      <c r="M198" t="s">
        <v>1420</v>
      </c>
      <c r="P198" t="s">
        <v>88</v>
      </c>
      <c r="R198" t="s">
        <v>848</v>
      </c>
      <c r="S198" t="s">
        <v>1910</v>
      </c>
      <c r="T198" t="s">
        <v>1911</v>
      </c>
      <c r="V198" t="s">
        <v>477</v>
      </c>
      <c r="W198" t="s">
        <v>73</v>
      </c>
      <c r="AE198" t="s">
        <v>478</v>
      </c>
      <c r="AF198" t="s">
        <v>479</v>
      </c>
      <c r="AL198">
        <v>119.834</v>
      </c>
      <c r="AM198" t="s">
        <v>787</v>
      </c>
      <c r="AO198" t="s">
        <v>480</v>
      </c>
      <c r="AP198" t="s">
        <v>481</v>
      </c>
      <c r="AQ198" t="s">
        <v>597</v>
      </c>
      <c r="AR198" t="s">
        <v>482</v>
      </c>
      <c r="AS198" t="s">
        <v>483</v>
      </c>
      <c r="AT198" t="s">
        <v>484</v>
      </c>
      <c r="AU198" t="s">
        <v>521</v>
      </c>
      <c r="AV198" t="s">
        <v>662</v>
      </c>
      <c r="AW198" t="s">
        <v>486</v>
      </c>
      <c r="BF198" s="1"/>
      <c r="BG198" t="s">
        <v>523</v>
      </c>
      <c r="BH198" t="s">
        <v>487</v>
      </c>
      <c r="BP198" t="s">
        <v>1489</v>
      </c>
      <c r="BQ198" t="s">
        <v>662</v>
      </c>
    </row>
    <row r="199" spans="1:69" x14ac:dyDescent="0.25">
      <c r="A199" t="s">
        <v>5713</v>
      </c>
      <c r="B199" t="s">
        <v>474</v>
      </c>
      <c r="C199" t="s">
        <v>1679</v>
      </c>
      <c r="E199" t="s">
        <v>480</v>
      </c>
      <c r="G199" s="1" t="s">
        <v>1881</v>
      </c>
      <c r="H199" t="s">
        <v>564</v>
      </c>
      <c r="J199">
        <v>400015</v>
      </c>
      <c r="M199" t="s">
        <v>1416</v>
      </c>
      <c r="P199" t="s">
        <v>94</v>
      </c>
      <c r="R199" t="s">
        <v>1912</v>
      </c>
      <c r="S199" t="s">
        <v>1913</v>
      </c>
      <c r="T199" t="s">
        <v>1914</v>
      </c>
      <c r="V199" t="s">
        <v>477</v>
      </c>
      <c r="W199" t="s">
        <v>73</v>
      </c>
      <c r="AE199" t="s">
        <v>478</v>
      </c>
      <c r="AF199" t="s">
        <v>479</v>
      </c>
      <c r="AL199">
        <v>469.89000000000004</v>
      </c>
      <c r="AM199" t="s">
        <v>1915</v>
      </c>
      <c r="AO199" t="s">
        <v>480</v>
      </c>
      <c r="AP199" t="s">
        <v>481</v>
      </c>
      <c r="AQ199" t="s">
        <v>555</v>
      </c>
      <c r="AR199" t="s">
        <v>482</v>
      </c>
      <c r="AS199" t="s">
        <v>483</v>
      </c>
      <c r="AT199" t="s">
        <v>484</v>
      </c>
      <c r="AU199" t="s">
        <v>521</v>
      </c>
      <c r="AV199" t="s">
        <v>662</v>
      </c>
      <c r="AW199" t="s">
        <v>486</v>
      </c>
      <c r="BF199" s="1"/>
      <c r="BG199" t="s">
        <v>523</v>
      </c>
      <c r="BH199" t="s">
        <v>487</v>
      </c>
      <c r="BP199" t="s">
        <v>1489</v>
      </c>
      <c r="BQ199" t="s">
        <v>662</v>
      </c>
    </row>
    <row r="200" spans="1:69" x14ac:dyDescent="0.25">
      <c r="A200" t="s">
        <v>5713</v>
      </c>
      <c r="B200" t="s">
        <v>474</v>
      </c>
      <c r="C200" t="s">
        <v>1679</v>
      </c>
      <c r="E200" t="s">
        <v>480</v>
      </c>
      <c r="G200" s="1" t="s">
        <v>1881</v>
      </c>
      <c r="H200" t="s">
        <v>567</v>
      </c>
      <c r="J200">
        <v>400015</v>
      </c>
      <c r="M200" t="s">
        <v>1420</v>
      </c>
      <c r="P200" t="s">
        <v>78</v>
      </c>
      <c r="R200" t="s">
        <v>640</v>
      </c>
      <c r="S200" t="s">
        <v>1916</v>
      </c>
      <c r="T200" t="s">
        <v>1917</v>
      </c>
      <c r="V200" t="s">
        <v>477</v>
      </c>
      <c r="W200" t="s">
        <v>73</v>
      </c>
      <c r="AE200" t="s">
        <v>478</v>
      </c>
      <c r="AF200" t="s">
        <v>479</v>
      </c>
      <c r="AL200">
        <v>286.95</v>
      </c>
      <c r="AM200" t="s">
        <v>760</v>
      </c>
      <c r="AO200" t="s">
        <v>480</v>
      </c>
      <c r="AP200" t="s">
        <v>481</v>
      </c>
      <c r="AQ200" t="s">
        <v>631</v>
      </c>
      <c r="AR200" t="s">
        <v>482</v>
      </c>
      <c r="AS200" t="s">
        <v>483</v>
      </c>
      <c r="AT200" t="s">
        <v>484</v>
      </c>
      <c r="AU200" t="s">
        <v>521</v>
      </c>
      <c r="AV200" t="s">
        <v>662</v>
      </c>
      <c r="AW200" t="s">
        <v>486</v>
      </c>
      <c r="BF200" s="1"/>
      <c r="BG200" t="s">
        <v>523</v>
      </c>
      <c r="BH200" t="s">
        <v>487</v>
      </c>
      <c r="BP200" t="s">
        <v>1489</v>
      </c>
      <c r="BQ200" t="s">
        <v>662</v>
      </c>
    </row>
    <row r="201" spans="1:69" x14ac:dyDescent="0.25">
      <c r="A201" t="s">
        <v>5713</v>
      </c>
      <c r="B201" t="s">
        <v>474</v>
      </c>
      <c r="C201" t="s">
        <v>1679</v>
      </c>
      <c r="E201" t="s">
        <v>480</v>
      </c>
      <c r="G201" s="1" t="s">
        <v>1881</v>
      </c>
      <c r="H201" t="s">
        <v>571</v>
      </c>
      <c r="J201">
        <v>400015</v>
      </c>
      <c r="M201" t="s">
        <v>1431</v>
      </c>
      <c r="P201" t="s">
        <v>72</v>
      </c>
      <c r="R201" t="s">
        <v>728</v>
      </c>
      <c r="S201" t="s">
        <v>1918</v>
      </c>
      <c r="T201" t="s">
        <v>1919</v>
      </c>
      <c r="V201" t="s">
        <v>477</v>
      </c>
      <c r="W201" t="s">
        <v>73</v>
      </c>
      <c r="AE201" t="s">
        <v>478</v>
      </c>
      <c r="AF201" t="s">
        <v>479</v>
      </c>
      <c r="AL201">
        <v>204.24</v>
      </c>
      <c r="AM201" t="s">
        <v>729</v>
      </c>
      <c r="AO201" t="s">
        <v>480</v>
      </c>
      <c r="AP201" t="s">
        <v>481</v>
      </c>
      <c r="AQ201" t="s">
        <v>757</v>
      </c>
      <c r="AR201" t="s">
        <v>482</v>
      </c>
      <c r="AS201" t="s">
        <v>483</v>
      </c>
      <c r="AT201" t="s">
        <v>484</v>
      </c>
      <c r="AU201" t="s">
        <v>521</v>
      </c>
      <c r="AV201" t="s">
        <v>662</v>
      </c>
      <c r="AW201" t="s">
        <v>486</v>
      </c>
      <c r="BF201" s="1"/>
      <c r="BG201" t="s">
        <v>523</v>
      </c>
      <c r="BH201" t="s">
        <v>487</v>
      </c>
      <c r="BP201" t="s">
        <v>1489</v>
      </c>
      <c r="BQ201" t="s">
        <v>662</v>
      </c>
    </row>
    <row r="202" spans="1:69" x14ac:dyDescent="0.25">
      <c r="A202" t="s">
        <v>5713</v>
      </c>
      <c r="B202" t="s">
        <v>474</v>
      </c>
      <c r="C202" t="s">
        <v>1655</v>
      </c>
      <c r="E202" t="s">
        <v>480</v>
      </c>
      <c r="G202" s="1" t="s">
        <v>1920</v>
      </c>
      <c r="H202" t="s">
        <v>476</v>
      </c>
      <c r="J202">
        <v>400015</v>
      </c>
      <c r="M202" t="s">
        <v>1416</v>
      </c>
      <c r="P202" t="s">
        <v>83</v>
      </c>
      <c r="R202" t="s">
        <v>1921</v>
      </c>
      <c r="S202" t="s">
        <v>1922</v>
      </c>
      <c r="T202" t="s">
        <v>1923</v>
      </c>
      <c r="V202" t="s">
        <v>477</v>
      </c>
      <c r="W202" t="s">
        <v>70</v>
      </c>
      <c r="AE202" t="s">
        <v>478</v>
      </c>
      <c r="AF202" t="s">
        <v>479</v>
      </c>
      <c r="AL202">
        <v>2109.6779999999999</v>
      </c>
      <c r="AM202" t="s">
        <v>1924</v>
      </c>
      <c r="AO202" t="s">
        <v>480</v>
      </c>
      <c r="AP202" t="s">
        <v>481</v>
      </c>
      <c r="AQ202" t="s">
        <v>497</v>
      </c>
      <c r="AR202" t="s">
        <v>482</v>
      </c>
      <c r="AS202" t="s">
        <v>483</v>
      </c>
      <c r="AT202" t="s">
        <v>484</v>
      </c>
      <c r="AU202" t="s">
        <v>490</v>
      </c>
      <c r="AV202" t="s">
        <v>491</v>
      </c>
      <c r="AW202" t="s">
        <v>486</v>
      </c>
      <c r="BF202" s="1"/>
      <c r="BG202" t="s">
        <v>71</v>
      </c>
      <c r="BH202" t="s">
        <v>487</v>
      </c>
      <c r="BP202" t="s">
        <v>1489</v>
      </c>
      <c r="BQ202" t="s">
        <v>491</v>
      </c>
    </row>
    <row r="203" spans="1:69" x14ac:dyDescent="0.25">
      <c r="A203" t="s">
        <v>5713</v>
      </c>
      <c r="B203" t="s">
        <v>474</v>
      </c>
      <c r="C203" t="s">
        <v>1655</v>
      </c>
      <c r="E203" t="s">
        <v>480</v>
      </c>
      <c r="G203" s="1" t="s">
        <v>1920</v>
      </c>
      <c r="H203" t="s">
        <v>492</v>
      </c>
      <c r="J203">
        <v>400015</v>
      </c>
      <c r="M203" t="s">
        <v>1415</v>
      </c>
      <c r="P203" t="s">
        <v>127</v>
      </c>
      <c r="R203" t="s">
        <v>860</v>
      </c>
      <c r="S203" t="s">
        <v>1925</v>
      </c>
      <c r="T203" t="s">
        <v>1926</v>
      </c>
      <c r="V203" t="s">
        <v>477</v>
      </c>
      <c r="W203" t="s">
        <v>70</v>
      </c>
      <c r="AE203" t="s">
        <v>478</v>
      </c>
      <c r="AF203" t="s">
        <v>479</v>
      </c>
      <c r="AL203">
        <v>309.95999999999998</v>
      </c>
      <c r="AM203" t="s">
        <v>840</v>
      </c>
      <c r="AO203" t="s">
        <v>480</v>
      </c>
      <c r="AP203" t="s">
        <v>481</v>
      </c>
      <c r="AQ203" t="s">
        <v>489</v>
      </c>
      <c r="AR203" t="s">
        <v>482</v>
      </c>
      <c r="AS203" t="s">
        <v>483</v>
      </c>
      <c r="AT203" t="s">
        <v>484</v>
      </c>
      <c r="AU203" t="s">
        <v>490</v>
      </c>
      <c r="AV203" t="s">
        <v>491</v>
      </c>
      <c r="AW203" t="s">
        <v>486</v>
      </c>
      <c r="BF203" s="1"/>
      <c r="BG203" t="s">
        <v>71</v>
      </c>
      <c r="BH203" t="s">
        <v>487</v>
      </c>
      <c r="BP203" t="s">
        <v>1489</v>
      </c>
      <c r="BQ203" t="s">
        <v>491</v>
      </c>
    </row>
    <row r="204" spans="1:69" x14ac:dyDescent="0.25">
      <c r="A204" t="s">
        <v>5713</v>
      </c>
      <c r="B204" t="s">
        <v>474</v>
      </c>
      <c r="C204" t="s">
        <v>1655</v>
      </c>
      <c r="E204" t="s">
        <v>480</v>
      </c>
      <c r="G204" s="1" t="s">
        <v>1920</v>
      </c>
      <c r="H204" t="s">
        <v>498</v>
      </c>
      <c r="J204">
        <v>400015</v>
      </c>
      <c r="M204" t="s">
        <v>1417</v>
      </c>
      <c r="P204" t="s">
        <v>133</v>
      </c>
      <c r="R204" t="s">
        <v>769</v>
      </c>
      <c r="S204" t="s">
        <v>920</v>
      </c>
      <c r="T204" t="s">
        <v>921</v>
      </c>
      <c r="V204" t="s">
        <v>477</v>
      </c>
      <c r="W204" t="s">
        <v>70</v>
      </c>
      <c r="AE204" t="s">
        <v>478</v>
      </c>
      <c r="AF204" t="s">
        <v>479</v>
      </c>
      <c r="AL204">
        <v>296.25</v>
      </c>
      <c r="AM204" t="s">
        <v>1927</v>
      </c>
      <c r="AO204" t="s">
        <v>480</v>
      </c>
      <c r="AP204" t="s">
        <v>481</v>
      </c>
      <c r="AQ204" t="s">
        <v>505</v>
      </c>
      <c r="AR204" t="s">
        <v>482</v>
      </c>
      <c r="AS204" t="s">
        <v>483</v>
      </c>
      <c r="AT204" t="s">
        <v>484</v>
      </c>
      <c r="AU204" t="s">
        <v>490</v>
      </c>
      <c r="AV204" t="s">
        <v>491</v>
      </c>
      <c r="AW204" t="s">
        <v>486</v>
      </c>
      <c r="BF204" s="1"/>
      <c r="BG204" t="s">
        <v>71</v>
      </c>
      <c r="BH204" t="s">
        <v>487</v>
      </c>
      <c r="BP204" t="s">
        <v>1489</v>
      </c>
      <c r="BQ204" t="s">
        <v>491</v>
      </c>
    </row>
    <row r="205" spans="1:69" x14ac:dyDescent="0.25">
      <c r="A205" t="s">
        <v>5713</v>
      </c>
      <c r="B205" t="s">
        <v>474</v>
      </c>
      <c r="C205" t="s">
        <v>1655</v>
      </c>
      <c r="E205" t="s">
        <v>480</v>
      </c>
      <c r="G205" s="1" t="s">
        <v>1920</v>
      </c>
      <c r="H205" t="s">
        <v>500</v>
      </c>
      <c r="J205">
        <v>400015</v>
      </c>
      <c r="M205" t="s">
        <v>1430</v>
      </c>
      <c r="P205" t="s">
        <v>167</v>
      </c>
      <c r="R205" t="s">
        <v>488</v>
      </c>
      <c r="S205" t="s">
        <v>1498</v>
      </c>
      <c r="T205" t="s">
        <v>1499</v>
      </c>
      <c r="V205" t="s">
        <v>477</v>
      </c>
      <c r="W205" t="s">
        <v>70</v>
      </c>
      <c r="AE205" t="s">
        <v>478</v>
      </c>
      <c r="AF205" t="s">
        <v>479</v>
      </c>
      <c r="AL205">
        <v>557.9</v>
      </c>
      <c r="AM205" t="s">
        <v>772</v>
      </c>
      <c r="AO205" t="s">
        <v>480</v>
      </c>
      <c r="AP205" t="s">
        <v>481</v>
      </c>
      <c r="AQ205" t="s">
        <v>759</v>
      </c>
      <c r="AR205" t="s">
        <v>482</v>
      </c>
      <c r="AS205" t="s">
        <v>483</v>
      </c>
      <c r="AT205" t="s">
        <v>484</v>
      </c>
      <c r="AU205" t="s">
        <v>490</v>
      </c>
      <c r="AV205" t="s">
        <v>491</v>
      </c>
      <c r="AW205" t="s">
        <v>486</v>
      </c>
      <c r="BF205" s="1"/>
      <c r="BG205" t="s">
        <v>71</v>
      </c>
      <c r="BH205" t="s">
        <v>487</v>
      </c>
      <c r="BP205" t="s">
        <v>1489</v>
      </c>
      <c r="BQ205" t="s">
        <v>491</v>
      </c>
    </row>
    <row r="206" spans="1:69" x14ac:dyDescent="0.25">
      <c r="A206" t="s">
        <v>5713</v>
      </c>
      <c r="B206" t="s">
        <v>474</v>
      </c>
      <c r="C206" t="s">
        <v>1655</v>
      </c>
      <c r="E206" t="s">
        <v>480</v>
      </c>
      <c r="G206" s="1" t="s">
        <v>1920</v>
      </c>
      <c r="H206" t="s">
        <v>517</v>
      </c>
      <c r="J206">
        <v>400015</v>
      </c>
      <c r="M206" t="s">
        <v>1417</v>
      </c>
      <c r="P206" t="s">
        <v>133</v>
      </c>
      <c r="R206" t="s">
        <v>501</v>
      </c>
      <c r="S206" t="s">
        <v>502</v>
      </c>
      <c r="T206" t="s">
        <v>503</v>
      </c>
      <c r="V206" t="s">
        <v>477</v>
      </c>
      <c r="W206" t="s">
        <v>70</v>
      </c>
      <c r="AE206" t="s">
        <v>478</v>
      </c>
      <c r="AF206" t="s">
        <v>479</v>
      </c>
      <c r="AL206">
        <v>3583.44</v>
      </c>
      <c r="AM206" t="s">
        <v>504</v>
      </c>
      <c r="AO206" t="s">
        <v>480</v>
      </c>
      <c r="AP206" t="s">
        <v>481</v>
      </c>
      <c r="AQ206" t="s">
        <v>505</v>
      </c>
      <c r="AR206" t="s">
        <v>482</v>
      </c>
      <c r="AS206" t="s">
        <v>483</v>
      </c>
      <c r="AT206" t="s">
        <v>484</v>
      </c>
      <c r="AU206" t="s">
        <v>490</v>
      </c>
      <c r="AV206" t="s">
        <v>491</v>
      </c>
      <c r="AW206" t="s">
        <v>486</v>
      </c>
      <c r="BF206" s="1"/>
      <c r="BG206" t="s">
        <v>71</v>
      </c>
      <c r="BH206" t="s">
        <v>487</v>
      </c>
      <c r="BP206" t="s">
        <v>1489</v>
      </c>
      <c r="BQ206" t="s">
        <v>491</v>
      </c>
    </row>
    <row r="207" spans="1:69" x14ac:dyDescent="0.25">
      <c r="A207" t="s">
        <v>5713</v>
      </c>
      <c r="B207" t="s">
        <v>474</v>
      </c>
      <c r="C207" t="s">
        <v>1655</v>
      </c>
      <c r="E207" t="s">
        <v>480</v>
      </c>
      <c r="G207" s="1" t="s">
        <v>1920</v>
      </c>
      <c r="H207" t="s">
        <v>537</v>
      </c>
      <c r="J207">
        <v>400015</v>
      </c>
      <c r="M207" t="s">
        <v>1417</v>
      </c>
      <c r="P207" t="s">
        <v>133</v>
      </c>
      <c r="R207" t="s">
        <v>763</v>
      </c>
      <c r="S207" t="s">
        <v>1928</v>
      </c>
      <c r="T207" t="s">
        <v>1929</v>
      </c>
      <c r="V207" t="s">
        <v>477</v>
      </c>
      <c r="W207" t="s">
        <v>70</v>
      </c>
      <c r="AE207" t="s">
        <v>478</v>
      </c>
      <c r="AF207" t="s">
        <v>479</v>
      </c>
      <c r="AL207">
        <v>331.8</v>
      </c>
      <c r="AM207" t="s">
        <v>569</v>
      </c>
      <c r="AO207" t="s">
        <v>480</v>
      </c>
      <c r="AP207" t="s">
        <v>481</v>
      </c>
      <c r="AQ207" t="s">
        <v>505</v>
      </c>
      <c r="AR207" t="s">
        <v>482</v>
      </c>
      <c r="AS207" t="s">
        <v>483</v>
      </c>
      <c r="AT207" t="s">
        <v>484</v>
      </c>
      <c r="AU207" t="s">
        <v>490</v>
      </c>
      <c r="AV207" t="s">
        <v>491</v>
      </c>
      <c r="AW207" t="s">
        <v>486</v>
      </c>
      <c r="BF207" s="1"/>
      <c r="BG207" t="s">
        <v>71</v>
      </c>
      <c r="BH207" t="s">
        <v>487</v>
      </c>
      <c r="BP207" t="s">
        <v>1489</v>
      </c>
      <c r="BQ207" t="s">
        <v>491</v>
      </c>
    </row>
    <row r="208" spans="1:69" x14ac:dyDescent="0.25">
      <c r="A208" t="s">
        <v>5713</v>
      </c>
      <c r="B208" t="s">
        <v>474</v>
      </c>
      <c r="C208" t="s">
        <v>1655</v>
      </c>
      <c r="E208" t="s">
        <v>480</v>
      </c>
      <c r="G208" s="1" t="s">
        <v>1920</v>
      </c>
      <c r="H208" t="s">
        <v>542</v>
      </c>
      <c r="J208">
        <v>400015</v>
      </c>
      <c r="M208" t="s">
        <v>1417</v>
      </c>
      <c r="P208" t="s">
        <v>133</v>
      </c>
      <c r="R208" t="s">
        <v>1930</v>
      </c>
      <c r="S208" t="s">
        <v>1931</v>
      </c>
      <c r="T208" t="s">
        <v>1932</v>
      </c>
      <c r="V208" t="s">
        <v>477</v>
      </c>
      <c r="W208" t="s">
        <v>70</v>
      </c>
      <c r="AE208" t="s">
        <v>478</v>
      </c>
      <c r="AF208" t="s">
        <v>479</v>
      </c>
      <c r="AL208">
        <v>3251.6400000000003</v>
      </c>
      <c r="AM208" t="s">
        <v>1933</v>
      </c>
      <c r="AO208" t="s">
        <v>480</v>
      </c>
      <c r="AP208" t="s">
        <v>481</v>
      </c>
      <c r="AQ208" t="s">
        <v>505</v>
      </c>
      <c r="AR208" t="s">
        <v>482</v>
      </c>
      <c r="AS208" t="s">
        <v>483</v>
      </c>
      <c r="AT208" t="s">
        <v>484</v>
      </c>
      <c r="AU208" t="s">
        <v>490</v>
      </c>
      <c r="AV208" t="s">
        <v>491</v>
      </c>
      <c r="AW208" t="s">
        <v>486</v>
      </c>
      <c r="BF208" s="1"/>
      <c r="BG208" t="s">
        <v>71</v>
      </c>
      <c r="BH208" t="s">
        <v>487</v>
      </c>
      <c r="BP208" t="s">
        <v>1489</v>
      </c>
      <c r="BQ208" t="s">
        <v>491</v>
      </c>
    </row>
    <row r="209" spans="1:69" x14ac:dyDescent="0.25">
      <c r="A209" t="s">
        <v>5713</v>
      </c>
      <c r="B209" t="s">
        <v>474</v>
      </c>
      <c r="C209" t="s">
        <v>1655</v>
      </c>
      <c r="E209" t="s">
        <v>480</v>
      </c>
      <c r="G209" s="1" t="s">
        <v>1934</v>
      </c>
      <c r="H209" t="s">
        <v>476</v>
      </c>
      <c r="J209">
        <v>400015</v>
      </c>
      <c r="M209" t="s">
        <v>1416</v>
      </c>
      <c r="P209" t="s">
        <v>83</v>
      </c>
      <c r="R209" t="s">
        <v>1935</v>
      </c>
      <c r="S209" t="s">
        <v>1936</v>
      </c>
      <c r="T209" t="s">
        <v>1937</v>
      </c>
      <c r="V209" t="s">
        <v>477</v>
      </c>
      <c r="W209" t="s">
        <v>70</v>
      </c>
      <c r="AE209" t="s">
        <v>478</v>
      </c>
      <c r="AF209" t="s">
        <v>479</v>
      </c>
      <c r="AL209">
        <v>637.48199999999997</v>
      </c>
      <c r="AM209" t="s">
        <v>1938</v>
      </c>
      <c r="AO209" t="s">
        <v>480</v>
      </c>
      <c r="AP209" t="s">
        <v>481</v>
      </c>
      <c r="AQ209" t="s">
        <v>497</v>
      </c>
      <c r="AR209" t="s">
        <v>482</v>
      </c>
      <c r="AS209" t="s">
        <v>483</v>
      </c>
      <c r="AT209" t="s">
        <v>484</v>
      </c>
      <c r="AU209" t="s">
        <v>490</v>
      </c>
      <c r="AV209" t="s">
        <v>491</v>
      </c>
      <c r="AW209" t="s">
        <v>486</v>
      </c>
      <c r="BF209" s="1"/>
      <c r="BG209" t="s">
        <v>71</v>
      </c>
      <c r="BH209" t="s">
        <v>487</v>
      </c>
      <c r="BP209" t="s">
        <v>1489</v>
      </c>
      <c r="BQ209" t="s">
        <v>491</v>
      </c>
    </row>
    <row r="210" spans="1:69" x14ac:dyDescent="0.25">
      <c r="A210" t="s">
        <v>5713</v>
      </c>
      <c r="B210" t="s">
        <v>474</v>
      </c>
      <c r="C210" t="s">
        <v>1655</v>
      </c>
      <c r="E210" t="s">
        <v>480</v>
      </c>
      <c r="G210" s="1" t="s">
        <v>1934</v>
      </c>
      <c r="H210" t="s">
        <v>492</v>
      </c>
      <c r="J210">
        <v>400015</v>
      </c>
      <c r="M210" t="s">
        <v>1417</v>
      </c>
      <c r="P210" t="s">
        <v>133</v>
      </c>
      <c r="R210" t="s">
        <v>1939</v>
      </c>
      <c r="S210" t="s">
        <v>1940</v>
      </c>
      <c r="T210" t="s">
        <v>1941</v>
      </c>
      <c r="V210" t="s">
        <v>477</v>
      </c>
      <c r="W210" t="s">
        <v>70</v>
      </c>
      <c r="AE210" t="s">
        <v>478</v>
      </c>
      <c r="AF210" t="s">
        <v>479</v>
      </c>
      <c r="AL210">
        <v>2832.15</v>
      </c>
      <c r="AM210" t="s">
        <v>1942</v>
      </c>
      <c r="AO210" t="s">
        <v>480</v>
      </c>
      <c r="AP210" t="s">
        <v>481</v>
      </c>
      <c r="AQ210" t="s">
        <v>505</v>
      </c>
      <c r="AR210" t="s">
        <v>482</v>
      </c>
      <c r="AS210" t="s">
        <v>483</v>
      </c>
      <c r="AT210" t="s">
        <v>484</v>
      </c>
      <c r="AU210" t="s">
        <v>490</v>
      </c>
      <c r="AV210" t="s">
        <v>491</v>
      </c>
      <c r="AW210" t="s">
        <v>486</v>
      </c>
      <c r="BF210" s="1"/>
      <c r="BG210" t="s">
        <v>71</v>
      </c>
      <c r="BH210" t="s">
        <v>487</v>
      </c>
      <c r="BP210" t="s">
        <v>1489</v>
      </c>
      <c r="BQ210" t="s">
        <v>491</v>
      </c>
    </row>
    <row r="211" spans="1:69" x14ac:dyDescent="0.25">
      <c r="A211" t="s">
        <v>5713</v>
      </c>
      <c r="B211" t="s">
        <v>474</v>
      </c>
      <c r="C211" t="s">
        <v>1655</v>
      </c>
      <c r="E211" t="s">
        <v>480</v>
      </c>
      <c r="G211" s="1" t="s">
        <v>1934</v>
      </c>
      <c r="H211" t="s">
        <v>498</v>
      </c>
      <c r="J211">
        <v>400015</v>
      </c>
      <c r="M211" t="s">
        <v>1417</v>
      </c>
      <c r="P211" t="s">
        <v>121</v>
      </c>
      <c r="R211" t="s">
        <v>501</v>
      </c>
      <c r="S211" t="s">
        <v>659</v>
      </c>
      <c r="T211" t="s">
        <v>660</v>
      </c>
      <c r="V211" t="s">
        <v>477</v>
      </c>
      <c r="W211" t="s">
        <v>70</v>
      </c>
      <c r="AE211" t="s">
        <v>478</v>
      </c>
      <c r="AF211" t="s">
        <v>479</v>
      </c>
      <c r="AL211">
        <v>3654.5039999999999</v>
      </c>
      <c r="AM211" t="s">
        <v>504</v>
      </c>
      <c r="AO211" t="s">
        <v>480</v>
      </c>
      <c r="AP211" t="s">
        <v>481</v>
      </c>
      <c r="AQ211" t="s">
        <v>499</v>
      </c>
      <c r="AR211" t="s">
        <v>482</v>
      </c>
      <c r="AS211" t="s">
        <v>483</v>
      </c>
      <c r="AT211" t="s">
        <v>484</v>
      </c>
      <c r="AU211" t="s">
        <v>490</v>
      </c>
      <c r="AV211" t="s">
        <v>491</v>
      </c>
      <c r="AW211" t="s">
        <v>486</v>
      </c>
      <c r="BF211" s="1"/>
      <c r="BG211" t="s">
        <v>71</v>
      </c>
      <c r="BH211" t="s">
        <v>487</v>
      </c>
      <c r="BP211" t="s">
        <v>1489</v>
      </c>
      <c r="BQ211" t="s">
        <v>491</v>
      </c>
    </row>
    <row r="212" spans="1:69" x14ac:dyDescent="0.25">
      <c r="A212" t="s">
        <v>5713</v>
      </c>
      <c r="B212" t="s">
        <v>474</v>
      </c>
      <c r="C212" t="s">
        <v>1655</v>
      </c>
      <c r="E212" t="s">
        <v>480</v>
      </c>
      <c r="G212" s="1" t="s">
        <v>1934</v>
      </c>
      <c r="H212" t="s">
        <v>500</v>
      </c>
      <c r="J212">
        <v>400015</v>
      </c>
      <c r="M212" t="s">
        <v>1417</v>
      </c>
      <c r="P212" t="s">
        <v>133</v>
      </c>
      <c r="R212" t="s">
        <v>501</v>
      </c>
      <c r="S212" t="s">
        <v>502</v>
      </c>
      <c r="T212" t="s">
        <v>503</v>
      </c>
      <c r="V212" t="s">
        <v>477</v>
      </c>
      <c r="W212" t="s">
        <v>70</v>
      </c>
      <c r="AE212" t="s">
        <v>478</v>
      </c>
      <c r="AF212" t="s">
        <v>479</v>
      </c>
      <c r="AL212">
        <v>3583.44</v>
      </c>
      <c r="AM212" t="s">
        <v>504</v>
      </c>
      <c r="AO212" t="s">
        <v>480</v>
      </c>
      <c r="AP212" t="s">
        <v>481</v>
      </c>
      <c r="AQ212" t="s">
        <v>505</v>
      </c>
      <c r="AR212" t="s">
        <v>482</v>
      </c>
      <c r="AS212" t="s">
        <v>483</v>
      </c>
      <c r="AT212" t="s">
        <v>484</v>
      </c>
      <c r="AU212" t="s">
        <v>490</v>
      </c>
      <c r="AV212" t="s">
        <v>491</v>
      </c>
      <c r="AW212" t="s">
        <v>486</v>
      </c>
      <c r="BF212" s="1"/>
      <c r="BG212" t="s">
        <v>71</v>
      </c>
      <c r="BH212" t="s">
        <v>487</v>
      </c>
      <c r="BP212" t="s">
        <v>1489</v>
      </c>
      <c r="BQ212" t="s">
        <v>491</v>
      </c>
    </row>
    <row r="213" spans="1:69" x14ac:dyDescent="0.25">
      <c r="A213" t="s">
        <v>5713</v>
      </c>
      <c r="B213" t="s">
        <v>474</v>
      </c>
      <c r="C213" t="s">
        <v>1655</v>
      </c>
      <c r="E213" t="s">
        <v>480</v>
      </c>
      <c r="G213" s="1" t="s">
        <v>1943</v>
      </c>
      <c r="H213" t="s">
        <v>476</v>
      </c>
      <c r="J213">
        <v>400015</v>
      </c>
      <c r="M213" t="s">
        <v>1417</v>
      </c>
      <c r="P213" t="s">
        <v>133</v>
      </c>
      <c r="R213" t="s">
        <v>501</v>
      </c>
      <c r="S213" t="s">
        <v>502</v>
      </c>
      <c r="T213" t="s">
        <v>503</v>
      </c>
      <c r="V213" t="s">
        <v>477</v>
      </c>
      <c r="W213" t="s">
        <v>70</v>
      </c>
      <c r="AE213" t="s">
        <v>478</v>
      </c>
      <c r="AF213" t="s">
        <v>479</v>
      </c>
      <c r="AL213">
        <v>3583.44</v>
      </c>
      <c r="AM213" t="s">
        <v>504</v>
      </c>
      <c r="AO213" t="s">
        <v>480</v>
      </c>
      <c r="AP213" t="s">
        <v>481</v>
      </c>
      <c r="AQ213" t="s">
        <v>505</v>
      </c>
      <c r="AR213" t="s">
        <v>482</v>
      </c>
      <c r="AS213" t="s">
        <v>483</v>
      </c>
      <c r="AT213" t="s">
        <v>484</v>
      </c>
      <c r="AU213" t="s">
        <v>490</v>
      </c>
      <c r="AV213" t="s">
        <v>491</v>
      </c>
      <c r="AW213" t="s">
        <v>486</v>
      </c>
      <c r="BF213" s="1"/>
      <c r="BG213" t="s">
        <v>71</v>
      </c>
      <c r="BH213" t="s">
        <v>487</v>
      </c>
      <c r="BP213" t="s">
        <v>1489</v>
      </c>
      <c r="BQ213" t="s">
        <v>491</v>
      </c>
    </row>
    <row r="214" spans="1:69" x14ac:dyDescent="0.25">
      <c r="A214" t="s">
        <v>5713</v>
      </c>
      <c r="B214" t="s">
        <v>474</v>
      </c>
      <c r="C214" t="s">
        <v>1655</v>
      </c>
      <c r="E214" t="s">
        <v>480</v>
      </c>
      <c r="G214" s="1" t="s">
        <v>1943</v>
      </c>
      <c r="H214" t="s">
        <v>492</v>
      </c>
      <c r="J214">
        <v>400015</v>
      </c>
      <c r="M214" t="s">
        <v>1417</v>
      </c>
      <c r="P214" t="s">
        <v>121</v>
      </c>
      <c r="R214" t="s">
        <v>1944</v>
      </c>
      <c r="S214" t="s">
        <v>1945</v>
      </c>
      <c r="T214" t="s">
        <v>1946</v>
      </c>
      <c r="V214" t="s">
        <v>477</v>
      </c>
      <c r="W214" t="s">
        <v>70</v>
      </c>
      <c r="AE214" t="s">
        <v>478</v>
      </c>
      <c r="AF214" t="s">
        <v>479</v>
      </c>
      <c r="AL214">
        <v>2182.5509999999999</v>
      </c>
      <c r="AM214" t="s">
        <v>1947</v>
      </c>
      <c r="AO214" t="s">
        <v>480</v>
      </c>
      <c r="AP214" t="s">
        <v>481</v>
      </c>
      <c r="AQ214" t="s">
        <v>499</v>
      </c>
      <c r="AR214" t="s">
        <v>482</v>
      </c>
      <c r="AS214" t="s">
        <v>483</v>
      </c>
      <c r="AT214" t="s">
        <v>484</v>
      </c>
      <c r="AU214" t="s">
        <v>490</v>
      </c>
      <c r="AV214" t="s">
        <v>491</v>
      </c>
      <c r="AW214" t="s">
        <v>486</v>
      </c>
      <c r="BF214" s="1"/>
      <c r="BG214" t="s">
        <v>71</v>
      </c>
      <c r="BH214" t="s">
        <v>487</v>
      </c>
      <c r="BP214" t="s">
        <v>1489</v>
      </c>
      <c r="BQ214" t="s">
        <v>491</v>
      </c>
    </row>
    <row r="215" spans="1:69" x14ac:dyDescent="0.25">
      <c r="A215" t="s">
        <v>5713</v>
      </c>
      <c r="B215" t="s">
        <v>474</v>
      </c>
      <c r="C215" t="s">
        <v>1655</v>
      </c>
      <c r="E215" t="s">
        <v>480</v>
      </c>
      <c r="G215" s="1" t="s">
        <v>1943</v>
      </c>
      <c r="H215" t="s">
        <v>498</v>
      </c>
      <c r="J215">
        <v>400015</v>
      </c>
      <c r="M215" t="s">
        <v>1417</v>
      </c>
      <c r="P215" t="s">
        <v>133</v>
      </c>
      <c r="R215" t="s">
        <v>1948</v>
      </c>
      <c r="S215" t="s">
        <v>1949</v>
      </c>
      <c r="T215" t="s">
        <v>1950</v>
      </c>
      <c r="V215" t="s">
        <v>477</v>
      </c>
      <c r="W215" t="s">
        <v>70</v>
      </c>
      <c r="AE215" t="s">
        <v>478</v>
      </c>
      <c r="AF215" t="s">
        <v>479</v>
      </c>
      <c r="AL215">
        <v>1424.3700000000001</v>
      </c>
      <c r="AM215" t="s">
        <v>1951</v>
      </c>
      <c r="AO215" t="s">
        <v>480</v>
      </c>
      <c r="AP215" t="s">
        <v>481</v>
      </c>
      <c r="AQ215" t="s">
        <v>505</v>
      </c>
      <c r="AR215" t="s">
        <v>482</v>
      </c>
      <c r="AS215" t="s">
        <v>483</v>
      </c>
      <c r="AT215" t="s">
        <v>484</v>
      </c>
      <c r="AU215" t="s">
        <v>490</v>
      </c>
      <c r="AV215" t="s">
        <v>491</v>
      </c>
      <c r="AW215" t="s">
        <v>486</v>
      </c>
      <c r="BF215" s="1"/>
      <c r="BG215" t="s">
        <v>71</v>
      </c>
      <c r="BH215" t="s">
        <v>487</v>
      </c>
      <c r="BP215" t="s">
        <v>1489</v>
      </c>
      <c r="BQ215" t="s">
        <v>491</v>
      </c>
    </row>
    <row r="216" spans="1:69" x14ac:dyDescent="0.25">
      <c r="A216" t="s">
        <v>5713</v>
      </c>
      <c r="B216" t="s">
        <v>474</v>
      </c>
      <c r="C216" t="s">
        <v>1655</v>
      </c>
      <c r="E216" t="s">
        <v>480</v>
      </c>
      <c r="G216" s="1" t="s">
        <v>1952</v>
      </c>
      <c r="H216" t="s">
        <v>476</v>
      </c>
      <c r="J216">
        <v>400015</v>
      </c>
      <c r="M216" t="s">
        <v>1417</v>
      </c>
      <c r="P216" t="s">
        <v>121</v>
      </c>
      <c r="R216" t="s">
        <v>501</v>
      </c>
      <c r="S216" t="s">
        <v>659</v>
      </c>
      <c r="T216" t="s">
        <v>660</v>
      </c>
      <c r="V216" t="s">
        <v>477</v>
      </c>
      <c r="W216" t="s">
        <v>70</v>
      </c>
      <c r="AE216" t="s">
        <v>478</v>
      </c>
      <c r="AF216" t="s">
        <v>479</v>
      </c>
      <c r="AL216">
        <v>3654.5039999999999</v>
      </c>
      <c r="AM216" t="s">
        <v>504</v>
      </c>
      <c r="AO216" t="s">
        <v>480</v>
      </c>
      <c r="AP216" t="s">
        <v>481</v>
      </c>
      <c r="AQ216" t="s">
        <v>499</v>
      </c>
      <c r="AR216" t="s">
        <v>482</v>
      </c>
      <c r="AS216" t="s">
        <v>483</v>
      </c>
      <c r="AT216" t="s">
        <v>484</v>
      </c>
      <c r="AU216" t="s">
        <v>490</v>
      </c>
      <c r="AV216" t="s">
        <v>491</v>
      </c>
      <c r="AW216" t="s">
        <v>486</v>
      </c>
      <c r="BF216" s="1"/>
      <c r="BG216" t="s">
        <v>71</v>
      </c>
      <c r="BH216" t="s">
        <v>487</v>
      </c>
      <c r="BP216" t="s">
        <v>1489</v>
      </c>
      <c r="BQ216" t="s">
        <v>491</v>
      </c>
    </row>
    <row r="217" spans="1:69" x14ac:dyDescent="0.25">
      <c r="A217" t="s">
        <v>5713</v>
      </c>
      <c r="B217" t="s">
        <v>474</v>
      </c>
      <c r="C217" t="s">
        <v>1655</v>
      </c>
      <c r="E217" t="s">
        <v>480</v>
      </c>
      <c r="G217" s="1" t="s">
        <v>1952</v>
      </c>
      <c r="H217" t="s">
        <v>492</v>
      </c>
      <c r="J217">
        <v>400015</v>
      </c>
      <c r="M217" t="s">
        <v>1417</v>
      </c>
      <c r="P217" t="s">
        <v>133</v>
      </c>
      <c r="R217" t="s">
        <v>501</v>
      </c>
      <c r="S217" t="s">
        <v>502</v>
      </c>
      <c r="T217" t="s">
        <v>503</v>
      </c>
      <c r="V217" t="s">
        <v>477</v>
      </c>
      <c r="W217" t="s">
        <v>70</v>
      </c>
      <c r="AE217" t="s">
        <v>478</v>
      </c>
      <c r="AF217" t="s">
        <v>479</v>
      </c>
      <c r="AL217">
        <v>3583.44</v>
      </c>
      <c r="AM217" t="s">
        <v>504</v>
      </c>
      <c r="AO217" t="s">
        <v>480</v>
      </c>
      <c r="AP217" t="s">
        <v>481</v>
      </c>
      <c r="AQ217" t="s">
        <v>505</v>
      </c>
      <c r="AR217" t="s">
        <v>482</v>
      </c>
      <c r="AS217" t="s">
        <v>483</v>
      </c>
      <c r="AT217" t="s">
        <v>484</v>
      </c>
      <c r="AU217" t="s">
        <v>490</v>
      </c>
      <c r="AV217" t="s">
        <v>491</v>
      </c>
      <c r="AW217" t="s">
        <v>486</v>
      </c>
      <c r="BF217" s="1"/>
      <c r="BG217" t="s">
        <v>71</v>
      </c>
      <c r="BH217" t="s">
        <v>487</v>
      </c>
      <c r="BP217" t="s">
        <v>1489</v>
      </c>
      <c r="BQ217" t="s">
        <v>491</v>
      </c>
    </row>
    <row r="218" spans="1:69" x14ac:dyDescent="0.25">
      <c r="A218" t="s">
        <v>5713</v>
      </c>
      <c r="B218" t="s">
        <v>474</v>
      </c>
      <c r="C218" t="s">
        <v>1655</v>
      </c>
      <c r="E218" t="s">
        <v>480</v>
      </c>
      <c r="G218" s="1" t="s">
        <v>1953</v>
      </c>
      <c r="H218" t="s">
        <v>476</v>
      </c>
      <c r="J218">
        <v>400015</v>
      </c>
      <c r="M218" t="s">
        <v>1416</v>
      </c>
      <c r="P218" t="s">
        <v>83</v>
      </c>
      <c r="R218" t="s">
        <v>1954</v>
      </c>
      <c r="S218" t="s">
        <v>1955</v>
      </c>
      <c r="T218" t="s">
        <v>1956</v>
      </c>
      <c r="V218" t="s">
        <v>477</v>
      </c>
      <c r="W218" t="s">
        <v>70</v>
      </c>
      <c r="AE218" t="s">
        <v>478</v>
      </c>
      <c r="AF218" t="s">
        <v>479</v>
      </c>
      <c r="AL218">
        <v>528.29999999999995</v>
      </c>
      <c r="AM218" t="s">
        <v>882</v>
      </c>
      <c r="AO218" t="s">
        <v>480</v>
      </c>
      <c r="AP218" t="s">
        <v>481</v>
      </c>
      <c r="AQ218" t="s">
        <v>497</v>
      </c>
      <c r="AR218" t="s">
        <v>482</v>
      </c>
      <c r="AS218" t="s">
        <v>483</v>
      </c>
      <c r="AT218" t="s">
        <v>484</v>
      </c>
      <c r="AU218" t="s">
        <v>490</v>
      </c>
      <c r="AV218" t="s">
        <v>491</v>
      </c>
      <c r="AW218" t="s">
        <v>486</v>
      </c>
      <c r="BF218" s="1"/>
      <c r="BG218" t="s">
        <v>71</v>
      </c>
      <c r="BH218" t="s">
        <v>487</v>
      </c>
      <c r="BP218" t="s">
        <v>1489</v>
      </c>
      <c r="BQ218" t="s">
        <v>491</v>
      </c>
    </row>
    <row r="219" spans="1:69" x14ac:dyDescent="0.25">
      <c r="A219" t="s">
        <v>5713</v>
      </c>
      <c r="B219" t="s">
        <v>474</v>
      </c>
      <c r="C219" t="s">
        <v>1655</v>
      </c>
      <c r="E219" t="s">
        <v>480</v>
      </c>
      <c r="G219" s="1" t="s">
        <v>1953</v>
      </c>
      <c r="H219" t="s">
        <v>492</v>
      </c>
      <c r="J219">
        <v>400015</v>
      </c>
      <c r="M219" t="s">
        <v>1417</v>
      </c>
      <c r="P219" t="s">
        <v>121</v>
      </c>
      <c r="R219" t="s">
        <v>1957</v>
      </c>
      <c r="S219" t="s">
        <v>1958</v>
      </c>
      <c r="T219" t="s">
        <v>1959</v>
      </c>
      <c r="V219" t="s">
        <v>477</v>
      </c>
      <c r="W219" t="s">
        <v>70</v>
      </c>
      <c r="AE219" t="s">
        <v>478</v>
      </c>
      <c r="AF219" t="s">
        <v>479</v>
      </c>
      <c r="AL219">
        <v>2146.2959999999998</v>
      </c>
      <c r="AM219" t="s">
        <v>905</v>
      </c>
      <c r="AO219" t="s">
        <v>480</v>
      </c>
      <c r="AP219" t="s">
        <v>481</v>
      </c>
      <c r="AQ219" t="s">
        <v>499</v>
      </c>
      <c r="AR219" t="s">
        <v>482</v>
      </c>
      <c r="AS219" t="s">
        <v>483</v>
      </c>
      <c r="AT219" t="s">
        <v>484</v>
      </c>
      <c r="AU219" t="s">
        <v>490</v>
      </c>
      <c r="AV219" t="s">
        <v>491</v>
      </c>
      <c r="AW219" t="s">
        <v>486</v>
      </c>
      <c r="BF219" s="1"/>
      <c r="BG219" t="s">
        <v>71</v>
      </c>
      <c r="BH219" t="s">
        <v>487</v>
      </c>
      <c r="BP219" t="s">
        <v>1489</v>
      </c>
      <c r="BQ219" t="s">
        <v>491</v>
      </c>
    </row>
    <row r="220" spans="1:69" x14ac:dyDescent="0.25">
      <c r="A220" t="s">
        <v>5713</v>
      </c>
      <c r="B220" t="s">
        <v>474</v>
      </c>
      <c r="C220" t="s">
        <v>1655</v>
      </c>
      <c r="E220" t="s">
        <v>480</v>
      </c>
      <c r="G220" s="1" t="s">
        <v>1953</v>
      </c>
      <c r="H220" t="s">
        <v>498</v>
      </c>
      <c r="J220">
        <v>400015</v>
      </c>
      <c r="M220" t="s">
        <v>1430</v>
      </c>
      <c r="P220" t="s">
        <v>167</v>
      </c>
      <c r="R220" t="s">
        <v>488</v>
      </c>
      <c r="S220" t="s">
        <v>1498</v>
      </c>
      <c r="T220" t="s">
        <v>1499</v>
      </c>
      <c r="V220" t="s">
        <v>477</v>
      </c>
      <c r="W220" t="s">
        <v>70</v>
      </c>
      <c r="AE220" t="s">
        <v>478</v>
      </c>
      <c r="AF220" t="s">
        <v>479</v>
      </c>
      <c r="AL220">
        <v>557.9</v>
      </c>
      <c r="AM220" t="s">
        <v>772</v>
      </c>
      <c r="AO220" t="s">
        <v>480</v>
      </c>
      <c r="AP220" t="s">
        <v>481</v>
      </c>
      <c r="AQ220" t="s">
        <v>759</v>
      </c>
      <c r="AR220" t="s">
        <v>482</v>
      </c>
      <c r="AS220" t="s">
        <v>483</v>
      </c>
      <c r="AT220" t="s">
        <v>484</v>
      </c>
      <c r="AU220" t="s">
        <v>490</v>
      </c>
      <c r="AV220" t="s">
        <v>491</v>
      </c>
      <c r="AW220" t="s">
        <v>486</v>
      </c>
      <c r="BF220" s="1"/>
      <c r="BG220" t="s">
        <v>71</v>
      </c>
      <c r="BH220" t="s">
        <v>487</v>
      </c>
      <c r="BP220" t="s">
        <v>1489</v>
      </c>
      <c r="BQ220" t="s">
        <v>491</v>
      </c>
    </row>
    <row r="221" spans="1:69" x14ac:dyDescent="0.25">
      <c r="A221" t="s">
        <v>5713</v>
      </c>
      <c r="B221" t="s">
        <v>474</v>
      </c>
      <c r="C221" t="s">
        <v>1655</v>
      </c>
      <c r="E221" t="s">
        <v>480</v>
      </c>
      <c r="G221" s="1" t="s">
        <v>1953</v>
      </c>
      <c r="H221" t="s">
        <v>500</v>
      </c>
      <c r="J221">
        <v>400015</v>
      </c>
      <c r="M221" t="s">
        <v>1425</v>
      </c>
      <c r="P221" t="s">
        <v>153</v>
      </c>
      <c r="R221" t="s">
        <v>640</v>
      </c>
      <c r="S221" t="s">
        <v>1960</v>
      </c>
      <c r="T221" t="s">
        <v>1961</v>
      </c>
      <c r="V221" t="s">
        <v>477</v>
      </c>
      <c r="W221" t="s">
        <v>70</v>
      </c>
      <c r="AE221" t="s">
        <v>478</v>
      </c>
      <c r="AF221" t="s">
        <v>479</v>
      </c>
      <c r="AL221">
        <v>155.29999999999998</v>
      </c>
      <c r="AM221" t="s">
        <v>680</v>
      </c>
      <c r="AO221" t="s">
        <v>480</v>
      </c>
      <c r="AP221" t="s">
        <v>481</v>
      </c>
      <c r="AQ221" t="s">
        <v>762</v>
      </c>
      <c r="AR221" t="s">
        <v>482</v>
      </c>
      <c r="AS221" t="s">
        <v>483</v>
      </c>
      <c r="AT221" t="s">
        <v>484</v>
      </c>
      <c r="AU221" t="s">
        <v>490</v>
      </c>
      <c r="AV221" t="s">
        <v>491</v>
      </c>
      <c r="AW221" t="s">
        <v>486</v>
      </c>
      <c r="BF221" s="1"/>
      <c r="BG221" t="s">
        <v>71</v>
      </c>
      <c r="BH221" t="s">
        <v>487</v>
      </c>
      <c r="BP221" t="s">
        <v>1489</v>
      </c>
      <c r="BQ221" t="s">
        <v>491</v>
      </c>
    </row>
    <row r="222" spans="1:69" x14ac:dyDescent="0.25">
      <c r="A222" t="s">
        <v>5713</v>
      </c>
      <c r="B222" t="s">
        <v>474</v>
      </c>
      <c r="C222" t="s">
        <v>1655</v>
      </c>
      <c r="E222" t="s">
        <v>480</v>
      </c>
      <c r="G222" s="1" t="s">
        <v>1953</v>
      </c>
      <c r="H222" t="s">
        <v>517</v>
      </c>
      <c r="J222">
        <v>400015</v>
      </c>
      <c r="M222" t="s">
        <v>1417</v>
      </c>
      <c r="P222" t="s">
        <v>133</v>
      </c>
      <c r="R222" t="s">
        <v>800</v>
      </c>
      <c r="S222" t="s">
        <v>1962</v>
      </c>
      <c r="T222" t="s">
        <v>1963</v>
      </c>
      <c r="V222" t="s">
        <v>477</v>
      </c>
      <c r="W222" t="s">
        <v>70</v>
      </c>
      <c r="AE222" t="s">
        <v>478</v>
      </c>
      <c r="AF222" t="s">
        <v>479</v>
      </c>
      <c r="AL222">
        <v>130.35</v>
      </c>
      <c r="AM222" t="s">
        <v>1889</v>
      </c>
      <c r="AO222" t="s">
        <v>480</v>
      </c>
      <c r="AP222" t="s">
        <v>481</v>
      </c>
      <c r="AQ222" t="s">
        <v>505</v>
      </c>
      <c r="AR222" t="s">
        <v>482</v>
      </c>
      <c r="AS222" t="s">
        <v>483</v>
      </c>
      <c r="AT222" t="s">
        <v>484</v>
      </c>
      <c r="AU222" t="s">
        <v>490</v>
      </c>
      <c r="AV222" t="s">
        <v>491</v>
      </c>
      <c r="AW222" t="s">
        <v>486</v>
      </c>
      <c r="BF222" s="1"/>
      <c r="BG222" t="s">
        <v>71</v>
      </c>
      <c r="BH222" t="s">
        <v>487</v>
      </c>
      <c r="BP222" t="s">
        <v>1489</v>
      </c>
      <c r="BQ222" t="s">
        <v>491</v>
      </c>
    </row>
    <row r="223" spans="1:69" x14ac:dyDescent="0.25">
      <c r="A223" t="s">
        <v>5713</v>
      </c>
      <c r="B223" t="s">
        <v>474</v>
      </c>
      <c r="C223" t="s">
        <v>1655</v>
      </c>
      <c r="E223" t="s">
        <v>480</v>
      </c>
      <c r="G223" s="1" t="s">
        <v>1953</v>
      </c>
      <c r="H223" t="s">
        <v>537</v>
      </c>
      <c r="J223">
        <v>400015</v>
      </c>
      <c r="M223" t="s">
        <v>1417</v>
      </c>
      <c r="P223" t="s">
        <v>121</v>
      </c>
      <c r="R223" t="s">
        <v>670</v>
      </c>
      <c r="S223" t="s">
        <v>1964</v>
      </c>
      <c r="T223" t="s">
        <v>1965</v>
      </c>
      <c r="V223" t="s">
        <v>477</v>
      </c>
      <c r="W223" t="s">
        <v>70</v>
      </c>
      <c r="AE223" t="s">
        <v>478</v>
      </c>
      <c r="AF223" t="s">
        <v>479</v>
      </c>
      <c r="AL223">
        <v>48.339999999999996</v>
      </c>
      <c r="AM223" t="s">
        <v>687</v>
      </c>
      <c r="AO223" t="s">
        <v>480</v>
      </c>
      <c r="AP223" t="s">
        <v>481</v>
      </c>
      <c r="AQ223" t="s">
        <v>499</v>
      </c>
      <c r="AR223" t="s">
        <v>482</v>
      </c>
      <c r="AS223" t="s">
        <v>483</v>
      </c>
      <c r="AT223" t="s">
        <v>484</v>
      </c>
      <c r="AU223" t="s">
        <v>490</v>
      </c>
      <c r="AV223" t="s">
        <v>491</v>
      </c>
      <c r="AW223" t="s">
        <v>486</v>
      </c>
      <c r="BF223" s="1"/>
      <c r="BG223" t="s">
        <v>71</v>
      </c>
      <c r="BH223" t="s">
        <v>487</v>
      </c>
      <c r="BP223" t="s">
        <v>1489</v>
      </c>
      <c r="BQ223" t="s">
        <v>491</v>
      </c>
    </row>
    <row r="224" spans="1:69" x14ac:dyDescent="0.25">
      <c r="A224" t="s">
        <v>5713</v>
      </c>
      <c r="B224" t="s">
        <v>474</v>
      </c>
      <c r="C224" t="s">
        <v>1655</v>
      </c>
      <c r="E224" t="s">
        <v>480</v>
      </c>
      <c r="G224" s="1" t="s">
        <v>1953</v>
      </c>
      <c r="H224" t="s">
        <v>542</v>
      </c>
      <c r="J224">
        <v>400015</v>
      </c>
      <c r="M224" t="s">
        <v>1417</v>
      </c>
      <c r="P224" t="s">
        <v>133</v>
      </c>
      <c r="R224" t="s">
        <v>1966</v>
      </c>
      <c r="S224" t="s">
        <v>1967</v>
      </c>
      <c r="T224" t="s">
        <v>1968</v>
      </c>
      <c r="V224" t="s">
        <v>477</v>
      </c>
      <c r="W224" t="s">
        <v>70</v>
      </c>
      <c r="AE224" t="s">
        <v>478</v>
      </c>
      <c r="AF224" t="s">
        <v>479</v>
      </c>
      <c r="AL224">
        <v>3424.65</v>
      </c>
      <c r="AM224" t="s">
        <v>1969</v>
      </c>
      <c r="AO224" t="s">
        <v>480</v>
      </c>
      <c r="AP224" t="s">
        <v>481</v>
      </c>
      <c r="AQ224" t="s">
        <v>505</v>
      </c>
      <c r="AR224" t="s">
        <v>482</v>
      </c>
      <c r="AS224" t="s">
        <v>483</v>
      </c>
      <c r="AT224" t="s">
        <v>484</v>
      </c>
      <c r="AU224" t="s">
        <v>490</v>
      </c>
      <c r="AV224" t="s">
        <v>491</v>
      </c>
      <c r="AW224" t="s">
        <v>486</v>
      </c>
      <c r="BF224" s="1"/>
      <c r="BG224" t="s">
        <v>71</v>
      </c>
      <c r="BH224" t="s">
        <v>487</v>
      </c>
      <c r="BP224" t="s">
        <v>1489</v>
      </c>
      <c r="BQ224" t="s">
        <v>491</v>
      </c>
    </row>
    <row r="225" spans="1:69" x14ac:dyDescent="0.25">
      <c r="A225" t="s">
        <v>5713</v>
      </c>
      <c r="B225" t="s">
        <v>474</v>
      </c>
      <c r="C225" t="s">
        <v>1655</v>
      </c>
      <c r="E225" t="s">
        <v>480</v>
      </c>
      <c r="G225" s="1" t="s">
        <v>1953</v>
      </c>
      <c r="H225" t="s">
        <v>546</v>
      </c>
      <c r="J225">
        <v>400015</v>
      </c>
      <c r="M225" t="s">
        <v>1430</v>
      </c>
      <c r="P225" t="s">
        <v>167</v>
      </c>
      <c r="R225" t="s">
        <v>635</v>
      </c>
      <c r="S225" t="s">
        <v>1970</v>
      </c>
      <c r="T225" t="s">
        <v>1971</v>
      </c>
      <c r="V225" t="s">
        <v>477</v>
      </c>
      <c r="W225" t="s">
        <v>70</v>
      </c>
      <c r="AE225" t="s">
        <v>478</v>
      </c>
      <c r="AF225" t="s">
        <v>479</v>
      </c>
      <c r="AL225">
        <v>55.79</v>
      </c>
      <c r="AM225" t="s">
        <v>687</v>
      </c>
      <c r="AO225" t="s">
        <v>480</v>
      </c>
      <c r="AP225" t="s">
        <v>481</v>
      </c>
      <c r="AQ225" t="s">
        <v>759</v>
      </c>
      <c r="AR225" t="s">
        <v>482</v>
      </c>
      <c r="AS225" t="s">
        <v>483</v>
      </c>
      <c r="AT225" t="s">
        <v>484</v>
      </c>
      <c r="AU225" t="s">
        <v>490</v>
      </c>
      <c r="AV225" t="s">
        <v>491</v>
      </c>
      <c r="AW225" t="s">
        <v>486</v>
      </c>
      <c r="BF225" s="1"/>
      <c r="BG225" t="s">
        <v>71</v>
      </c>
      <c r="BH225" t="s">
        <v>487</v>
      </c>
      <c r="BP225" t="s">
        <v>1489</v>
      </c>
      <c r="BQ225" t="s">
        <v>491</v>
      </c>
    </row>
    <row r="226" spans="1:69" x14ac:dyDescent="0.25">
      <c r="A226" t="s">
        <v>5713</v>
      </c>
      <c r="B226" t="s">
        <v>474</v>
      </c>
      <c r="C226" t="s">
        <v>1972</v>
      </c>
      <c r="E226" t="s">
        <v>480</v>
      </c>
      <c r="G226" s="1" t="s">
        <v>1973</v>
      </c>
      <c r="H226" t="s">
        <v>476</v>
      </c>
      <c r="J226">
        <v>400015</v>
      </c>
      <c r="M226" t="s">
        <v>1416</v>
      </c>
      <c r="P226" t="s">
        <v>83</v>
      </c>
      <c r="R226" t="s">
        <v>1445</v>
      </c>
      <c r="S226" t="s">
        <v>1974</v>
      </c>
      <c r="T226" t="s">
        <v>1975</v>
      </c>
      <c r="V226" t="s">
        <v>477</v>
      </c>
      <c r="W226" t="s">
        <v>70</v>
      </c>
      <c r="AE226" t="s">
        <v>478</v>
      </c>
      <c r="AF226" t="s">
        <v>479</v>
      </c>
      <c r="AL226">
        <v>919.24199999999996</v>
      </c>
      <c r="AM226" t="s">
        <v>1976</v>
      </c>
      <c r="AO226" t="s">
        <v>480</v>
      </c>
      <c r="AP226" t="s">
        <v>481</v>
      </c>
      <c r="AQ226" t="s">
        <v>497</v>
      </c>
      <c r="AR226" t="s">
        <v>482</v>
      </c>
      <c r="AS226" t="s">
        <v>483</v>
      </c>
      <c r="AT226" t="s">
        <v>484</v>
      </c>
      <c r="AU226" t="s">
        <v>490</v>
      </c>
      <c r="AV226" t="s">
        <v>491</v>
      </c>
      <c r="AW226" t="s">
        <v>486</v>
      </c>
      <c r="BF226" s="1"/>
      <c r="BG226" t="s">
        <v>71</v>
      </c>
      <c r="BH226" t="s">
        <v>487</v>
      </c>
      <c r="BP226" t="s">
        <v>1489</v>
      </c>
      <c r="BQ226" t="s">
        <v>491</v>
      </c>
    </row>
    <row r="227" spans="1:69" x14ac:dyDescent="0.25">
      <c r="A227" t="s">
        <v>5713</v>
      </c>
      <c r="B227" t="s">
        <v>474</v>
      </c>
      <c r="C227" t="s">
        <v>1972</v>
      </c>
      <c r="E227" t="s">
        <v>480</v>
      </c>
      <c r="G227" s="1" t="s">
        <v>1973</v>
      </c>
      <c r="H227" t="s">
        <v>492</v>
      </c>
      <c r="J227">
        <v>400015</v>
      </c>
      <c r="M227" t="s">
        <v>1416</v>
      </c>
      <c r="P227" t="s">
        <v>83</v>
      </c>
      <c r="R227" t="s">
        <v>783</v>
      </c>
      <c r="S227" t="s">
        <v>1977</v>
      </c>
      <c r="T227" t="s">
        <v>1978</v>
      </c>
      <c r="V227" t="s">
        <v>477</v>
      </c>
      <c r="W227" t="s">
        <v>70</v>
      </c>
      <c r="AE227" t="s">
        <v>478</v>
      </c>
      <c r="AF227" t="s">
        <v>479</v>
      </c>
      <c r="AL227">
        <v>1690.56</v>
      </c>
      <c r="AM227" t="s">
        <v>1979</v>
      </c>
      <c r="AO227" t="s">
        <v>480</v>
      </c>
      <c r="AP227" t="s">
        <v>481</v>
      </c>
      <c r="AQ227" t="s">
        <v>497</v>
      </c>
      <c r="AR227" t="s">
        <v>482</v>
      </c>
      <c r="AS227" t="s">
        <v>483</v>
      </c>
      <c r="AT227" t="s">
        <v>484</v>
      </c>
      <c r="AU227" t="s">
        <v>490</v>
      </c>
      <c r="AV227" t="s">
        <v>491</v>
      </c>
      <c r="AW227" t="s">
        <v>486</v>
      </c>
      <c r="BF227" s="1"/>
      <c r="BG227" t="s">
        <v>71</v>
      </c>
      <c r="BH227" t="s">
        <v>487</v>
      </c>
      <c r="BP227" t="s">
        <v>1489</v>
      </c>
      <c r="BQ227" t="s">
        <v>491</v>
      </c>
    </row>
    <row r="228" spans="1:69" x14ac:dyDescent="0.25">
      <c r="A228" t="s">
        <v>5713</v>
      </c>
      <c r="B228" t="s">
        <v>474</v>
      </c>
      <c r="C228" t="s">
        <v>1972</v>
      </c>
      <c r="E228" t="s">
        <v>480</v>
      </c>
      <c r="G228" s="1" t="s">
        <v>1973</v>
      </c>
      <c r="H228" t="s">
        <v>498</v>
      </c>
      <c r="J228">
        <v>400015</v>
      </c>
      <c r="M228" t="s">
        <v>1416</v>
      </c>
      <c r="P228" t="s">
        <v>151</v>
      </c>
      <c r="R228" t="s">
        <v>778</v>
      </c>
      <c r="S228" t="s">
        <v>1980</v>
      </c>
      <c r="T228" t="s">
        <v>1981</v>
      </c>
      <c r="V228" t="s">
        <v>477</v>
      </c>
      <c r="W228" t="s">
        <v>70</v>
      </c>
      <c r="AE228" t="s">
        <v>478</v>
      </c>
      <c r="AF228" t="s">
        <v>479</v>
      </c>
      <c r="AL228">
        <v>641.28</v>
      </c>
      <c r="AM228" t="s">
        <v>1982</v>
      </c>
      <c r="AO228" t="s">
        <v>480</v>
      </c>
      <c r="AP228" t="s">
        <v>481</v>
      </c>
      <c r="AQ228" t="s">
        <v>773</v>
      </c>
      <c r="AR228" t="s">
        <v>482</v>
      </c>
      <c r="AS228" t="s">
        <v>483</v>
      </c>
      <c r="AT228" t="s">
        <v>484</v>
      </c>
      <c r="AU228" t="s">
        <v>490</v>
      </c>
      <c r="AV228" t="s">
        <v>491</v>
      </c>
      <c r="AW228" t="s">
        <v>486</v>
      </c>
      <c r="BF228" s="1"/>
      <c r="BG228" t="s">
        <v>71</v>
      </c>
      <c r="BH228" t="s">
        <v>487</v>
      </c>
      <c r="BP228" t="s">
        <v>1489</v>
      </c>
      <c r="BQ228" t="s">
        <v>491</v>
      </c>
    </row>
    <row r="229" spans="1:69" x14ac:dyDescent="0.25">
      <c r="A229" t="s">
        <v>5713</v>
      </c>
      <c r="B229" t="s">
        <v>474</v>
      </c>
      <c r="C229" t="s">
        <v>1972</v>
      </c>
      <c r="E229" t="s">
        <v>480</v>
      </c>
      <c r="G229" s="1" t="s">
        <v>1973</v>
      </c>
      <c r="H229" t="s">
        <v>500</v>
      </c>
      <c r="J229">
        <v>400015</v>
      </c>
      <c r="M229" t="s">
        <v>1415</v>
      </c>
      <c r="P229" t="s">
        <v>127</v>
      </c>
      <c r="R229" t="s">
        <v>1983</v>
      </c>
      <c r="S229" t="s">
        <v>1984</v>
      </c>
      <c r="T229" t="s">
        <v>1985</v>
      </c>
      <c r="V229" t="s">
        <v>477</v>
      </c>
      <c r="W229" t="s">
        <v>70</v>
      </c>
      <c r="AE229" t="s">
        <v>478</v>
      </c>
      <c r="AF229" t="s">
        <v>479</v>
      </c>
      <c r="AL229">
        <v>793.8</v>
      </c>
      <c r="AM229" t="s">
        <v>842</v>
      </c>
      <c r="AO229" t="s">
        <v>480</v>
      </c>
      <c r="AP229" t="s">
        <v>481</v>
      </c>
      <c r="AQ229" t="s">
        <v>489</v>
      </c>
      <c r="AR229" t="s">
        <v>482</v>
      </c>
      <c r="AS229" t="s">
        <v>483</v>
      </c>
      <c r="AT229" t="s">
        <v>484</v>
      </c>
      <c r="AU229" t="s">
        <v>490</v>
      </c>
      <c r="AV229" t="s">
        <v>491</v>
      </c>
      <c r="AW229" t="s">
        <v>486</v>
      </c>
      <c r="BF229" s="1"/>
      <c r="BG229" t="s">
        <v>71</v>
      </c>
      <c r="BH229" t="s">
        <v>487</v>
      </c>
      <c r="BP229" t="s">
        <v>1489</v>
      </c>
      <c r="BQ229" t="s">
        <v>491</v>
      </c>
    </row>
    <row r="230" spans="1:69" x14ac:dyDescent="0.25">
      <c r="A230" t="s">
        <v>5713</v>
      </c>
      <c r="B230" t="s">
        <v>474</v>
      </c>
      <c r="C230" t="s">
        <v>1972</v>
      </c>
      <c r="E230" t="s">
        <v>480</v>
      </c>
      <c r="G230" s="1" t="s">
        <v>1973</v>
      </c>
      <c r="H230" t="s">
        <v>517</v>
      </c>
      <c r="J230">
        <v>400015</v>
      </c>
      <c r="M230" t="s">
        <v>1417</v>
      </c>
      <c r="P230" t="s">
        <v>121</v>
      </c>
      <c r="R230" t="s">
        <v>1986</v>
      </c>
      <c r="S230" t="s">
        <v>1987</v>
      </c>
      <c r="T230" t="s">
        <v>1988</v>
      </c>
      <c r="V230" t="s">
        <v>477</v>
      </c>
      <c r="W230" t="s">
        <v>70</v>
      </c>
      <c r="AE230" t="s">
        <v>478</v>
      </c>
      <c r="AF230" t="s">
        <v>479</v>
      </c>
      <c r="AL230">
        <v>2707.04</v>
      </c>
      <c r="AM230" t="s">
        <v>1989</v>
      </c>
      <c r="AO230" t="s">
        <v>480</v>
      </c>
      <c r="AP230" t="s">
        <v>481</v>
      </c>
      <c r="AQ230" t="s">
        <v>499</v>
      </c>
      <c r="AR230" t="s">
        <v>482</v>
      </c>
      <c r="AS230" t="s">
        <v>483</v>
      </c>
      <c r="AT230" t="s">
        <v>484</v>
      </c>
      <c r="AU230" t="s">
        <v>490</v>
      </c>
      <c r="AV230" t="s">
        <v>491</v>
      </c>
      <c r="AW230" t="s">
        <v>486</v>
      </c>
      <c r="BF230" s="1"/>
      <c r="BG230" t="s">
        <v>71</v>
      </c>
      <c r="BH230" t="s">
        <v>487</v>
      </c>
      <c r="BP230" t="s">
        <v>1489</v>
      </c>
      <c r="BQ230" t="s">
        <v>491</v>
      </c>
    </row>
    <row r="231" spans="1:69" x14ac:dyDescent="0.25">
      <c r="A231" t="s">
        <v>5713</v>
      </c>
      <c r="B231" t="s">
        <v>474</v>
      </c>
      <c r="C231" t="s">
        <v>1990</v>
      </c>
      <c r="E231" t="s">
        <v>475</v>
      </c>
      <c r="G231" s="1" t="s">
        <v>1991</v>
      </c>
      <c r="H231" t="s">
        <v>476</v>
      </c>
      <c r="J231">
        <v>400015</v>
      </c>
      <c r="M231" t="s">
        <v>1423</v>
      </c>
      <c r="P231" t="s">
        <v>118</v>
      </c>
      <c r="R231" t="s">
        <v>1992</v>
      </c>
      <c r="S231" t="s">
        <v>1993</v>
      </c>
      <c r="T231" t="s">
        <v>1994</v>
      </c>
      <c r="V231" t="s">
        <v>477</v>
      </c>
      <c r="W231" t="s">
        <v>235</v>
      </c>
      <c r="AE231" t="s">
        <v>478</v>
      </c>
      <c r="AF231" t="s">
        <v>479</v>
      </c>
      <c r="AL231">
        <v>643.03199999999993</v>
      </c>
      <c r="AM231" t="s">
        <v>1995</v>
      </c>
      <c r="AO231" t="s">
        <v>480</v>
      </c>
      <c r="AP231" t="s">
        <v>481</v>
      </c>
      <c r="AQ231" t="s">
        <v>705</v>
      </c>
      <c r="AR231" t="s">
        <v>482</v>
      </c>
      <c r="AS231" t="s">
        <v>483</v>
      </c>
      <c r="AT231" t="s">
        <v>484</v>
      </c>
      <c r="AU231" t="s">
        <v>130</v>
      </c>
      <c r="AV231" t="s">
        <v>485</v>
      </c>
      <c r="AW231" t="s">
        <v>486</v>
      </c>
      <c r="BF231" s="1"/>
      <c r="BG231" t="s">
        <v>266</v>
      </c>
      <c r="BH231" t="s">
        <v>487</v>
      </c>
      <c r="BP231" t="s">
        <v>1489</v>
      </c>
      <c r="BQ231" t="s">
        <v>485</v>
      </c>
    </row>
    <row r="232" spans="1:69" x14ac:dyDescent="0.25">
      <c r="A232" t="s">
        <v>5713</v>
      </c>
      <c r="B232" t="s">
        <v>474</v>
      </c>
      <c r="C232" t="s">
        <v>1990</v>
      </c>
      <c r="E232" t="s">
        <v>475</v>
      </c>
      <c r="G232" s="1" t="s">
        <v>1996</v>
      </c>
      <c r="H232" t="s">
        <v>476</v>
      </c>
      <c r="J232">
        <v>400015</v>
      </c>
      <c r="M232" t="s">
        <v>1423</v>
      </c>
      <c r="P232" t="s">
        <v>118</v>
      </c>
      <c r="R232" t="s">
        <v>894</v>
      </c>
      <c r="S232" t="s">
        <v>1997</v>
      </c>
      <c r="T232" t="s">
        <v>1998</v>
      </c>
      <c r="V232" t="s">
        <v>477</v>
      </c>
      <c r="W232" t="s">
        <v>235</v>
      </c>
      <c r="AE232" t="s">
        <v>478</v>
      </c>
      <c r="AF232" t="s">
        <v>479</v>
      </c>
      <c r="AL232">
        <v>2473.1999999999998</v>
      </c>
      <c r="AM232" t="s">
        <v>708</v>
      </c>
      <c r="AO232" t="s">
        <v>480</v>
      </c>
      <c r="AP232" t="s">
        <v>481</v>
      </c>
      <c r="AQ232" t="s">
        <v>705</v>
      </c>
      <c r="AR232" t="s">
        <v>482</v>
      </c>
      <c r="AS232" t="s">
        <v>483</v>
      </c>
      <c r="AT232" t="s">
        <v>484</v>
      </c>
      <c r="AU232" t="s">
        <v>130</v>
      </c>
      <c r="AV232" t="s">
        <v>485</v>
      </c>
      <c r="AW232" t="s">
        <v>486</v>
      </c>
      <c r="BF232" s="1"/>
      <c r="BG232" t="s">
        <v>266</v>
      </c>
      <c r="BH232" t="s">
        <v>487</v>
      </c>
      <c r="BP232" t="s">
        <v>1489</v>
      </c>
      <c r="BQ232" t="s">
        <v>485</v>
      </c>
    </row>
    <row r="233" spans="1:69" x14ac:dyDescent="0.25">
      <c r="A233" t="s">
        <v>5713</v>
      </c>
      <c r="B233" t="s">
        <v>474</v>
      </c>
      <c r="C233" t="s">
        <v>1990</v>
      </c>
      <c r="E233" t="s">
        <v>475</v>
      </c>
      <c r="G233" s="1" t="s">
        <v>1999</v>
      </c>
      <c r="H233" t="s">
        <v>476</v>
      </c>
      <c r="J233">
        <v>400015</v>
      </c>
      <c r="M233" t="s">
        <v>1417</v>
      </c>
      <c r="P233" t="s">
        <v>143</v>
      </c>
      <c r="R233" t="s">
        <v>899</v>
      </c>
      <c r="S233" t="s">
        <v>2000</v>
      </c>
      <c r="T233" t="s">
        <v>2001</v>
      </c>
      <c r="V233" t="s">
        <v>477</v>
      </c>
      <c r="W233" t="s">
        <v>235</v>
      </c>
      <c r="AE233" t="s">
        <v>478</v>
      </c>
      <c r="AF233" t="s">
        <v>479</v>
      </c>
      <c r="AL233">
        <v>166.89599999999999</v>
      </c>
      <c r="AM233" t="s">
        <v>2002</v>
      </c>
      <c r="AO233" t="s">
        <v>480</v>
      </c>
      <c r="AP233" t="s">
        <v>481</v>
      </c>
      <c r="AQ233" t="s">
        <v>785</v>
      </c>
      <c r="AR233" t="s">
        <v>482</v>
      </c>
      <c r="AS233" t="s">
        <v>483</v>
      </c>
      <c r="AT233" t="s">
        <v>484</v>
      </c>
      <c r="AU233" t="s">
        <v>130</v>
      </c>
      <c r="AV233" t="s">
        <v>485</v>
      </c>
      <c r="AW233" t="s">
        <v>486</v>
      </c>
      <c r="BF233" s="1"/>
      <c r="BG233" t="s">
        <v>266</v>
      </c>
      <c r="BH233" t="s">
        <v>487</v>
      </c>
      <c r="BP233" t="s">
        <v>1489</v>
      </c>
      <c r="BQ233" t="s">
        <v>485</v>
      </c>
    </row>
    <row r="234" spans="1:69" x14ac:dyDescent="0.25">
      <c r="A234" t="s">
        <v>5713</v>
      </c>
      <c r="B234" t="s">
        <v>474</v>
      </c>
      <c r="C234" t="s">
        <v>1990</v>
      </c>
      <c r="E234" t="s">
        <v>475</v>
      </c>
      <c r="G234" s="1" t="s">
        <v>1999</v>
      </c>
      <c r="H234" t="s">
        <v>492</v>
      </c>
      <c r="J234">
        <v>400015</v>
      </c>
      <c r="M234" t="s">
        <v>1424</v>
      </c>
      <c r="P234" t="s">
        <v>90</v>
      </c>
      <c r="R234" t="s">
        <v>568</v>
      </c>
      <c r="S234" t="s">
        <v>2003</v>
      </c>
      <c r="T234" t="s">
        <v>2004</v>
      </c>
      <c r="V234" t="s">
        <v>477</v>
      </c>
      <c r="W234" t="s">
        <v>235</v>
      </c>
      <c r="AE234" t="s">
        <v>478</v>
      </c>
      <c r="AF234" t="s">
        <v>479</v>
      </c>
      <c r="AL234">
        <v>618.24</v>
      </c>
      <c r="AM234" t="s">
        <v>779</v>
      </c>
      <c r="AO234" t="s">
        <v>480</v>
      </c>
      <c r="AP234" t="s">
        <v>481</v>
      </c>
      <c r="AQ234" t="s">
        <v>740</v>
      </c>
      <c r="AR234" t="s">
        <v>482</v>
      </c>
      <c r="AS234" t="s">
        <v>483</v>
      </c>
      <c r="AT234" t="s">
        <v>484</v>
      </c>
      <c r="AU234" t="s">
        <v>130</v>
      </c>
      <c r="AV234" t="s">
        <v>485</v>
      </c>
      <c r="AW234" t="s">
        <v>486</v>
      </c>
      <c r="BF234" s="1"/>
      <c r="BG234" t="s">
        <v>266</v>
      </c>
      <c r="BH234" t="s">
        <v>487</v>
      </c>
      <c r="BP234" t="s">
        <v>1489</v>
      </c>
      <c r="BQ234" t="s">
        <v>485</v>
      </c>
    </row>
    <row r="235" spans="1:69" x14ac:dyDescent="0.25">
      <c r="A235" t="s">
        <v>5713</v>
      </c>
      <c r="B235" t="s">
        <v>474</v>
      </c>
      <c r="C235" t="s">
        <v>1990</v>
      </c>
      <c r="E235" t="s">
        <v>475</v>
      </c>
      <c r="G235" s="1" t="s">
        <v>1999</v>
      </c>
      <c r="H235" t="s">
        <v>498</v>
      </c>
      <c r="J235">
        <v>400015</v>
      </c>
      <c r="M235" t="s">
        <v>1417</v>
      </c>
      <c r="P235" t="s">
        <v>143</v>
      </c>
      <c r="R235" t="s">
        <v>568</v>
      </c>
      <c r="S235" t="s">
        <v>2005</v>
      </c>
      <c r="T235" t="s">
        <v>2006</v>
      </c>
      <c r="V235" t="s">
        <v>477</v>
      </c>
      <c r="W235" t="s">
        <v>235</v>
      </c>
      <c r="AE235" t="s">
        <v>478</v>
      </c>
      <c r="AF235" t="s">
        <v>479</v>
      </c>
      <c r="AL235">
        <v>234.24</v>
      </c>
      <c r="AM235" t="s">
        <v>818</v>
      </c>
      <c r="AO235" t="s">
        <v>480</v>
      </c>
      <c r="AP235" t="s">
        <v>481</v>
      </c>
      <c r="AQ235" t="s">
        <v>785</v>
      </c>
      <c r="AR235" t="s">
        <v>482</v>
      </c>
      <c r="AS235" t="s">
        <v>483</v>
      </c>
      <c r="AT235" t="s">
        <v>484</v>
      </c>
      <c r="AU235" t="s">
        <v>130</v>
      </c>
      <c r="AV235" t="s">
        <v>485</v>
      </c>
      <c r="AW235" t="s">
        <v>486</v>
      </c>
      <c r="BF235" s="1"/>
      <c r="BG235" t="s">
        <v>266</v>
      </c>
      <c r="BH235" t="s">
        <v>487</v>
      </c>
      <c r="BP235" t="s">
        <v>1489</v>
      </c>
      <c r="BQ235" t="s">
        <v>485</v>
      </c>
    </row>
    <row r="236" spans="1:69" x14ac:dyDescent="0.25">
      <c r="A236" t="s">
        <v>5713</v>
      </c>
      <c r="B236" t="s">
        <v>474</v>
      </c>
      <c r="C236" t="s">
        <v>1990</v>
      </c>
      <c r="E236" t="s">
        <v>475</v>
      </c>
      <c r="G236" s="1" t="s">
        <v>1999</v>
      </c>
      <c r="H236" t="s">
        <v>500</v>
      </c>
      <c r="J236">
        <v>400015</v>
      </c>
      <c r="M236" t="s">
        <v>1425</v>
      </c>
      <c r="P236" t="s">
        <v>92</v>
      </c>
      <c r="R236" t="s">
        <v>488</v>
      </c>
      <c r="S236" t="s">
        <v>2007</v>
      </c>
      <c r="T236" t="s">
        <v>2008</v>
      </c>
      <c r="V236" t="s">
        <v>477</v>
      </c>
      <c r="W236" t="s">
        <v>235</v>
      </c>
      <c r="AE236" t="s">
        <v>478</v>
      </c>
      <c r="AF236" t="s">
        <v>479</v>
      </c>
      <c r="AL236">
        <v>394.3</v>
      </c>
      <c r="AM236" t="s">
        <v>1927</v>
      </c>
      <c r="AO236" t="s">
        <v>480</v>
      </c>
      <c r="AP236" t="s">
        <v>481</v>
      </c>
      <c r="AQ236" t="s">
        <v>713</v>
      </c>
      <c r="AR236" t="s">
        <v>482</v>
      </c>
      <c r="AS236" t="s">
        <v>483</v>
      </c>
      <c r="AT236" t="s">
        <v>484</v>
      </c>
      <c r="AU236" t="s">
        <v>130</v>
      </c>
      <c r="AV236" t="s">
        <v>485</v>
      </c>
      <c r="AW236" t="s">
        <v>486</v>
      </c>
      <c r="BF236" s="1"/>
      <c r="BG236" t="s">
        <v>266</v>
      </c>
      <c r="BH236" t="s">
        <v>487</v>
      </c>
      <c r="BP236" t="s">
        <v>1489</v>
      </c>
      <c r="BQ236" t="s">
        <v>485</v>
      </c>
    </row>
    <row r="237" spans="1:69" x14ac:dyDescent="0.25">
      <c r="A237" t="s">
        <v>5713</v>
      </c>
      <c r="B237" t="s">
        <v>474</v>
      </c>
      <c r="C237" t="s">
        <v>1990</v>
      </c>
      <c r="E237" t="s">
        <v>475</v>
      </c>
      <c r="G237" s="1" t="s">
        <v>1999</v>
      </c>
      <c r="H237" t="s">
        <v>517</v>
      </c>
      <c r="J237">
        <v>400015</v>
      </c>
      <c r="M237" t="s">
        <v>1414</v>
      </c>
      <c r="P237" t="s">
        <v>91</v>
      </c>
      <c r="R237" t="s">
        <v>855</v>
      </c>
      <c r="S237" t="s">
        <v>2009</v>
      </c>
      <c r="T237" t="s">
        <v>2010</v>
      </c>
      <c r="V237" t="s">
        <v>477</v>
      </c>
      <c r="W237" t="s">
        <v>235</v>
      </c>
      <c r="AE237" t="s">
        <v>478</v>
      </c>
      <c r="AF237" t="s">
        <v>479</v>
      </c>
      <c r="AL237">
        <v>1431.36</v>
      </c>
      <c r="AM237" t="s">
        <v>2011</v>
      </c>
      <c r="AO237" t="s">
        <v>480</v>
      </c>
      <c r="AP237" t="s">
        <v>481</v>
      </c>
      <c r="AQ237" t="s">
        <v>738</v>
      </c>
      <c r="AR237" t="s">
        <v>482</v>
      </c>
      <c r="AS237" t="s">
        <v>483</v>
      </c>
      <c r="AT237" t="s">
        <v>484</v>
      </c>
      <c r="AU237" t="s">
        <v>130</v>
      </c>
      <c r="AV237" t="s">
        <v>485</v>
      </c>
      <c r="AW237" t="s">
        <v>486</v>
      </c>
      <c r="BF237" s="1"/>
      <c r="BG237" t="s">
        <v>266</v>
      </c>
      <c r="BH237" t="s">
        <v>487</v>
      </c>
      <c r="BP237" t="s">
        <v>1489</v>
      </c>
      <c r="BQ237" t="s">
        <v>485</v>
      </c>
    </row>
    <row r="238" spans="1:69" x14ac:dyDescent="0.25">
      <c r="A238" t="s">
        <v>5713</v>
      </c>
      <c r="B238" t="s">
        <v>474</v>
      </c>
      <c r="C238" t="s">
        <v>1990</v>
      </c>
      <c r="E238" t="s">
        <v>475</v>
      </c>
      <c r="G238" s="1" t="s">
        <v>1999</v>
      </c>
      <c r="H238" t="s">
        <v>537</v>
      </c>
      <c r="J238">
        <v>400015</v>
      </c>
      <c r="M238" t="s">
        <v>1417</v>
      </c>
      <c r="P238" t="s">
        <v>143</v>
      </c>
      <c r="R238" t="s">
        <v>640</v>
      </c>
      <c r="S238" t="s">
        <v>2012</v>
      </c>
      <c r="T238" t="s">
        <v>2013</v>
      </c>
      <c r="V238" t="s">
        <v>477</v>
      </c>
      <c r="W238" t="s">
        <v>235</v>
      </c>
      <c r="AE238" t="s">
        <v>478</v>
      </c>
      <c r="AF238" t="s">
        <v>479</v>
      </c>
      <c r="AL238">
        <v>146.4</v>
      </c>
      <c r="AM238" t="s">
        <v>680</v>
      </c>
      <c r="AO238" t="s">
        <v>480</v>
      </c>
      <c r="AP238" t="s">
        <v>481</v>
      </c>
      <c r="AQ238" t="s">
        <v>785</v>
      </c>
      <c r="AR238" t="s">
        <v>482</v>
      </c>
      <c r="AS238" t="s">
        <v>483</v>
      </c>
      <c r="AT238" t="s">
        <v>484</v>
      </c>
      <c r="AU238" t="s">
        <v>130</v>
      </c>
      <c r="AV238" t="s">
        <v>485</v>
      </c>
      <c r="AW238" t="s">
        <v>486</v>
      </c>
      <c r="BF238" s="1"/>
      <c r="BG238" t="s">
        <v>266</v>
      </c>
      <c r="BH238" t="s">
        <v>487</v>
      </c>
      <c r="BP238" t="s">
        <v>1489</v>
      </c>
      <c r="BQ238" t="s">
        <v>485</v>
      </c>
    </row>
    <row r="239" spans="1:69" x14ac:dyDescent="0.25">
      <c r="A239" t="s">
        <v>5713</v>
      </c>
      <c r="B239" t="s">
        <v>474</v>
      </c>
      <c r="C239" t="s">
        <v>1990</v>
      </c>
      <c r="E239" t="s">
        <v>475</v>
      </c>
      <c r="G239" s="1" t="s">
        <v>1999</v>
      </c>
      <c r="H239" t="s">
        <v>542</v>
      </c>
      <c r="J239">
        <v>400015</v>
      </c>
      <c r="M239" t="s">
        <v>1414</v>
      </c>
      <c r="P239" t="s">
        <v>91</v>
      </c>
      <c r="R239" t="s">
        <v>2014</v>
      </c>
      <c r="S239" t="s">
        <v>2015</v>
      </c>
      <c r="T239" t="s">
        <v>2016</v>
      </c>
      <c r="V239" t="s">
        <v>477</v>
      </c>
      <c r="W239" t="s">
        <v>235</v>
      </c>
      <c r="AE239" t="s">
        <v>478</v>
      </c>
      <c r="AF239" t="s">
        <v>479</v>
      </c>
      <c r="AL239">
        <v>469.66499999999996</v>
      </c>
      <c r="AM239" t="s">
        <v>2017</v>
      </c>
      <c r="AO239" t="s">
        <v>480</v>
      </c>
      <c r="AP239" t="s">
        <v>481</v>
      </c>
      <c r="AQ239" t="s">
        <v>738</v>
      </c>
      <c r="AR239" t="s">
        <v>482</v>
      </c>
      <c r="AS239" t="s">
        <v>483</v>
      </c>
      <c r="AT239" t="s">
        <v>484</v>
      </c>
      <c r="AU239" t="s">
        <v>130</v>
      </c>
      <c r="AV239" t="s">
        <v>485</v>
      </c>
      <c r="AW239" t="s">
        <v>486</v>
      </c>
      <c r="BF239" s="1"/>
      <c r="BG239" t="s">
        <v>266</v>
      </c>
      <c r="BH239" t="s">
        <v>487</v>
      </c>
      <c r="BP239" t="s">
        <v>1489</v>
      </c>
      <c r="BQ239" t="s">
        <v>485</v>
      </c>
    </row>
    <row r="240" spans="1:69" x14ac:dyDescent="0.25">
      <c r="A240" t="s">
        <v>5713</v>
      </c>
      <c r="B240" t="s">
        <v>474</v>
      </c>
      <c r="C240" t="s">
        <v>2018</v>
      </c>
      <c r="E240" t="s">
        <v>480</v>
      </c>
      <c r="G240" s="1" t="s">
        <v>2019</v>
      </c>
      <c r="H240" t="s">
        <v>476</v>
      </c>
      <c r="J240">
        <v>400015</v>
      </c>
      <c r="M240" t="s">
        <v>1416</v>
      </c>
      <c r="P240" t="s">
        <v>83</v>
      </c>
      <c r="R240" t="s">
        <v>2020</v>
      </c>
      <c r="S240" t="s">
        <v>2021</v>
      </c>
      <c r="T240" t="s">
        <v>2022</v>
      </c>
      <c r="V240" t="s">
        <v>477</v>
      </c>
      <c r="W240" t="s">
        <v>70</v>
      </c>
      <c r="AE240" t="s">
        <v>478</v>
      </c>
      <c r="AF240" t="s">
        <v>479</v>
      </c>
      <c r="AL240">
        <v>1091.82</v>
      </c>
      <c r="AM240" t="s">
        <v>2023</v>
      </c>
      <c r="AO240" t="s">
        <v>480</v>
      </c>
      <c r="AP240" t="s">
        <v>481</v>
      </c>
      <c r="AQ240" t="s">
        <v>497</v>
      </c>
      <c r="AR240" t="s">
        <v>482</v>
      </c>
      <c r="AS240" t="s">
        <v>483</v>
      </c>
      <c r="AT240" t="s">
        <v>484</v>
      </c>
      <c r="AU240" t="s">
        <v>490</v>
      </c>
      <c r="AV240" t="s">
        <v>491</v>
      </c>
      <c r="AW240" t="s">
        <v>486</v>
      </c>
      <c r="BF240" s="1"/>
      <c r="BG240" t="s">
        <v>71</v>
      </c>
      <c r="BH240" t="s">
        <v>487</v>
      </c>
      <c r="BP240" t="s">
        <v>1489</v>
      </c>
      <c r="BQ240" t="s">
        <v>491</v>
      </c>
    </row>
    <row r="241" spans="1:69" x14ac:dyDescent="0.25">
      <c r="A241" t="s">
        <v>5713</v>
      </c>
      <c r="B241" t="s">
        <v>474</v>
      </c>
      <c r="C241" t="s">
        <v>2018</v>
      </c>
      <c r="E241" t="s">
        <v>480</v>
      </c>
      <c r="G241" s="1" t="s">
        <v>2019</v>
      </c>
      <c r="H241" t="s">
        <v>492</v>
      </c>
      <c r="J241">
        <v>400015</v>
      </c>
      <c r="M241" t="s">
        <v>1430</v>
      </c>
      <c r="P241" t="s">
        <v>167</v>
      </c>
      <c r="R241" t="s">
        <v>739</v>
      </c>
      <c r="S241" t="s">
        <v>2024</v>
      </c>
      <c r="T241" t="s">
        <v>2025</v>
      </c>
      <c r="V241" t="s">
        <v>477</v>
      </c>
      <c r="W241" t="s">
        <v>70</v>
      </c>
      <c r="AE241" t="s">
        <v>478</v>
      </c>
      <c r="AF241" t="s">
        <v>479</v>
      </c>
      <c r="AL241">
        <v>11.157999999999999</v>
      </c>
      <c r="AM241" t="s">
        <v>806</v>
      </c>
      <c r="AO241" t="s">
        <v>480</v>
      </c>
      <c r="AP241" t="s">
        <v>481</v>
      </c>
      <c r="AQ241" t="s">
        <v>759</v>
      </c>
      <c r="AR241" t="s">
        <v>482</v>
      </c>
      <c r="AS241" t="s">
        <v>483</v>
      </c>
      <c r="AT241" t="s">
        <v>484</v>
      </c>
      <c r="AU241" t="s">
        <v>490</v>
      </c>
      <c r="AV241" t="s">
        <v>491</v>
      </c>
      <c r="AW241" t="s">
        <v>486</v>
      </c>
      <c r="BF241" s="1"/>
      <c r="BG241" t="s">
        <v>71</v>
      </c>
      <c r="BH241" t="s">
        <v>487</v>
      </c>
      <c r="BP241" t="s">
        <v>1489</v>
      </c>
      <c r="BQ241" t="s">
        <v>491</v>
      </c>
    </row>
    <row r="242" spans="1:69" x14ac:dyDescent="0.25">
      <c r="A242" t="s">
        <v>5713</v>
      </c>
      <c r="B242" t="s">
        <v>474</v>
      </c>
      <c r="C242" t="s">
        <v>2018</v>
      </c>
      <c r="E242" t="s">
        <v>480</v>
      </c>
      <c r="G242" s="1" t="s">
        <v>2019</v>
      </c>
      <c r="H242" t="s">
        <v>498</v>
      </c>
      <c r="J242">
        <v>400015</v>
      </c>
      <c r="M242" t="s">
        <v>1417</v>
      </c>
      <c r="P242" t="s">
        <v>121</v>
      </c>
      <c r="R242" t="s">
        <v>2026</v>
      </c>
      <c r="S242" t="s">
        <v>2027</v>
      </c>
      <c r="T242" t="s">
        <v>2028</v>
      </c>
      <c r="V242" t="s">
        <v>477</v>
      </c>
      <c r="W242" t="s">
        <v>70</v>
      </c>
      <c r="AE242" t="s">
        <v>478</v>
      </c>
      <c r="AF242" t="s">
        <v>479</v>
      </c>
      <c r="AL242">
        <v>2368.66</v>
      </c>
      <c r="AM242" t="s">
        <v>2029</v>
      </c>
      <c r="AO242" t="s">
        <v>480</v>
      </c>
      <c r="AP242" t="s">
        <v>481</v>
      </c>
      <c r="AQ242" t="s">
        <v>499</v>
      </c>
      <c r="AR242" t="s">
        <v>482</v>
      </c>
      <c r="AS242" t="s">
        <v>483</v>
      </c>
      <c r="AT242" t="s">
        <v>484</v>
      </c>
      <c r="AU242" t="s">
        <v>490</v>
      </c>
      <c r="AV242" t="s">
        <v>491</v>
      </c>
      <c r="AW242" t="s">
        <v>486</v>
      </c>
      <c r="BF242" s="1"/>
      <c r="BG242" t="s">
        <v>71</v>
      </c>
      <c r="BH242" t="s">
        <v>487</v>
      </c>
      <c r="BP242" t="s">
        <v>1489</v>
      </c>
      <c r="BQ242" t="s">
        <v>491</v>
      </c>
    </row>
    <row r="243" spans="1:69" x14ac:dyDescent="0.25">
      <c r="A243" t="s">
        <v>5713</v>
      </c>
      <c r="B243" t="s">
        <v>474</v>
      </c>
      <c r="C243" t="s">
        <v>2018</v>
      </c>
      <c r="E243" t="s">
        <v>480</v>
      </c>
      <c r="G243" s="1" t="s">
        <v>2019</v>
      </c>
      <c r="H243" t="s">
        <v>500</v>
      </c>
      <c r="J243">
        <v>400015</v>
      </c>
      <c r="M243" t="s">
        <v>1417</v>
      </c>
      <c r="P243" t="s">
        <v>121</v>
      </c>
      <c r="R243" t="s">
        <v>501</v>
      </c>
      <c r="S243" t="s">
        <v>659</v>
      </c>
      <c r="T243" t="s">
        <v>660</v>
      </c>
      <c r="V243" t="s">
        <v>477</v>
      </c>
      <c r="W243" t="s">
        <v>70</v>
      </c>
      <c r="AE243" t="s">
        <v>478</v>
      </c>
      <c r="AF243" t="s">
        <v>479</v>
      </c>
      <c r="AL243">
        <v>3654.5039999999999</v>
      </c>
      <c r="AM243" t="s">
        <v>504</v>
      </c>
      <c r="AO243" t="s">
        <v>480</v>
      </c>
      <c r="AP243" t="s">
        <v>481</v>
      </c>
      <c r="AQ243" t="s">
        <v>499</v>
      </c>
      <c r="AR243" t="s">
        <v>482</v>
      </c>
      <c r="AS243" t="s">
        <v>483</v>
      </c>
      <c r="AT243" t="s">
        <v>484</v>
      </c>
      <c r="AU243" t="s">
        <v>490</v>
      </c>
      <c r="AV243" t="s">
        <v>491</v>
      </c>
      <c r="AW243" t="s">
        <v>486</v>
      </c>
      <c r="BF243" s="1"/>
      <c r="BG243" t="s">
        <v>71</v>
      </c>
      <c r="BH243" t="s">
        <v>487</v>
      </c>
      <c r="BP243" t="s">
        <v>1489</v>
      </c>
      <c r="BQ243" t="s">
        <v>491</v>
      </c>
    </row>
    <row r="244" spans="1:69" x14ac:dyDescent="0.25">
      <c r="A244" t="s">
        <v>5713</v>
      </c>
      <c r="B244" t="s">
        <v>474</v>
      </c>
      <c r="C244" t="s">
        <v>2018</v>
      </c>
      <c r="E244" t="s">
        <v>480</v>
      </c>
      <c r="G244" s="1" t="s">
        <v>2030</v>
      </c>
      <c r="H244" t="s">
        <v>476</v>
      </c>
      <c r="J244">
        <v>400015</v>
      </c>
      <c r="M244" t="s">
        <v>1419</v>
      </c>
      <c r="P244" t="s">
        <v>131</v>
      </c>
      <c r="R244" t="s">
        <v>2031</v>
      </c>
      <c r="S244" t="s">
        <v>2032</v>
      </c>
      <c r="T244" t="s">
        <v>2033</v>
      </c>
      <c r="V244" t="s">
        <v>477</v>
      </c>
      <c r="W244" t="s">
        <v>70</v>
      </c>
      <c r="AE244" t="s">
        <v>478</v>
      </c>
      <c r="AF244" t="s">
        <v>479</v>
      </c>
      <c r="AL244">
        <v>3931.08</v>
      </c>
      <c r="AM244" t="s">
        <v>2034</v>
      </c>
      <c r="AO244" t="s">
        <v>480</v>
      </c>
      <c r="AP244" t="s">
        <v>481</v>
      </c>
      <c r="AQ244" t="s">
        <v>516</v>
      </c>
      <c r="AR244" t="s">
        <v>482</v>
      </c>
      <c r="AS244" t="s">
        <v>483</v>
      </c>
      <c r="AT244" t="s">
        <v>484</v>
      </c>
      <c r="AU244" t="s">
        <v>490</v>
      </c>
      <c r="AV244" t="s">
        <v>511</v>
      </c>
      <c r="AW244" t="s">
        <v>486</v>
      </c>
      <c r="BF244" s="1"/>
      <c r="BG244" t="s">
        <v>71</v>
      </c>
      <c r="BH244" t="s">
        <v>487</v>
      </c>
      <c r="BP244" t="s">
        <v>1489</v>
      </c>
      <c r="BQ244" t="s">
        <v>511</v>
      </c>
    </row>
    <row r="245" spans="1:69" x14ac:dyDescent="0.25">
      <c r="A245" t="s">
        <v>5713</v>
      </c>
      <c r="B245" t="s">
        <v>474</v>
      </c>
      <c r="C245" t="s">
        <v>2018</v>
      </c>
      <c r="E245" t="s">
        <v>480</v>
      </c>
      <c r="G245" s="1" t="s">
        <v>2030</v>
      </c>
      <c r="H245" t="s">
        <v>492</v>
      </c>
      <c r="J245">
        <v>400015</v>
      </c>
      <c r="M245" t="s">
        <v>1418</v>
      </c>
      <c r="P245" t="s">
        <v>146</v>
      </c>
      <c r="R245" t="s">
        <v>649</v>
      </c>
      <c r="S245" t="s">
        <v>2035</v>
      </c>
      <c r="T245" t="s">
        <v>2036</v>
      </c>
      <c r="V245" t="s">
        <v>477</v>
      </c>
      <c r="W245" t="s">
        <v>70</v>
      </c>
      <c r="AE245" t="s">
        <v>478</v>
      </c>
      <c r="AF245" t="s">
        <v>479</v>
      </c>
      <c r="AL245">
        <v>167.65</v>
      </c>
      <c r="AM245" t="s">
        <v>893</v>
      </c>
      <c r="AO245" t="s">
        <v>480</v>
      </c>
      <c r="AP245" t="s">
        <v>481</v>
      </c>
      <c r="AQ245" t="s">
        <v>733</v>
      </c>
      <c r="AR245" t="s">
        <v>482</v>
      </c>
      <c r="AS245" t="s">
        <v>483</v>
      </c>
      <c r="AT245" t="s">
        <v>484</v>
      </c>
      <c r="AU245" t="s">
        <v>490</v>
      </c>
      <c r="AV245" t="s">
        <v>511</v>
      </c>
      <c r="AW245" t="s">
        <v>486</v>
      </c>
      <c r="BF245" s="1"/>
      <c r="BG245" t="s">
        <v>71</v>
      </c>
      <c r="BH245" t="s">
        <v>487</v>
      </c>
      <c r="BP245" t="s">
        <v>1489</v>
      </c>
      <c r="BQ245" t="s">
        <v>511</v>
      </c>
    </row>
    <row r="246" spans="1:69" x14ac:dyDescent="0.25">
      <c r="A246" t="s">
        <v>5713</v>
      </c>
      <c r="B246" t="s">
        <v>474</v>
      </c>
      <c r="C246" t="s">
        <v>2018</v>
      </c>
      <c r="E246" t="s">
        <v>480</v>
      </c>
      <c r="G246" s="1" t="s">
        <v>2030</v>
      </c>
      <c r="H246" t="s">
        <v>498</v>
      </c>
      <c r="J246">
        <v>400015</v>
      </c>
      <c r="M246" t="s">
        <v>1418</v>
      </c>
      <c r="P246" t="s">
        <v>146</v>
      </c>
      <c r="R246" t="s">
        <v>825</v>
      </c>
      <c r="S246" t="s">
        <v>2037</v>
      </c>
      <c r="T246" t="s">
        <v>2038</v>
      </c>
      <c r="V246" t="s">
        <v>477</v>
      </c>
      <c r="W246" t="s">
        <v>70</v>
      </c>
      <c r="AE246" t="s">
        <v>478</v>
      </c>
      <c r="AF246" t="s">
        <v>479</v>
      </c>
      <c r="AL246">
        <v>1029.8499999999999</v>
      </c>
      <c r="AM246" t="s">
        <v>826</v>
      </c>
      <c r="AO246" t="s">
        <v>480</v>
      </c>
      <c r="AP246" t="s">
        <v>481</v>
      </c>
      <c r="AQ246" t="s">
        <v>733</v>
      </c>
      <c r="AR246" t="s">
        <v>482</v>
      </c>
      <c r="AS246" t="s">
        <v>483</v>
      </c>
      <c r="AT246" t="s">
        <v>484</v>
      </c>
      <c r="AU246" t="s">
        <v>490</v>
      </c>
      <c r="AV246" t="s">
        <v>511</v>
      </c>
      <c r="AW246" t="s">
        <v>486</v>
      </c>
      <c r="BF246" s="1"/>
      <c r="BG246" t="s">
        <v>71</v>
      </c>
      <c r="BH246" t="s">
        <v>487</v>
      </c>
      <c r="BP246" t="s">
        <v>1489</v>
      </c>
      <c r="BQ246" t="s">
        <v>511</v>
      </c>
    </row>
    <row r="247" spans="1:69" x14ac:dyDescent="0.25">
      <c r="A247" t="s">
        <v>5713</v>
      </c>
      <c r="B247" t="s">
        <v>474</v>
      </c>
      <c r="C247" t="s">
        <v>2018</v>
      </c>
      <c r="E247" t="s">
        <v>480</v>
      </c>
      <c r="G247" s="1" t="s">
        <v>2030</v>
      </c>
      <c r="H247" t="s">
        <v>500</v>
      </c>
      <c r="J247">
        <v>400015</v>
      </c>
      <c r="M247" t="s">
        <v>1418</v>
      </c>
      <c r="P247" t="s">
        <v>149</v>
      </c>
      <c r="R247" t="s">
        <v>761</v>
      </c>
      <c r="S247" t="s">
        <v>2039</v>
      </c>
      <c r="T247" t="s">
        <v>2040</v>
      </c>
      <c r="V247" t="s">
        <v>477</v>
      </c>
      <c r="W247" t="s">
        <v>70</v>
      </c>
      <c r="AE247" t="s">
        <v>478</v>
      </c>
      <c r="AF247" t="s">
        <v>479</v>
      </c>
      <c r="AL247">
        <v>2869.6549999999997</v>
      </c>
      <c r="AM247" t="s">
        <v>2041</v>
      </c>
      <c r="AO247" t="s">
        <v>480</v>
      </c>
      <c r="AP247" t="s">
        <v>481</v>
      </c>
      <c r="AQ247" t="s">
        <v>510</v>
      </c>
      <c r="AR247" t="s">
        <v>482</v>
      </c>
      <c r="AS247" t="s">
        <v>483</v>
      </c>
      <c r="AT247" t="s">
        <v>484</v>
      </c>
      <c r="AU247" t="s">
        <v>490</v>
      </c>
      <c r="AV247" t="s">
        <v>511</v>
      </c>
      <c r="AW247" t="s">
        <v>486</v>
      </c>
      <c r="BF247" s="1"/>
      <c r="BG247" t="s">
        <v>71</v>
      </c>
      <c r="BH247" t="s">
        <v>487</v>
      </c>
      <c r="BP247" t="s">
        <v>1489</v>
      </c>
      <c r="BQ247" t="s">
        <v>511</v>
      </c>
    </row>
    <row r="248" spans="1:69" x14ac:dyDescent="0.25">
      <c r="A248" t="s">
        <v>5713</v>
      </c>
      <c r="B248" t="s">
        <v>474</v>
      </c>
      <c r="C248" t="s">
        <v>2018</v>
      </c>
      <c r="E248" t="s">
        <v>480</v>
      </c>
      <c r="G248" s="1" t="s">
        <v>2030</v>
      </c>
      <c r="H248" t="s">
        <v>517</v>
      </c>
      <c r="J248">
        <v>400015</v>
      </c>
      <c r="M248" t="s">
        <v>1418</v>
      </c>
      <c r="P248" t="s">
        <v>146</v>
      </c>
      <c r="R248" t="s">
        <v>2042</v>
      </c>
      <c r="S248" t="s">
        <v>2043</v>
      </c>
      <c r="T248" t="s">
        <v>2044</v>
      </c>
      <c r="V248" t="s">
        <v>477</v>
      </c>
      <c r="W248" t="s">
        <v>70</v>
      </c>
      <c r="AE248" t="s">
        <v>478</v>
      </c>
      <c r="AF248" t="s">
        <v>479</v>
      </c>
      <c r="AL248">
        <v>1149.5999999999999</v>
      </c>
      <c r="AM248" t="s">
        <v>2045</v>
      </c>
      <c r="AO248" t="s">
        <v>480</v>
      </c>
      <c r="AP248" t="s">
        <v>481</v>
      </c>
      <c r="AQ248" t="s">
        <v>733</v>
      </c>
      <c r="AR248" t="s">
        <v>482</v>
      </c>
      <c r="AS248" t="s">
        <v>483</v>
      </c>
      <c r="AT248" t="s">
        <v>484</v>
      </c>
      <c r="AU248" t="s">
        <v>490</v>
      </c>
      <c r="AV248" t="s">
        <v>511</v>
      </c>
      <c r="AW248" t="s">
        <v>486</v>
      </c>
      <c r="BF248" s="1"/>
      <c r="BG248" t="s">
        <v>71</v>
      </c>
      <c r="BH248" t="s">
        <v>487</v>
      </c>
      <c r="BP248" t="s">
        <v>1489</v>
      </c>
      <c r="BQ248" t="s">
        <v>511</v>
      </c>
    </row>
    <row r="249" spans="1:69" x14ac:dyDescent="0.25">
      <c r="A249" t="s">
        <v>5713</v>
      </c>
      <c r="B249" t="s">
        <v>474</v>
      </c>
      <c r="C249" t="s">
        <v>2018</v>
      </c>
      <c r="E249" t="s">
        <v>480</v>
      </c>
      <c r="G249" s="1" t="s">
        <v>2030</v>
      </c>
      <c r="H249" t="s">
        <v>537</v>
      </c>
      <c r="J249">
        <v>400015</v>
      </c>
      <c r="M249" t="s">
        <v>1425</v>
      </c>
      <c r="P249" t="s">
        <v>172</v>
      </c>
      <c r="R249" t="s">
        <v>764</v>
      </c>
      <c r="S249" t="s">
        <v>2046</v>
      </c>
      <c r="T249" t="s">
        <v>2047</v>
      </c>
      <c r="V249" t="s">
        <v>477</v>
      </c>
      <c r="W249" t="s">
        <v>70</v>
      </c>
      <c r="AE249" t="s">
        <v>478</v>
      </c>
      <c r="AF249" t="s">
        <v>479</v>
      </c>
      <c r="AL249">
        <v>313.2</v>
      </c>
      <c r="AM249" t="s">
        <v>2048</v>
      </c>
      <c r="AO249" t="s">
        <v>480</v>
      </c>
      <c r="AP249" t="s">
        <v>481</v>
      </c>
      <c r="AQ249" t="s">
        <v>889</v>
      </c>
      <c r="AR249" t="s">
        <v>482</v>
      </c>
      <c r="AS249" t="s">
        <v>483</v>
      </c>
      <c r="AT249" t="s">
        <v>484</v>
      </c>
      <c r="AU249" t="s">
        <v>490</v>
      </c>
      <c r="AV249" t="s">
        <v>511</v>
      </c>
      <c r="AW249" t="s">
        <v>486</v>
      </c>
      <c r="BF249" s="1"/>
      <c r="BG249" t="s">
        <v>71</v>
      </c>
      <c r="BH249" t="s">
        <v>487</v>
      </c>
      <c r="BP249" t="s">
        <v>1489</v>
      </c>
      <c r="BQ249" t="s">
        <v>511</v>
      </c>
    </row>
    <row r="250" spans="1:69" x14ac:dyDescent="0.25">
      <c r="A250" t="s">
        <v>5713</v>
      </c>
      <c r="B250" t="s">
        <v>474</v>
      </c>
      <c r="C250" t="s">
        <v>2018</v>
      </c>
      <c r="E250" t="s">
        <v>480</v>
      </c>
      <c r="G250" s="1" t="s">
        <v>2030</v>
      </c>
      <c r="H250" t="s">
        <v>542</v>
      </c>
      <c r="J250">
        <v>400015</v>
      </c>
      <c r="M250" t="s">
        <v>1418</v>
      </c>
      <c r="P250" t="s">
        <v>165</v>
      </c>
      <c r="R250" t="s">
        <v>2049</v>
      </c>
      <c r="S250" t="s">
        <v>2050</v>
      </c>
      <c r="T250" t="s">
        <v>2051</v>
      </c>
      <c r="V250" t="s">
        <v>477</v>
      </c>
      <c r="W250" t="s">
        <v>70</v>
      </c>
      <c r="AE250" t="s">
        <v>478</v>
      </c>
      <c r="AF250" t="s">
        <v>479</v>
      </c>
      <c r="AL250">
        <v>2404.02</v>
      </c>
      <c r="AM250" t="s">
        <v>2052</v>
      </c>
      <c r="AO250" t="s">
        <v>480</v>
      </c>
      <c r="AP250" t="s">
        <v>481</v>
      </c>
      <c r="AQ250" t="s">
        <v>752</v>
      </c>
      <c r="AR250" t="s">
        <v>482</v>
      </c>
      <c r="AS250" t="s">
        <v>483</v>
      </c>
      <c r="AT250" t="s">
        <v>484</v>
      </c>
      <c r="AU250" t="s">
        <v>490</v>
      </c>
      <c r="AV250" t="s">
        <v>511</v>
      </c>
      <c r="AW250" t="s">
        <v>486</v>
      </c>
      <c r="BF250" s="1"/>
      <c r="BG250" t="s">
        <v>71</v>
      </c>
      <c r="BH250" t="s">
        <v>487</v>
      </c>
      <c r="BP250" t="s">
        <v>1489</v>
      </c>
      <c r="BQ250" t="s">
        <v>511</v>
      </c>
    </row>
    <row r="251" spans="1:69" x14ac:dyDescent="0.25">
      <c r="A251" t="s">
        <v>5713</v>
      </c>
      <c r="B251" t="s">
        <v>474</v>
      </c>
      <c r="C251" t="s">
        <v>2018</v>
      </c>
      <c r="E251" t="s">
        <v>480</v>
      </c>
      <c r="G251" s="1" t="s">
        <v>2030</v>
      </c>
      <c r="H251" t="s">
        <v>546</v>
      </c>
      <c r="J251">
        <v>400015</v>
      </c>
      <c r="M251" t="s">
        <v>1418</v>
      </c>
      <c r="P251" t="s">
        <v>149</v>
      </c>
      <c r="R251" t="s">
        <v>506</v>
      </c>
      <c r="S251" t="s">
        <v>507</v>
      </c>
      <c r="T251" t="s">
        <v>508</v>
      </c>
      <c r="V251" t="s">
        <v>477</v>
      </c>
      <c r="W251" t="s">
        <v>70</v>
      </c>
      <c r="AE251" t="s">
        <v>478</v>
      </c>
      <c r="AF251" t="s">
        <v>479</v>
      </c>
      <c r="AL251">
        <v>4013.3879999999995</v>
      </c>
      <c r="AM251" t="s">
        <v>509</v>
      </c>
      <c r="AO251" t="s">
        <v>480</v>
      </c>
      <c r="AP251" t="s">
        <v>481</v>
      </c>
      <c r="AQ251" t="s">
        <v>510</v>
      </c>
      <c r="AR251" t="s">
        <v>482</v>
      </c>
      <c r="AS251" t="s">
        <v>483</v>
      </c>
      <c r="AT251" t="s">
        <v>484</v>
      </c>
      <c r="AU251" t="s">
        <v>490</v>
      </c>
      <c r="AV251" t="s">
        <v>511</v>
      </c>
      <c r="AW251" t="s">
        <v>486</v>
      </c>
      <c r="BF251" s="1"/>
      <c r="BG251" t="s">
        <v>71</v>
      </c>
      <c r="BH251" t="s">
        <v>487</v>
      </c>
      <c r="BP251" t="s">
        <v>1489</v>
      </c>
      <c r="BQ251" t="s">
        <v>511</v>
      </c>
    </row>
    <row r="252" spans="1:69" x14ac:dyDescent="0.25">
      <c r="A252" t="s">
        <v>5713</v>
      </c>
      <c r="B252" t="s">
        <v>474</v>
      </c>
      <c r="C252" t="s">
        <v>2018</v>
      </c>
      <c r="E252" t="s">
        <v>480</v>
      </c>
      <c r="G252" s="1" t="s">
        <v>2030</v>
      </c>
      <c r="H252" t="s">
        <v>549</v>
      </c>
      <c r="J252">
        <v>400015</v>
      </c>
      <c r="M252" t="s">
        <v>1429</v>
      </c>
      <c r="P252" t="s">
        <v>144</v>
      </c>
      <c r="R252" t="s">
        <v>722</v>
      </c>
      <c r="S252" t="s">
        <v>723</v>
      </c>
      <c r="T252" t="s">
        <v>724</v>
      </c>
      <c r="V252" t="s">
        <v>477</v>
      </c>
      <c r="W252" t="s">
        <v>70</v>
      </c>
      <c r="AE252" t="s">
        <v>478</v>
      </c>
      <c r="AF252" t="s">
        <v>479</v>
      </c>
      <c r="AL252">
        <v>4308.12</v>
      </c>
      <c r="AM252" t="s">
        <v>725</v>
      </c>
      <c r="AO252" t="s">
        <v>480</v>
      </c>
      <c r="AP252" t="s">
        <v>481</v>
      </c>
      <c r="AQ252" t="s">
        <v>726</v>
      </c>
      <c r="AR252" t="s">
        <v>482</v>
      </c>
      <c r="AS252" t="s">
        <v>483</v>
      </c>
      <c r="AT252" t="s">
        <v>484</v>
      </c>
      <c r="AU252" t="s">
        <v>490</v>
      </c>
      <c r="AV252" t="s">
        <v>511</v>
      </c>
      <c r="AW252" t="s">
        <v>486</v>
      </c>
      <c r="BF252" s="1"/>
      <c r="BG252" t="s">
        <v>71</v>
      </c>
      <c r="BH252" t="s">
        <v>487</v>
      </c>
      <c r="BP252" t="s">
        <v>1489</v>
      </c>
      <c r="BQ252" t="s">
        <v>511</v>
      </c>
    </row>
    <row r="253" spans="1:69" x14ac:dyDescent="0.25">
      <c r="A253" t="s">
        <v>5713</v>
      </c>
      <c r="B253" t="s">
        <v>474</v>
      </c>
      <c r="C253" t="s">
        <v>2018</v>
      </c>
      <c r="E253" t="s">
        <v>480</v>
      </c>
      <c r="G253" s="1" t="s">
        <v>2053</v>
      </c>
      <c r="H253" t="s">
        <v>476</v>
      </c>
      <c r="J253">
        <v>400015</v>
      </c>
      <c r="M253" t="s">
        <v>1429</v>
      </c>
      <c r="P253" t="s">
        <v>144</v>
      </c>
      <c r="R253" t="s">
        <v>722</v>
      </c>
      <c r="S253" t="s">
        <v>723</v>
      </c>
      <c r="T253" t="s">
        <v>724</v>
      </c>
      <c r="V253" t="s">
        <v>477</v>
      </c>
      <c r="W253" t="s">
        <v>70</v>
      </c>
      <c r="AE253" t="s">
        <v>478</v>
      </c>
      <c r="AF253" t="s">
        <v>479</v>
      </c>
      <c r="AL253">
        <v>4308.12</v>
      </c>
      <c r="AM253" t="s">
        <v>725</v>
      </c>
      <c r="AO253" t="s">
        <v>480</v>
      </c>
      <c r="AP253" t="s">
        <v>481</v>
      </c>
      <c r="AQ253" t="s">
        <v>726</v>
      </c>
      <c r="AR253" t="s">
        <v>482</v>
      </c>
      <c r="AS253" t="s">
        <v>483</v>
      </c>
      <c r="AT253" t="s">
        <v>484</v>
      </c>
      <c r="AU253" t="s">
        <v>490</v>
      </c>
      <c r="AV253" t="s">
        <v>511</v>
      </c>
      <c r="AW253" t="s">
        <v>486</v>
      </c>
      <c r="BF253" s="1"/>
      <c r="BG253" t="s">
        <v>71</v>
      </c>
      <c r="BH253" t="s">
        <v>487</v>
      </c>
      <c r="BP253" t="s">
        <v>1489</v>
      </c>
      <c r="BQ253" t="s">
        <v>511</v>
      </c>
    </row>
    <row r="254" spans="1:69" x14ac:dyDescent="0.25">
      <c r="A254" t="s">
        <v>5713</v>
      </c>
      <c r="B254" t="s">
        <v>474</v>
      </c>
      <c r="C254" t="s">
        <v>2018</v>
      </c>
      <c r="E254" t="s">
        <v>480</v>
      </c>
      <c r="G254" s="1" t="s">
        <v>2053</v>
      </c>
      <c r="H254" t="s">
        <v>492</v>
      </c>
      <c r="J254">
        <v>400015</v>
      </c>
      <c r="M254" t="s">
        <v>1429</v>
      </c>
      <c r="P254" t="s">
        <v>144</v>
      </c>
      <c r="R254" t="s">
        <v>722</v>
      </c>
      <c r="S254" t="s">
        <v>723</v>
      </c>
      <c r="T254" t="s">
        <v>724</v>
      </c>
      <c r="V254" t="s">
        <v>477</v>
      </c>
      <c r="W254" t="s">
        <v>70</v>
      </c>
      <c r="AE254" t="s">
        <v>478</v>
      </c>
      <c r="AF254" t="s">
        <v>479</v>
      </c>
      <c r="AL254">
        <v>4308.12</v>
      </c>
      <c r="AM254" t="s">
        <v>725</v>
      </c>
      <c r="AO254" t="s">
        <v>480</v>
      </c>
      <c r="AP254" t="s">
        <v>481</v>
      </c>
      <c r="AQ254" t="s">
        <v>726</v>
      </c>
      <c r="AR254" t="s">
        <v>482</v>
      </c>
      <c r="AS254" t="s">
        <v>483</v>
      </c>
      <c r="AT254" t="s">
        <v>484</v>
      </c>
      <c r="AU254" t="s">
        <v>490</v>
      </c>
      <c r="AV254" t="s">
        <v>511</v>
      </c>
      <c r="AW254" t="s">
        <v>486</v>
      </c>
      <c r="BF254" s="1"/>
      <c r="BG254" t="s">
        <v>71</v>
      </c>
      <c r="BH254" t="s">
        <v>487</v>
      </c>
      <c r="BP254" t="s">
        <v>1489</v>
      </c>
      <c r="BQ254" t="s">
        <v>511</v>
      </c>
    </row>
    <row r="255" spans="1:69" x14ac:dyDescent="0.25">
      <c r="A255" t="s">
        <v>5713</v>
      </c>
      <c r="B255" t="s">
        <v>474</v>
      </c>
      <c r="C255" t="s">
        <v>2018</v>
      </c>
      <c r="E255" t="s">
        <v>480</v>
      </c>
      <c r="G255" s="1" t="s">
        <v>2053</v>
      </c>
      <c r="H255" t="s">
        <v>498</v>
      </c>
      <c r="J255">
        <v>400015</v>
      </c>
      <c r="M255" t="s">
        <v>1419</v>
      </c>
      <c r="P255" t="s">
        <v>131</v>
      </c>
      <c r="R255" t="s">
        <v>512</v>
      </c>
      <c r="S255" t="s">
        <v>513</v>
      </c>
      <c r="T255" t="s">
        <v>514</v>
      </c>
      <c r="V255" t="s">
        <v>477</v>
      </c>
      <c r="W255" t="s">
        <v>70</v>
      </c>
      <c r="AE255" t="s">
        <v>478</v>
      </c>
      <c r="AF255" t="s">
        <v>479</v>
      </c>
      <c r="AL255">
        <v>4162.32</v>
      </c>
      <c r="AM255" t="s">
        <v>515</v>
      </c>
      <c r="AO255" t="s">
        <v>480</v>
      </c>
      <c r="AP255" t="s">
        <v>481</v>
      </c>
      <c r="AQ255" t="s">
        <v>516</v>
      </c>
      <c r="AR255" t="s">
        <v>482</v>
      </c>
      <c r="AS255" t="s">
        <v>483</v>
      </c>
      <c r="AT255" t="s">
        <v>484</v>
      </c>
      <c r="AU255" t="s">
        <v>490</v>
      </c>
      <c r="AV255" t="s">
        <v>511</v>
      </c>
      <c r="AW255" t="s">
        <v>486</v>
      </c>
      <c r="BF255" s="1"/>
      <c r="BG255" t="s">
        <v>71</v>
      </c>
      <c r="BH255" t="s">
        <v>487</v>
      </c>
      <c r="BP255" t="s">
        <v>1489</v>
      </c>
      <c r="BQ255" t="s">
        <v>511</v>
      </c>
    </row>
    <row r="256" spans="1:69" x14ac:dyDescent="0.25">
      <c r="A256" t="s">
        <v>5713</v>
      </c>
      <c r="B256" t="s">
        <v>474</v>
      </c>
      <c r="C256" t="s">
        <v>2018</v>
      </c>
      <c r="E256" t="s">
        <v>480</v>
      </c>
      <c r="G256" s="1" t="s">
        <v>2053</v>
      </c>
      <c r="H256" t="s">
        <v>500</v>
      </c>
      <c r="J256">
        <v>400015</v>
      </c>
      <c r="M256" t="s">
        <v>1425</v>
      </c>
      <c r="P256" t="s">
        <v>160</v>
      </c>
      <c r="R256" t="s">
        <v>670</v>
      </c>
      <c r="S256" t="s">
        <v>2054</v>
      </c>
      <c r="T256" t="s">
        <v>2055</v>
      </c>
      <c r="V256" t="s">
        <v>477</v>
      </c>
      <c r="W256" t="s">
        <v>70</v>
      </c>
      <c r="AE256" t="s">
        <v>478</v>
      </c>
      <c r="AF256" t="s">
        <v>479</v>
      </c>
      <c r="AL256">
        <v>82.02</v>
      </c>
      <c r="AM256" t="s">
        <v>2056</v>
      </c>
      <c r="AO256" t="s">
        <v>480</v>
      </c>
      <c r="AP256" t="s">
        <v>481</v>
      </c>
      <c r="AQ256" t="s">
        <v>730</v>
      </c>
      <c r="AR256" t="s">
        <v>482</v>
      </c>
      <c r="AS256" t="s">
        <v>483</v>
      </c>
      <c r="AT256" t="s">
        <v>484</v>
      </c>
      <c r="AU256" t="s">
        <v>490</v>
      </c>
      <c r="AV256" t="s">
        <v>511</v>
      </c>
      <c r="AW256" t="s">
        <v>486</v>
      </c>
      <c r="BF256" s="1"/>
      <c r="BG256" t="s">
        <v>71</v>
      </c>
      <c r="BH256" t="s">
        <v>487</v>
      </c>
      <c r="BP256" t="s">
        <v>1489</v>
      </c>
      <c r="BQ256" t="s">
        <v>511</v>
      </c>
    </row>
    <row r="257" spans="1:69" x14ac:dyDescent="0.25">
      <c r="A257" t="s">
        <v>5713</v>
      </c>
      <c r="B257" t="s">
        <v>474</v>
      </c>
      <c r="C257" t="s">
        <v>2018</v>
      </c>
      <c r="E257" t="s">
        <v>480</v>
      </c>
      <c r="G257" s="1" t="s">
        <v>2053</v>
      </c>
      <c r="H257" t="s">
        <v>517</v>
      </c>
      <c r="J257">
        <v>400015</v>
      </c>
      <c r="M257" t="s">
        <v>1425</v>
      </c>
      <c r="P257" t="s">
        <v>172</v>
      </c>
      <c r="R257" t="s">
        <v>557</v>
      </c>
      <c r="S257" t="s">
        <v>2057</v>
      </c>
      <c r="T257" t="s">
        <v>2058</v>
      </c>
      <c r="V257" t="s">
        <v>477</v>
      </c>
      <c r="W257" t="s">
        <v>70</v>
      </c>
      <c r="AE257" t="s">
        <v>478</v>
      </c>
      <c r="AF257" t="s">
        <v>479</v>
      </c>
      <c r="AL257">
        <v>26.099999999999998</v>
      </c>
      <c r="AM257" t="s">
        <v>2059</v>
      </c>
      <c r="AO257" t="s">
        <v>480</v>
      </c>
      <c r="AP257" t="s">
        <v>481</v>
      </c>
      <c r="AQ257" t="s">
        <v>889</v>
      </c>
      <c r="AR257" t="s">
        <v>482</v>
      </c>
      <c r="AS257" t="s">
        <v>483</v>
      </c>
      <c r="AT257" t="s">
        <v>484</v>
      </c>
      <c r="AU257" t="s">
        <v>490</v>
      </c>
      <c r="AV257" t="s">
        <v>511</v>
      </c>
      <c r="AW257" t="s">
        <v>486</v>
      </c>
      <c r="BF257" s="1"/>
      <c r="BG257" t="s">
        <v>71</v>
      </c>
      <c r="BH257" t="s">
        <v>487</v>
      </c>
      <c r="BP257" t="s">
        <v>1489</v>
      </c>
      <c r="BQ257" t="s">
        <v>511</v>
      </c>
    </row>
    <row r="258" spans="1:69" x14ac:dyDescent="0.25">
      <c r="A258" t="s">
        <v>5713</v>
      </c>
      <c r="B258" t="s">
        <v>474</v>
      </c>
      <c r="C258" t="s">
        <v>2018</v>
      </c>
      <c r="E258" t="s">
        <v>480</v>
      </c>
      <c r="G258" s="1" t="s">
        <v>2053</v>
      </c>
      <c r="H258" t="s">
        <v>537</v>
      </c>
      <c r="J258">
        <v>400015</v>
      </c>
      <c r="M258" t="s">
        <v>1418</v>
      </c>
      <c r="P258" t="s">
        <v>149</v>
      </c>
      <c r="R258" t="s">
        <v>2060</v>
      </c>
      <c r="S258" t="s">
        <v>2061</v>
      </c>
      <c r="T258" t="s">
        <v>2062</v>
      </c>
      <c r="V258" t="s">
        <v>477</v>
      </c>
      <c r="W258" t="s">
        <v>70</v>
      </c>
      <c r="AE258" t="s">
        <v>478</v>
      </c>
      <c r="AF258" t="s">
        <v>479</v>
      </c>
      <c r="AL258">
        <v>3848.2279999999996</v>
      </c>
      <c r="AM258" t="s">
        <v>2063</v>
      </c>
      <c r="AO258" t="s">
        <v>480</v>
      </c>
      <c r="AP258" t="s">
        <v>481</v>
      </c>
      <c r="AQ258" t="s">
        <v>510</v>
      </c>
      <c r="AR258" t="s">
        <v>482</v>
      </c>
      <c r="AS258" t="s">
        <v>483</v>
      </c>
      <c r="AT258" t="s">
        <v>484</v>
      </c>
      <c r="AU258" t="s">
        <v>490</v>
      </c>
      <c r="AV258" t="s">
        <v>511</v>
      </c>
      <c r="AW258" t="s">
        <v>486</v>
      </c>
      <c r="BF258" s="1"/>
      <c r="BG258" t="s">
        <v>71</v>
      </c>
      <c r="BH258" t="s">
        <v>487</v>
      </c>
      <c r="BP258" t="s">
        <v>1489</v>
      </c>
      <c r="BQ258" t="s">
        <v>511</v>
      </c>
    </row>
    <row r="259" spans="1:69" x14ac:dyDescent="0.25">
      <c r="A259" t="s">
        <v>5713</v>
      </c>
      <c r="B259" t="s">
        <v>474</v>
      </c>
      <c r="C259" t="s">
        <v>2018</v>
      </c>
      <c r="E259" t="s">
        <v>480</v>
      </c>
      <c r="G259" s="1" t="s">
        <v>2053</v>
      </c>
      <c r="H259" t="s">
        <v>542</v>
      </c>
      <c r="J259">
        <v>400015</v>
      </c>
      <c r="M259" t="s">
        <v>1418</v>
      </c>
      <c r="P259" t="s">
        <v>149</v>
      </c>
      <c r="R259" t="s">
        <v>506</v>
      </c>
      <c r="S259" t="s">
        <v>507</v>
      </c>
      <c r="T259" t="s">
        <v>508</v>
      </c>
      <c r="V259" t="s">
        <v>477</v>
      </c>
      <c r="W259" t="s">
        <v>70</v>
      </c>
      <c r="AE259" t="s">
        <v>478</v>
      </c>
      <c r="AF259" t="s">
        <v>479</v>
      </c>
      <c r="AL259">
        <v>4013.3879999999995</v>
      </c>
      <c r="AM259" t="s">
        <v>509</v>
      </c>
      <c r="AO259" t="s">
        <v>480</v>
      </c>
      <c r="AP259" t="s">
        <v>481</v>
      </c>
      <c r="AQ259" t="s">
        <v>510</v>
      </c>
      <c r="AR259" t="s">
        <v>482</v>
      </c>
      <c r="AS259" t="s">
        <v>483</v>
      </c>
      <c r="AT259" t="s">
        <v>484</v>
      </c>
      <c r="AU259" t="s">
        <v>490</v>
      </c>
      <c r="AV259" t="s">
        <v>511</v>
      </c>
      <c r="AW259" t="s">
        <v>486</v>
      </c>
      <c r="BF259" s="1"/>
      <c r="BG259" t="s">
        <v>71</v>
      </c>
      <c r="BH259" t="s">
        <v>487</v>
      </c>
      <c r="BP259" t="s">
        <v>1489</v>
      </c>
      <c r="BQ259" t="s">
        <v>511</v>
      </c>
    </row>
    <row r="260" spans="1:69" x14ac:dyDescent="0.25">
      <c r="A260" t="s">
        <v>5713</v>
      </c>
      <c r="B260" t="s">
        <v>474</v>
      </c>
      <c r="C260" t="s">
        <v>2018</v>
      </c>
      <c r="E260" t="s">
        <v>480</v>
      </c>
      <c r="G260" s="1" t="s">
        <v>2064</v>
      </c>
      <c r="H260" t="s">
        <v>476</v>
      </c>
      <c r="J260">
        <v>400015</v>
      </c>
      <c r="M260" t="s">
        <v>1418</v>
      </c>
      <c r="P260" t="s">
        <v>149</v>
      </c>
      <c r="R260" t="s">
        <v>506</v>
      </c>
      <c r="S260" t="s">
        <v>507</v>
      </c>
      <c r="T260" t="s">
        <v>508</v>
      </c>
      <c r="V260" t="s">
        <v>477</v>
      </c>
      <c r="W260" t="s">
        <v>70</v>
      </c>
      <c r="AE260" t="s">
        <v>478</v>
      </c>
      <c r="AF260" t="s">
        <v>479</v>
      </c>
      <c r="AL260">
        <v>4013.3879999999995</v>
      </c>
      <c r="AM260" t="s">
        <v>509</v>
      </c>
      <c r="AO260" t="s">
        <v>480</v>
      </c>
      <c r="AP260" t="s">
        <v>481</v>
      </c>
      <c r="AQ260" t="s">
        <v>510</v>
      </c>
      <c r="AR260" t="s">
        <v>482</v>
      </c>
      <c r="AS260" t="s">
        <v>483</v>
      </c>
      <c r="AT260" t="s">
        <v>484</v>
      </c>
      <c r="AU260" t="s">
        <v>490</v>
      </c>
      <c r="AV260" t="s">
        <v>511</v>
      </c>
      <c r="AW260" t="s">
        <v>486</v>
      </c>
      <c r="BF260" s="1"/>
      <c r="BG260" t="s">
        <v>71</v>
      </c>
      <c r="BH260" t="s">
        <v>487</v>
      </c>
      <c r="BP260" t="s">
        <v>1489</v>
      </c>
      <c r="BQ260" t="s">
        <v>511</v>
      </c>
    </row>
    <row r="261" spans="1:69" x14ac:dyDescent="0.25">
      <c r="A261" t="s">
        <v>5713</v>
      </c>
      <c r="B261" t="s">
        <v>474</v>
      </c>
      <c r="C261" t="s">
        <v>2018</v>
      </c>
      <c r="E261" t="s">
        <v>480</v>
      </c>
      <c r="G261" s="1" t="s">
        <v>2064</v>
      </c>
      <c r="H261" t="s">
        <v>492</v>
      </c>
      <c r="J261">
        <v>400015</v>
      </c>
      <c r="M261" t="s">
        <v>1429</v>
      </c>
      <c r="P261" t="s">
        <v>144</v>
      </c>
      <c r="R261" t="s">
        <v>722</v>
      </c>
      <c r="S261" t="s">
        <v>723</v>
      </c>
      <c r="T261" t="s">
        <v>724</v>
      </c>
      <c r="V261" t="s">
        <v>477</v>
      </c>
      <c r="W261" t="s">
        <v>70</v>
      </c>
      <c r="AE261" t="s">
        <v>478</v>
      </c>
      <c r="AF261" t="s">
        <v>479</v>
      </c>
      <c r="AL261">
        <v>4308.12</v>
      </c>
      <c r="AM261" t="s">
        <v>725</v>
      </c>
      <c r="AO261" t="s">
        <v>480</v>
      </c>
      <c r="AP261" t="s">
        <v>481</v>
      </c>
      <c r="AQ261" t="s">
        <v>726</v>
      </c>
      <c r="AR261" t="s">
        <v>482</v>
      </c>
      <c r="AS261" t="s">
        <v>483</v>
      </c>
      <c r="AT261" t="s">
        <v>484</v>
      </c>
      <c r="AU261" t="s">
        <v>490</v>
      </c>
      <c r="AV261" t="s">
        <v>511</v>
      </c>
      <c r="AW261" t="s">
        <v>486</v>
      </c>
      <c r="BF261" s="1"/>
      <c r="BG261" t="s">
        <v>71</v>
      </c>
      <c r="BH261" t="s">
        <v>487</v>
      </c>
      <c r="BP261" t="s">
        <v>1489</v>
      </c>
      <c r="BQ261" t="s">
        <v>511</v>
      </c>
    </row>
    <row r="262" spans="1:69" x14ac:dyDescent="0.25">
      <c r="A262" t="s">
        <v>5713</v>
      </c>
      <c r="B262" t="s">
        <v>474</v>
      </c>
      <c r="C262" t="s">
        <v>2018</v>
      </c>
      <c r="E262" t="s">
        <v>480</v>
      </c>
      <c r="G262" s="1" t="s">
        <v>2064</v>
      </c>
      <c r="H262" t="s">
        <v>498</v>
      </c>
      <c r="J262">
        <v>400015</v>
      </c>
      <c r="M262" t="s">
        <v>1418</v>
      </c>
      <c r="P262" t="s">
        <v>165</v>
      </c>
      <c r="R262" t="s">
        <v>748</v>
      </c>
      <c r="S262" t="s">
        <v>749</v>
      </c>
      <c r="T262" t="s">
        <v>750</v>
      </c>
      <c r="V262" t="s">
        <v>477</v>
      </c>
      <c r="W262" t="s">
        <v>70</v>
      </c>
      <c r="AE262" t="s">
        <v>478</v>
      </c>
      <c r="AF262" t="s">
        <v>479</v>
      </c>
      <c r="AL262">
        <v>4047.1559999999999</v>
      </c>
      <c r="AM262" t="s">
        <v>751</v>
      </c>
      <c r="AO262" t="s">
        <v>480</v>
      </c>
      <c r="AP262" t="s">
        <v>481</v>
      </c>
      <c r="AQ262" t="s">
        <v>752</v>
      </c>
      <c r="AR262" t="s">
        <v>482</v>
      </c>
      <c r="AS262" t="s">
        <v>483</v>
      </c>
      <c r="AT262" t="s">
        <v>484</v>
      </c>
      <c r="AU262" t="s">
        <v>490</v>
      </c>
      <c r="AV262" t="s">
        <v>511</v>
      </c>
      <c r="AW262" t="s">
        <v>486</v>
      </c>
      <c r="BF262" s="1"/>
      <c r="BG262" t="s">
        <v>71</v>
      </c>
      <c r="BH262" t="s">
        <v>487</v>
      </c>
      <c r="BP262" t="s">
        <v>1489</v>
      </c>
      <c r="BQ262" t="s">
        <v>511</v>
      </c>
    </row>
    <row r="263" spans="1:69" x14ac:dyDescent="0.25">
      <c r="A263" t="s">
        <v>5713</v>
      </c>
      <c r="B263" t="s">
        <v>474</v>
      </c>
      <c r="C263" t="s">
        <v>2018</v>
      </c>
      <c r="E263" t="s">
        <v>480</v>
      </c>
      <c r="G263" s="1" t="s">
        <v>2064</v>
      </c>
      <c r="H263" t="s">
        <v>500</v>
      </c>
      <c r="J263">
        <v>400015</v>
      </c>
      <c r="M263" t="s">
        <v>1419</v>
      </c>
      <c r="P263" t="s">
        <v>131</v>
      </c>
      <c r="R263" t="s">
        <v>512</v>
      </c>
      <c r="S263" t="s">
        <v>513</v>
      </c>
      <c r="T263" t="s">
        <v>514</v>
      </c>
      <c r="V263" t="s">
        <v>477</v>
      </c>
      <c r="W263" t="s">
        <v>70</v>
      </c>
      <c r="AE263" t="s">
        <v>478</v>
      </c>
      <c r="AF263" t="s">
        <v>479</v>
      </c>
      <c r="AL263">
        <v>4162.32</v>
      </c>
      <c r="AM263" t="s">
        <v>515</v>
      </c>
      <c r="AO263" t="s">
        <v>480</v>
      </c>
      <c r="AP263" t="s">
        <v>481</v>
      </c>
      <c r="AQ263" t="s">
        <v>516</v>
      </c>
      <c r="AR263" t="s">
        <v>482</v>
      </c>
      <c r="AS263" t="s">
        <v>483</v>
      </c>
      <c r="AT263" t="s">
        <v>484</v>
      </c>
      <c r="AU263" t="s">
        <v>490</v>
      </c>
      <c r="AV263" t="s">
        <v>511</v>
      </c>
      <c r="AW263" t="s">
        <v>486</v>
      </c>
      <c r="BF263" s="1"/>
      <c r="BG263" t="s">
        <v>71</v>
      </c>
      <c r="BH263" t="s">
        <v>487</v>
      </c>
      <c r="BP263" t="s">
        <v>1489</v>
      </c>
      <c r="BQ263" t="s">
        <v>511</v>
      </c>
    </row>
    <row r="264" spans="1:69" x14ac:dyDescent="0.25">
      <c r="A264" t="s">
        <v>5713</v>
      </c>
      <c r="B264" t="s">
        <v>474</v>
      </c>
      <c r="C264" t="s">
        <v>2018</v>
      </c>
      <c r="E264" t="s">
        <v>480</v>
      </c>
      <c r="G264" s="1" t="s">
        <v>2065</v>
      </c>
      <c r="H264" t="s">
        <v>476</v>
      </c>
      <c r="J264">
        <v>400015</v>
      </c>
      <c r="M264" t="s">
        <v>1418</v>
      </c>
      <c r="P264" t="s">
        <v>149</v>
      </c>
      <c r="R264" t="s">
        <v>506</v>
      </c>
      <c r="S264" t="s">
        <v>507</v>
      </c>
      <c r="T264" t="s">
        <v>508</v>
      </c>
      <c r="V264" t="s">
        <v>477</v>
      </c>
      <c r="W264" t="s">
        <v>70</v>
      </c>
      <c r="AE264" t="s">
        <v>478</v>
      </c>
      <c r="AF264" t="s">
        <v>479</v>
      </c>
      <c r="AL264">
        <v>4013.3879999999995</v>
      </c>
      <c r="AM264" t="s">
        <v>509</v>
      </c>
      <c r="AO264" t="s">
        <v>480</v>
      </c>
      <c r="AP264" t="s">
        <v>481</v>
      </c>
      <c r="AQ264" t="s">
        <v>510</v>
      </c>
      <c r="AR264" t="s">
        <v>482</v>
      </c>
      <c r="AS264" t="s">
        <v>483</v>
      </c>
      <c r="AT264" t="s">
        <v>484</v>
      </c>
      <c r="AU264" t="s">
        <v>490</v>
      </c>
      <c r="AV264" t="s">
        <v>511</v>
      </c>
      <c r="AW264" t="s">
        <v>486</v>
      </c>
      <c r="BF264" s="1"/>
      <c r="BG264" t="s">
        <v>71</v>
      </c>
      <c r="BH264" t="s">
        <v>487</v>
      </c>
      <c r="BP264" t="s">
        <v>1489</v>
      </c>
      <c r="BQ264" t="s">
        <v>511</v>
      </c>
    </row>
    <row r="265" spans="1:69" x14ac:dyDescent="0.25">
      <c r="A265" t="s">
        <v>5713</v>
      </c>
      <c r="B265" t="s">
        <v>474</v>
      </c>
      <c r="C265" t="s">
        <v>2018</v>
      </c>
      <c r="E265" t="s">
        <v>480</v>
      </c>
      <c r="G265" s="1" t="s">
        <v>2065</v>
      </c>
      <c r="H265" t="s">
        <v>492</v>
      </c>
      <c r="J265">
        <v>400015</v>
      </c>
      <c r="M265" t="s">
        <v>1418</v>
      </c>
      <c r="P265" t="s">
        <v>149</v>
      </c>
      <c r="R265" t="s">
        <v>506</v>
      </c>
      <c r="S265" t="s">
        <v>507</v>
      </c>
      <c r="T265" t="s">
        <v>508</v>
      </c>
      <c r="V265" t="s">
        <v>477</v>
      </c>
      <c r="W265" t="s">
        <v>70</v>
      </c>
      <c r="AE265" t="s">
        <v>478</v>
      </c>
      <c r="AF265" t="s">
        <v>479</v>
      </c>
      <c r="AL265">
        <v>4013.3879999999995</v>
      </c>
      <c r="AM265" t="s">
        <v>509</v>
      </c>
      <c r="AO265" t="s">
        <v>480</v>
      </c>
      <c r="AP265" t="s">
        <v>481</v>
      </c>
      <c r="AQ265" t="s">
        <v>510</v>
      </c>
      <c r="AR265" t="s">
        <v>482</v>
      </c>
      <c r="AS265" t="s">
        <v>483</v>
      </c>
      <c r="AT265" t="s">
        <v>484</v>
      </c>
      <c r="AU265" t="s">
        <v>490</v>
      </c>
      <c r="AV265" t="s">
        <v>511</v>
      </c>
      <c r="AW265" t="s">
        <v>486</v>
      </c>
      <c r="BF265" s="1"/>
      <c r="BG265" t="s">
        <v>71</v>
      </c>
      <c r="BH265" t="s">
        <v>487</v>
      </c>
      <c r="BP265" t="s">
        <v>1489</v>
      </c>
      <c r="BQ265" t="s">
        <v>511</v>
      </c>
    </row>
    <row r="266" spans="1:69" x14ac:dyDescent="0.25">
      <c r="A266" t="s">
        <v>5713</v>
      </c>
      <c r="B266" t="s">
        <v>474</v>
      </c>
      <c r="C266" t="s">
        <v>2018</v>
      </c>
      <c r="E266" t="s">
        <v>480</v>
      </c>
      <c r="G266" s="1" t="s">
        <v>2065</v>
      </c>
      <c r="H266" t="s">
        <v>498</v>
      </c>
      <c r="J266">
        <v>400015</v>
      </c>
      <c r="M266" t="s">
        <v>1429</v>
      </c>
      <c r="P266" t="s">
        <v>144</v>
      </c>
      <c r="R266" t="s">
        <v>722</v>
      </c>
      <c r="S266" t="s">
        <v>723</v>
      </c>
      <c r="T266" t="s">
        <v>724</v>
      </c>
      <c r="V266" t="s">
        <v>477</v>
      </c>
      <c r="W266" t="s">
        <v>70</v>
      </c>
      <c r="AE266" t="s">
        <v>478</v>
      </c>
      <c r="AF266" t="s">
        <v>479</v>
      </c>
      <c r="AL266">
        <v>4308.12</v>
      </c>
      <c r="AM266" t="s">
        <v>725</v>
      </c>
      <c r="AO266" t="s">
        <v>480</v>
      </c>
      <c r="AP266" t="s">
        <v>481</v>
      </c>
      <c r="AQ266" t="s">
        <v>726</v>
      </c>
      <c r="AR266" t="s">
        <v>482</v>
      </c>
      <c r="AS266" t="s">
        <v>483</v>
      </c>
      <c r="AT266" t="s">
        <v>484</v>
      </c>
      <c r="AU266" t="s">
        <v>490</v>
      </c>
      <c r="AV266" t="s">
        <v>511</v>
      </c>
      <c r="AW266" t="s">
        <v>486</v>
      </c>
      <c r="BF266" s="1"/>
      <c r="BG266" t="s">
        <v>71</v>
      </c>
      <c r="BH266" t="s">
        <v>487</v>
      </c>
      <c r="BP266" t="s">
        <v>1489</v>
      </c>
      <c r="BQ266" t="s">
        <v>511</v>
      </c>
    </row>
    <row r="267" spans="1:69" x14ac:dyDescent="0.25">
      <c r="A267" t="s">
        <v>5713</v>
      </c>
      <c r="B267" t="s">
        <v>474</v>
      </c>
      <c r="C267" t="s">
        <v>2018</v>
      </c>
      <c r="E267" t="s">
        <v>480</v>
      </c>
      <c r="G267" s="1" t="s">
        <v>2065</v>
      </c>
      <c r="H267" t="s">
        <v>500</v>
      </c>
      <c r="J267">
        <v>400015</v>
      </c>
      <c r="M267" t="s">
        <v>1429</v>
      </c>
      <c r="P267" t="s">
        <v>144</v>
      </c>
      <c r="R267" t="s">
        <v>722</v>
      </c>
      <c r="S267" t="s">
        <v>723</v>
      </c>
      <c r="T267" t="s">
        <v>724</v>
      </c>
      <c r="V267" t="s">
        <v>477</v>
      </c>
      <c r="W267" t="s">
        <v>70</v>
      </c>
      <c r="AE267" t="s">
        <v>478</v>
      </c>
      <c r="AF267" t="s">
        <v>479</v>
      </c>
      <c r="AL267">
        <v>4308.12</v>
      </c>
      <c r="AM267" t="s">
        <v>725</v>
      </c>
      <c r="AO267" t="s">
        <v>480</v>
      </c>
      <c r="AP267" t="s">
        <v>481</v>
      </c>
      <c r="AQ267" t="s">
        <v>726</v>
      </c>
      <c r="AR267" t="s">
        <v>482</v>
      </c>
      <c r="AS267" t="s">
        <v>483</v>
      </c>
      <c r="AT267" t="s">
        <v>484</v>
      </c>
      <c r="AU267" t="s">
        <v>490</v>
      </c>
      <c r="AV267" t="s">
        <v>511</v>
      </c>
      <c r="AW267" t="s">
        <v>486</v>
      </c>
      <c r="BF267" s="1"/>
      <c r="BG267" t="s">
        <v>71</v>
      </c>
      <c r="BH267" t="s">
        <v>487</v>
      </c>
      <c r="BP267" t="s">
        <v>1489</v>
      </c>
      <c r="BQ267" t="s">
        <v>511</v>
      </c>
    </row>
    <row r="268" spans="1:69" x14ac:dyDescent="0.25">
      <c r="A268" t="s">
        <v>5713</v>
      </c>
      <c r="B268" t="s">
        <v>474</v>
      </c>
      <c r="C268" t="s">
        <v>2018</v>
      </c>
      <c r="E268" t="s">
        <v>480</v>
      </c>
      <c r="G268" s="1" t="s">
        <v>2065</v>
      </c>
      <c r="H268" t="s">
        <v>517</v>
      </c>
      <c r="J268">
        <v>400015</v>
      </c>
      <c r="M268" t="s">
        <v>1418</v>
      </c>
      <c r="P268" t="s">
        <v>165</v>
      </c>
      <c r="R268" t="s">
        <v>748</v>
      </c>
      <c r="S268" t="s">
        <v>749</v>
      </c>
      <c r="T268" t="s">
        <v>750</v>
      </c>
      <c r="V268" t="s">
        <v>477</v>
      </c>
      <c r="W268" t="s">
        <v>70</v>
      </c>
      <c r="AE268" t="s">
        <v>478</v>
      </c>
      <c r="AF268" t="s">
        <v>479</v>
      </c>
      <c r="AL268">
        <v>4047.1559999999999</v>
      </c>
      <c r="AM268" t="s">
        <v>751</v>
      </c>
      <c r="AO268" t="s">
        <v>480</v>
      </c>
      <c r="AP268" t="s">
        <v>481</v>
      </c>
      <c r="AQ268" t="s">
        <v>752</v>
      </c>
      <c r="AR268" t="s">
        <v>482</v>
      </c>
      <c r="AS268" t="s">
        <v>483</v>
      </c>
      <c r="AT268" t="s">
        <v>484</v>
      </c>
      <c r="AU268" t="s">
        <v>490</v>
      </c>
      <c r="AV268" t="s">
        <v>511</v>
      </c>
      <c r="AW268" t="s">
        <v>486</v>
      </c>
      <c r="BF268" s="1"/>
      <c r="BG268" t="s">
        <v>71</v>
      </c>
      <c r="BH268" t="s">
        <v>487</v>
      </c>
      <c r="BP268" t="s">
        <v>1489</v>
      </c>
      <c r="BQ268" t="s">
        <v>511</v>
      </c>
    </row>
    <row r="269" spans="1:69" x14ac:dyDescent="0.25">
      <c r="A269" t="s">
        <v>5713</v>
      </c>
      <c r="B269" t="s">
        <v>474</v>
      </c>
      <c r="C269" t="s">
        <v>2018</v>
      </c>
      <c r="E269" t="s">
        <v>480</v>
      </c>
      <c r="G269" s="1" t="s">
        <v>2065</v>
      </c>
      <c r="H269" t="s">
        <v>537</v>
      </c>
      <c r="J269">
        <v>400015</v>
      </c>
      <c r="M269" t="s">
        <v>1419</v>
      </c>
      <c r="P269" t="s">
        <v>131</v>
      </c>
      <c r="R269" t="s">
        <v>512</v>
      </c>
      <c r="S269" t="s">
        <v>513</v>
      </c>
      <c r="T269" t="s">
        <v>514</v>
      </c>
      <c r="V269" t="s">
        <v>477</v>
      </c>
      <c r="W269" t="s">
        <v>70</v>
      </c>
      <c r="AE269" t="s">
        <v>478</v>
      </c>
      <c r="AF269" t="s">
        <v>479</v>
      </c>
      <c r="AL269">
        <v>4162.32</v>
      </c>
      <c r="AM269" t="s">
        <v>515</v>
      </c>
      <c r="AO269" t="s">
        <v>480</v>
      </c>
      <c r="AP269" t="s">
        <v>481</v>
      </c>
      <c r="AQ269" t="s">
        <v>516</v>
      </c>
      <c r="AR269" t="s">
        <v>482</v>
      </c>
      <c r="AS269" t="s">
        <v>483</v>
      </c>
      <c r="AT269" t="s">
        <v>484</v>
      </c>
      <c r="AU269" t="s">
        <v>490</v>
      </c>
      <c r="AV269" t="s">
        <v>511</v>
      </c>
      <c r="AW269" t="s">
        <v>486</v>
      </c>
      <c r="BF269" s="1"/>
      <c r="BG269" t="s">
        <v>71</v>
      </c>
      <c r="BH269" t="s">
        <v>487</v>
      </c>
      <c r="BP269" t="s">
        <v>1489</v>
      </c>
      <c r="BQ269" t="s">
        <v>511</v>
      </c>
    </row>
    <row r="270" spans="1:69" x14ac:dyDescent="0.25">
      <c r="A270" t="s">
        <v>5713</v>
      </c>
      <c r="B270" t="s">
        <v>474</v>
      </c>
      <c r="C270" t="s">
        <v>2066</v>
      </c>
      <c r="E270" t="s">
        <v>475</v>
      </c>
      <c r="G270" s="1" t="s">
        <v>2067</v>
      </c>
      <c r="H270" t="s">
        <v>476</v>
      </c>
      <c r="J270">
        <v>400015</v>
      </c>
      <c r="M270" t="s">
        <v>1423</v>
      </c>
      <c r="P270" t="s">
        <v>118</v>
      </c>
      <c r="R270" t="s">
        <v>702</v>
      </c>
      <c r="S270" t="s">
        <v>703</v>
      </c>
      <c r="T270" t="s">
        <v>2068</v>
      </c>
      <c r="V270" t="s">
        <v>477</v>
      </c>
      <c r="W270" t="s">
        <v>235</v>
      </c>
      <c r="AE270" t="s">
        <v>478</v>
      </c>
      <c r="AF270" t="s">
        <v>479</v>
      </c>
      <c r="AL270">
        <v>3116.232</v>
      </c>
      <c r="AM270" t="s">
        <v>704</v>
      </c>
      <c r="AO270" t="s">
        <v>480</v>
      </c>
      <c r="AP270" t="s">
        <v>481</v>
      </c>
      <c r="AQ270" t="s">
        <v>705</v>
      </c>
      <c r="AR270" t="s">
        <v>482</v>
      </c>
      <c r="AS270" t="s">
        <v>483</v>
      </c>
      <c r="AT270" t="s">
        <v>484</v>
      </c>
      <c r="AU270" t="s">
        <v>130</v>
      </c>
      <c r="AV270" t="s">
        <v>485</v>
      </c>
      <c r="AW270" t="s">
        <v>486</v>
      </c>
      <c r="BF270" s="1"/>
      <c r="BG270" t="s">
        <v>266</v>
      </c>
      <c r="BH270" t="s">
        <v>487</v>
      </c>
      <c r="BP270" t="s">
        <v>1489</v>
      </c>
      <c r="BQ270" t="s">
        <v>485</v>
      </c>
    </row>
    <row r="271" spans="1:69" x14ac:dyDescent="0.25">
      <c r="A271" t="s">
        <v>5713</v>
      </c>
      <c r="B271" t="s">
        <v>474</v>
      </c>
      <c r="C271" t="s">
        <v>2066</v>
      </c>
      <c r="E271" t="s">
        <v>480</v>
      </c>
      <c r="G271" s="1" t="s">
        <v>2069</v>
      </c>
      <c r="H271" t="s">
        <v>476</v>
      </c>
      <c r="J271">
        <v>400015</v>
      </c>
      <c r="M271" t="s">
        <v>1416</v>
      </c>
      <c r="P271" t="s">
        <v>83</v>
      </c>
      <c r="R271" t="s">
        <v>493</v>
      </c>
      <c r="S271" t="s">
        <v>494</v>
      </c>
      <c r="T271" t="s">
        <v>495</v>
      </c>
      <c r="V271" t="s">
        <v>477</v>
      </c>
      <c r="W271" t="s">
        <v>70</v>
      </c>
      <c r="AE271" t="s">
        <v>478</v>
      </c>
      <c r="AF271" t="s">
        <v>479</v>
      </c>
      <c r="AL271">
        <v>1056.5999999999999</v>
      </c>
      <c r="AM271" t="s">
        <v>496</v>
      </c>
      <c r="AO271" t="s">
        <v>480</v>
      </c>
      <c r="AP271" t="s">
        <v>481</v>
      </c>
      <c r="AQ271" t="s">
        <v>497</v>
      </c>
      <c r="AR271" t="s">
        <v>482</v>
      </c>
      <c r="AS271" t="s">
        <v>483</v>
      </c>
      <c r="AT271" t="s">
        <v>484</v>
      </c>
      <c r="AU271" t="s">
        <v>490</v>
      </c>
      <c r="AV271" t="s">
        <v>491</v>
      </c>
      <c r="AW271" t="s">
        <v>486</v>
      </c>
      <c r="BF271" s="1"/>
      <c r="BG271" t="s">
        <v>71</v>
      </c>
      <c r="BH271" t="s">
        <v>487</v>
      </c>
      <c r="BP271" t="s">
        <v>1489</v>
      </c>
      <c r="BQ271" t="s">
        <v>491</v>
      </c>
    </row>
    <row r="272" spans="1:69" x14ac:dyDescent="0.25">
      <c r="A272" t="s">
        <v>5713</v>
      </c>
      <c r="B272" t="s">
        <v>474</v>
      </c>
      <c r="C272" t="s">
        <v>2066</v>
      </c>
      <c r="E272" t="s">
        <v>480</v>
      </c>
      <c r="G272" s="1" t="s">
        <v>2069</v>
      </c>
      <c r="H272" t="s">
        <v>492</v>
      </c>
      <c r="J272">
        <v>400015</v>
      </c>
      <c r="M272" t="s">
        <v>1415</v>
      </c>
      <c r="P272" t="s">
        <v>127</v>
      </c>
      <c r="R272" t="s">
        <v>493</v>
      </c>
      <c r="S272" t="s">
        <v>774</v>
      </c>
      <c r="T272" t="s">
        <v>775</v>
      </c>
      <c r="V272" t="s">
        <v>477</v>
      </c>
      <c r="W272" t="s">
        <v>70</v>
      </c>
      <c r="AE272" t="s">
        <v>478</v>
      </c>
      <c r="AF272" t="s">
        <v>479</v>
      </c>
      <c r="AL272">
        <v>756</v>
      </c>
      <c r="AM272" t="s">
        <v>776</v>
      </c>
      <c r="AO272" t="s">
        <v>480</v>
      </c>
      <c r="AP272" t="s">
        <v>481</v>
      </c>
      <c r="AQ272" t="s">
        <v>489</v>
      </c>
      <c r="AR272" t="s">
        <v>482</v>
      </c>
      <c r="AS272" t="s">
        <v>483</v>
      </c>
      <c r="AT272" t="s">
        <v>484</v>
      </c>
      <c r="AU272" t="s">
        <v>490</v>
      </c>
      <c r="AV272" t="s">
        <v>491</v>
      </c>
      <c r="AW272" t="s">
        <v>486</v>
      </c>
      <c r="BF272" s="1"/>
      <c r="BG272" t="s">
        <v>71</v>
      </c>
      <c r="BH272" t="s">
        <v>487</v>
      </c>
      <c r="BP272" t="s">
        <v>1489</v>
      </c>
      <c r="BQ272" t="s">
        <v>491</v>
      </c>
    </row>
    <row r="273" spans="1:69" x14ac:dyDescent="0.25">
      <c r="A273" t="s">
        <v>5713</v>
      </c>
      <c r="B273" t="s">
        <v>474</v>
      </c>
      <c r="C273" t="s">
        <v>2066</v>
      </c>
      <c r="E273" t="s">
        <v>480</v>
      </c>
      <c r="G273" s="1" t="s">
        <v>2069</v>
      </c>
      <c r="H273" t="s">
        <v>498</v>
      </c>
      <c r="J273">
        <v>400015</v>
      </c>
      <c r="M273" t="s">
        <v>1417</v>
      </c>
      <c r="P273" t="s">
        <v>133</v>
      </c>
      <c r="R273" t="s">
        <v>2070</v>
      </c>
      <c r="S273" t="s">
        <v>2071</v>
      </c>
      <c r="T273" t="s">
        <v>2072</v>
      </c>
      <c r="V273" t="s">
        <v>477</v>
      </c>
      <c r="W273" t="s">
        <v>70</v>
      </c>
      <c r="AE273" t="s">
        <v>478</v>
      </c>
      <c r="AF273" t="s">
        <v>479</v>
      </c>
      <c r="AL273">
        <v>1540.5</v>
      </c>
      <c r="AM273" t="s">
        <v>2073</v>
      </c>
      <c r="AO273" t="s">
        <v>480</v>
      </c>
      <c r="AP273" t="s">
        <v>481</v>
      </c>
      <c r="AQ273" t="s">
        <v>505</v>
      </c>
      <c r="AR273" t="s">
        <v>482</v>
      </c>
      <c r="AS273" t="s">
        <v>483</v>
      </c>
      <c r="AT273" t="s">
        <v>484</v>
      </c>
      <c r="AU273" t="s">
        <v>490</v>
      </c>
      <c r="AV273" t="s">
        <v>491</v>
      </c>
      <c r="AW273" t="s">
        <v>486</v>
      </c>
      <c r="BF273" s="1"/>
      <c r="BG273" t="s">
        <v>71</v>
      </c>
      <c r="BH273" t="s">
        <v>487</v>
      </c>
      <c r="BP273" t="s">
        <v>1489</v>
      </c>
      <c r="BQ273" t="s">
        <v>491</v>
      </c>
    </row>
    <row r="274" spans="1:69" x14ac:dyDescent="0.25">
      <c r="A274" t="s">
        <v>5713</v>
      </c>
      <c r="B274" t="s">
        <v>474</v>
      </c>
      <c r="C274" t="s">
        <v>2066</v>
      </c>
      <c r="E274" t="s">
        <v>480</v>
      </c>
      <c r="G274" s="1" t="s">
        <v>2069</v>
      </c>
      <c r="H274" t="s">
        <v>500</v>
      </c>
      <c r="J274">
        <v>400015</v>
      </c>
      <c r="M274" t="s">
        <v>1417</v>
      </c>
      <c r="P274" t="s">
        <v>121</v>
      </c>
      <c r="R274" t="s">
        <v>501</v>
      </c>
      <c r="S274" t="s">
        <v>659</v>
      </c>
      <c r="T274" t="s">
        <v>660</v>
      </c>
      <c r="V274" t="s">
        <v>477</v>
      </c>
      <c r="W274" t="s">
        <v>70</v>
      </c>
      <c r="AE274" t="s">
        <v>478</v>
      </c>
      <c r="AF274" t="s">
        <v>479</v>
      </c>
      <c r="AL274">
        <v>3654.5039999999999</v>
      </c>
      <c r="AM274" t="s">
        <v>504</v>
      </c>
      <c r="AO274" t="s">
        <v>480</v>
      </c>
      <c r="AP274" t="s">
        <v>481</v>
      </c>
      <c r="AQ274" t="s">
        <v>499</v>
      </c>
      <c r="AR274" t="s">
        <v>482</v>
      </c>
      <c r="AS274" t="s">
        <v>483</v>
      </c>
      <c r="AT274" t="s">
        <v>484</v>
      </c>
      <c r="AU274" t="s">
        <v>490</v>
      </c>
      <c r="AV274" t="s">
        <v>491</v>
      </c>
      <c r="AW274" t="s">
        <v>486</v>
      </c>
      <c r="BF274" s="1"/>
      <c r="BG274" t="s">
        <v>71</v>
      </c>
      <c r="BH274" t="s">
        <v>487</v>
      </c>
      <c r="BP274" t="s">
        <v>1489</v>
      </c>
      <c r="BQ274" t="s">
        <v>491</v>
      </c>
    </row>
    <row r="275" spans="1:69" x14ac:dyDescent="0.25">
      <c r="A275" t="s">
        <v>5713</v>
      </c>
      <c r="B275" t="s">
        <v>474</v>
      </c>
      <c r="C275" t="s">
        <v>2066</v>
      </c>
      <c r="E275" t="s">
        <v>480</v>
      </c>
      <c r="G275" s="1" t="s">
        <v>2069</v>
      </c>
      <c r="H275" t="s">
        <v>517</v>
      </c>
      <c r="J275">
        <v>400015</v>
      </c>
      <c r="M275" t="s">
        <v>1417</v>
      </c>
      <c r="P275" t="s">
        <v>121</v>
      </c>
      <c r="R275" t="s">
        <v>2074</v>
      </c>
      <c r="S275" t="s">
        <v>2075</v>
      </c>
      <c r="T275" t="s">
        <v>2076</v>
      </c>
      <c r="V275" t="s">
        <v>477</v>
      </c>
      <c r="W275" t="s">
        <v>70</v>
      </c>
      <c r="AE275" t="s">
        <v>478</v>
      </c>
      <c r="AF275" t="s">
        <v>479</v>
      </c>
      <c r="AL275">
        <v>1097.318</v>
      </c>
      <c r="AM275" t="s">
        <v>2077</v>
      </c>
      <c r="AO275" t="s">
        <v>480</v>
      </c>
      <c r="AP275" t="s">
        <v>481</v>
      </c>
      <c r="AQ275" t="s">
        <v>499</v>
      </c>
      <c r="AR275" t="s">
        <v>482</v>
      </c>
      <c r="AS275" t="s">
        <v>483</v>
      </c>
      <c r="AT275" t="s">
        <v>484</v>
      </c>
      <c r="AU275" t="s">
        <v>490</v>
      </c>
      <c r="AV275" t="s">
        <v>491</v>
      </c>
      <c r="AW275" t="s">
        <v>486</v>
      </c>
      <c r="BF275" s="1"/>
      <c r="BG275" t="s">
        <v>71</v>
      </c>
      <c r="BH275" t="s">
        <v>487</v>
      </c>
      <c r="BP275" t="s">
        <v>1489</v>
      </c>
      <c r="BQ275" t="s">
        <v>491</v>
      </c>
    </row>
    <row r="276" spans="1:69" x14ac:dyDescent="0.25">
      <c r="A276" t="s">
        <v>5713</v>
      </c>
      <c r="B276" t="s">
        <v>474</v>
      </c>
      <c r="C276" t="s">
        <v>2066</v>
      </c>
      <c r="E276" t="s">
        <v>480</v>
      </c>
      <c r="G276" s="1" t="s">
        <v>2069</v>
      </c>
      <c r="H276" t="s">
        <v>537</v>
      </c>
      <c r="J276">
        <v>400015</v>
      </c>
      <c r="M276" t="s">
        <v>1417</v>
      </c>
      <c r="P276" t="s">
        <v>133</v>
      </c>
      <c r="R276" t="s">
        <v>2078</v>
      </c>
      <c r="S276" t="s">
        <v>2079</v>
      </c>
      <c r="T276" t="s">
        <v>2080</v>
      </c>
      <c r="V276" t="s">
        <v>477</v>
      </c>
      <c r="W276" t="s">
        <v>70</v>
      </c>
      <c r="AE276" t="s">
        <v>478</v>
      </c>
      <c r="AF276" t="s">
        <v>479</v>
      </c>
      <c r="AL276">
        <v>1040.43</v>
      </c>
      <c r="AM276" t="s">
        <v>2081</v>
      </c>
      <c r="AO276" t="s">
        <v>480</v>
      </c>
      <c r="AP276" t="s">
        <v>481</v>
      </c>
      <c r="AQ276" t="s">
        <v>505</v>
      </c>
      <c r="AR276" t="s">
        <v>482</v>
      </c>
      <c r="AS276" t="s">
        <v>483</v>
      </c>
      <c r="AT276" t="s">
        <v>484</v>
      </c>
      <c r="AU276" t="s">
        <v>490</v>
      </c>
      <c r="AV276" t="s">
        <v>491</v>
      </c>
      <c r="AW276" t="s">
        <v>486</v>
      </c>
      <c r="BF276" s="1"/>
      <c r="BG276" t="s">
        <v>71</v>
      </c>
      <c r="BH276" t="s">
        <v>487</v>
      </c>
      <c r="BP276" t="s">
        <v>1489</v>
      </c>
      <c r="BQ276" t="s">
        <v>491</v>
      </c>
    </row>
    <row r="277" spans="1:69" x14ac:dyDescent="0.25">
      <c r="A277" t="s">
        <v>5713</v>
      </c>
      <c r="B277" t="s">
        <v>474</v>
      </c>
      <c r="C277" t="s">
        <v>2066</v>
      </c>
      <c r="E277" t="s">
        <v>480</v>
      </c>
      <c r="G277" s="1" t="s">
        <v>2069</v>
      </c>
      <c r="H277" t="s">
        <v>542</v>
      </c>
      <c r="J277">
        <v>400015</v>
      </c>
      <c r="M277" t="s">
        <v>1417</v>
      </c>
      <c r="P277" t="s">
        <v>121</v>
      </c>
      <c r="R277" t="s">
        <v>1461</v>
      </c>
      <c r="S277" t="s">
        <v>2082</v>
      </c>
      <c r="T277" t="s">
        <v>2083</v>
      </c>
      <c r="V277" t="s">
        <v>477</v>
      </c>
      <c r="W277" t="s">
        <v>70</v>
      </c>
      <c r="AE277" t="s">
        <v>478</v>
      </c>
      <c r="AF277" t="s">
        <v>479</v>
      </c>
      <c r="AL277">
        <v>1389.7749999999999</v>
      </c>
      <c r="AM277" t="s">
        <v>2084</v>
      </c>
      <c r="AO277" t="s">
        <v>480</v>
      </c>
      <c r="AP277" t="s">
        <v>481</v>
      </c>
      <c r="AQ277" t="s">
        <v>499</v>
      </c>
      <c r="AR277" t="s">
        <v>482</v>
      </c>
      <c r="AS277" t="s">
        <v>483</v>
      </c>
      <c r="AT277" t="s">
        <v>484</v>
      </c>
      <c r="AU277" t="s">
        <v>490</v>
      </c>
      <c r="AV277" t="s">
        <v>491</v>
      </c>
      <c r="AW277" t="s">
        <v>486</v>
      </c>
      <c r="BF277" s="1"/>
      <c r="BG277" t="s">
        <v>71</v>
      </c>
      <c r="BH277" t="s">
        <v>487</v>
      </c>
      <c r="BP277" t="s">
        <v>1489</v>
      </c>
      <c r="BQ277" t="s">
        <v>491</v>
      </c>
    </row>
    <row r="278" spans="1:69" x14ac:dyDescent="0.25">
      <c r="A278" t="s">
        <v>5713</v>
      </c>
      <c r="B278" t="s">
        <v>474</v>
      </c>
      <c r="C278" t="s">
        <v>2066</v>
      </c>
      <c r="E278" t="s">
        <v>480</v>
      </c>
      <c r="G278" s="1" t="s">
        <v>2069</v>
      </c>
      <c r="H278" t="s">
        <v>546</v>
      </c>
      <c r="J278">
        <v>400015</v>
      </c>
      <c r="M278" t="s">
        <v>1430</v>
      </c>
      <c r="P278" t="s">
        <v>167</v>
      </c>
      <c r="R278" t="s">
        <v>635</v>
      </c>
      <c r="S278" t="s">
        <v>1970</v>
      </c>
      <c r="T278" t="s">
        <v>1971</v>
      </c>
      <c r="V278" t="s">
        <v>477</v>
      </c>
      <c r="W278" t="s">
        <v>70</v>
      </c>
      <c r="AE278" t="s">
        <v>478</v>
      </c>
      <c r="AF278" t="s">
        <v>479</v>
      </c>
      <c r="AL278">
        <v>55.79</v>
      </c>
      <c r="AM278" t="s">
        <v>687</v>
      </c>
      <c r="AO278" t="s">
        <v>480</v>
      </c>
      <c r="AP278" t="s">
        <v>481</v>
      </c>
      <c r="AQ278" t="s">
        <v>759</v>
      </c>
      <c r="AR278" t="s">
        <v>482</v>
      </c>
      <c r="AS278" t="s">
        <v>483</v>
      </c>
      <c r="AT278" t="s">
        <v>484</v>
      </c>
      <c r="AU278" t="s">
        <v>490</v>
      </c>
      <c r="AV278" t="s">
        <v>491</v>
      </c>
      <c r="AW278" t="s">
        <v>486</v>
      </c>
      <c r="BF278" s="1"/>
      <c r="BG278" t="s">
        <v>71</v>
      </c>
      <c r="BH278" t="s">
        <v>487</v>
      </c>
      <c r="BP278" t="s">
        <v>1489</v>
      </c>
      <c r="BQ278" t="s">
        <v>491</v>
      </c>
    </row>
    <row r="279" spans="1:69" x14ac:dyDescent="0.25">
      <c r="A279" t="s">
        <v>5713</v>
      </c>
      <c r="B279" t="s">
        <v>474</v>
      </c>
      <c r="C279" t="s">
        <v>2066</v>
      </c>
      <c r="E279" t="s">
        <v>480</v>
      </c>
      <c r="G279" s="1" t="s">
        <v>2085</v>
      </c>
      <c r="H279" t="s">
        <v>476</v>
      </c>
      <c r="J279">
        <v>400015</v>
      </c>
      <c r="M279" t="s">
        <v>1417</v>
      </c>
      <c r="P279" t="s">
        <v>121</v>
      </c>
      <c r="R279" t="s">
        <v>501</v>
      </c>
      <c r="S279" t="s">
        <v>659</v>
      </c>
      <c r="T279" t="s">
        <v>660</v>
      </c>
      <c r="V279" t="s">
        <v>477</v>
      </c>
      <c r="W279" t="s">
        <v>70</v>
      </c>
      <c r="AE279" t="s">
        <v>478</v>
      </c>
      <c r="AF279" t="s">
        <v>479</v>
      </c>
      <c r="AL279">
        <v>3654.5039999999999</v>
      </c>
      <c r="AM279" t="s">
        <v>504</v>
      </c>
      <c r="AO279" t="s">
        <v>480</v>
      </c>
      <c r="AP279" t="s">
        <v>481</v>
      </c>
      <c r="AQ279" t="s">
        <v>499</v>
      </c>
      <c r="AR279" t="s">
        <v>482</v>
      </c>
      <c r="AS279" t="s">
        <v>483</v>
      </c>
      <c r="AT279" t="s">
        <v>484</v>
      </c>
      <c r="AU279" t="s">
        <v>490</v>
      </c>
      <c r="AV279" t="s">
        <v>491</v>
      </c>
      <c r="AW279" t="s">
        <v>486</v>
      </c>
      <c r="BF279" s="1"/>
      <c r="BG279" t="s">
        <v>71</v>
      </c>
      <c r="BH279" t="s">
        <v>487</v>
      </c>
      <c r="BP279" t="s">
        <v>1489</v>
      </c>
      <c r="BQ279" t="s">
        <v>491</v>
      </c>
    </row>
    <row r="280" spans="1:69" x14ac:dyDescent="0.25">
      <c r="A280" t="s">
        <v>5713</v>
      </c>
      <c r="B280" t="s">
        <v>474</v>
      </c>
      <c r="C280" t="s">
        <v>2066</v>
      </c>
      <c r="E280" t="s">
        <v>480</v>
      </c>
      <c r="G280" s="1" t="s">
        <v>2085</v>
      </c>
      <c r="H280" t="s">
        <v>492</v>
      </c>
      <c r="J280">
        <v>400015</v>
      </c>
      <c r="M280" t="s">
        <v>1425</v>
      </c>
      <c r="P280" t="s">
        <v>153</v>
      </c>
      <c r="R280" t="s">
        <v>745</v>
      </c>
      <c r="S280" t="s">
        <v>770</v>
      </c>
      <c r="T280" t="s">
        <v>771</v>
      </c>
      <c r="V280" t="s">
        <v>477</v>
      </c>
      <c r="W280" t="s">
        <v>70</v>
      </c>
      <c r="AE280" t="s">
        <v>478</v>
      </c>
      <c r="AF280" t="s">
        <v>479</v>
      </c>
      <c r="AL280">
        <v>621.19999999999993</v>
      </c>
      <c r="AM280" t="s">
        <v>772</v>
      </c>
      <c r="AO280" t="s">
        <v>480</v>
      </c>
      <c r="AP280" t="s">
        <v>481</v>
      </c>
      <c r="AQ280" t="s">
        <v>762</v>
      </c>
      <c r="AR280" t="s">
        <v>482</v>
      </c>
      <c r="AS280" t="s">
        <v>483</v>
      </c>
      <c r="AT280" t="s">
        <v>484</v>
      </c>
      <c r="AU280" t="s">
        <v>490</v>
      </c>
      <c r="AV280" t="s">
        <v>491</v>
      </c>
      <c r="AW280" t="s">
        <v>486</v>
      </c>
      <c r="BF280" s="1"/>
      <c r="BG280" t="s">
        <v>71</v>
      </c>
      <c r="BH280" t="s">
        <v>487</v>
      </c>
      <c r="BP280" t="s">
        <v>1489</v>
      </c>
      <c r="BQ280" t="s">
        <v>491</v>
      </c>
    </row>
    <row r="281" spans="1:69" x14ac:dyDescent="0.25">
      <c r="A281" t="s">
        <v>5713</v>
      </c>
      <c r="B281" t="s">
        <v>474</v>
      </c>
      <c r="C281" t="s">
        <v>2066</v>
      </c>
      <c r="E281" t="s">
        <v>480</v>
      </c>
      <c r="G281" s="1" t="s">
        <v>2085</v>
      </c>
      <c r="H281" t="s">
        <v>498</v>
      </c>
      <c r="J281">
        <v>400015</v>
      </c>
      <c r="M281" t="s">
        <v>1417</v>
      </c>
      <c r="P281" t="s">
        <v>121</v>
      </c>
      <c r="R281" t="s">
        <v>727</v>
      </c>
      <c r="S281" t="s">
        <v>2086</v>
      </c>
      <c r="T281" t="s">
        <v>2087</v>
      </c>
      <c r="V281" t="s">
        <v>477</v>
      </c>
      <c r="W281" t="s">
        <v>70</v>
      </c>
      <c r="AE281" t="s">
        <v>478</v>
      </c>
      <c r="AF281" t="s">
        <v>479</v>
      </c>
      <c r="AL281">
        <v>1353.52</v>
      </c>
      <c r="AM281" t="s">
        <v>2011</v>
      </c>
      <c r="AO281" t="s">
        <v>480</v>
      </c>
      <c r="AP281" t="s">
        <v>481</v>
      </c>
      <c r="AQ281" t="s">
        <v>499</v>
      </c>
      <c r="AR281" t="s">
        <v>482</v>
      </c>
      <c r="AS281" t="s">
        <v>483</v>
      </c>
      <c r="AT281" t="s">
        <v>484</v>
      </c>
      <c r="AU281" t="s">
        <v>490</v>
      </c>
      <c r="AV281" t="s">
        <v>491</v>
      </c>
      <c r="AW281" t="s">
        <v>486</v>
      </c>
      <c r="BF281" s="1"/>
      <c r="BG281" t="s">
        <v>71</v>
      </c>
      <c r="BH281" t="s">
        <v>487</v>
      </c>
      <c r="BP281" t="s">
        <v>1489</v>
      </c>
      <c r="BQ281" t="s">
        <v>491</v>
      </c>
    </row>
    <row r="282" spans="1:69" x14ac:dyDescent="0.25">
      <c r="A282" t="s">
        <v>5713</v>
      </c>
      <c r="B282" t="s">
        <v>474</v>
      </c>
      <c r="C282" t="s">
        <v>2066</v>
      </c>
      <c r="E282" t="s">
        <v>480</v>
      </c>
      <c r="G282" s="1" t="s">
        <v>2085</v>
      </c>
      <c r="H282" t="s">
        <v>500</v>
      </c>
      <c r="J282">
        <v>400015</v>
      </c>
      <c r="M282" t="s">
        <v>1425</v>
      </c>
      <c r="P282" t="s">
        <v>134</v>
      </c>
      <c r="R282" t="s">
        <v>493</v>
      </c>
      <c r="S282" t="s">
        <v>896</v>
      </c>
      <c r="T282" t="s">
        <v>897</v>
      </c>
      <c r="V282" t="s">
        <v>477</v>
      </c>
      <c r="W282" t="s">
        <v>70</v>
      </c>
      <c r="AE282" t="s">
        <v>478</v>
      </c>
      <c r="AF282" t="s">
        <v>479</v>
      </c>
      <c r="AL282">
        <v>963.9</v>
      </c>
      <c r="AM282" t="s">
        <v>777</v>
      </c>
      <c r="AO282" t="s">
        <v>480</v>
      </c>
      <c r="AP282" t="s">
        <v>481</v>
      </c>
      <c r="AQ282" t="s">
        <v>747</v>
      </c>
      <c r="AR282" t="s">
        <v>482</v>
      </c>
      <c r="AS282" t="s">
        <v>483</v>
      </c>
      <c r="AT282" t="s">
        <v>484</v>
      </c>
      <c r="AU282" t="s">
        <v>490</v>
      </c>
      <c r="AV282" t="s">
        <v>491</v>
      </c>
      <c r="AW282" t="s">
        <v>486</v>
      </c>
      <c r="BF282" s="1"/>
      <c r="BG282" t="s">
        <v>71</v>
      </c>
      <c r="BH282" t="s">
        <v>487</v>
      </c>
      <c r="BP282" t="s">
        <v>1489</v>
      </c>
      <c r="BQ282" t="s">
        <v>491</v>
      </c>
    </row>
    <row r="283" spans="1:69" x14ac:dyDescent="0.25">
      <c r="A283" t="s">
        <v>5713</v>
      </c>
      <c r="B283" t="s">
        <v>474</v>
      </c>
      <c r="C283" t="s">
        <v>2066</v>
      </c>
      <c r="E283" t="s">
        <v>480</v>
      </c>
      <c r="G283" s="1" t="s">
        <v>2085</v>
      </c>
      <c r="H283" t="s">
        <v>517</v>
      </c>
      <c r="J283">
        <v>400015</v>
      </c>
      <c r="M283" t="s">
        <v>1430</v>
      </c>
      <c r="P283" t="s">
        <v>167</v>
      </c>
      <c r="R283" t="s">
        <v>488</v>
      </c>
      <c r="S283" t="s">
        <v>1498</v>
      </c>
      <c r="T283" t="s">
        <v>1499</v>
      </c>
      <c r="V283" t="s">
        <v>477</v>
      </c>
      <c r="W283" t="s">
        <v>70</v>
      </c>
      <c r="AE283" t="s">
        <v>478</v>
      </c>
      <c r="AF283" t="s">
        <v>479</v>
      </c>
      <c r="AL283">
        <v>557.9</v>
      </c>
      <c r="AM283" t="s">
        <v>772</v>
      </c>
      <c r="AO283" t="s">
        <v>480</v>
      </c>
      <c r="AP283" t="s">
        <v>481</v>
      </c>
      <c r="AQ283" t="s">
        <v>759</v>
      </c>
      <c r="AR283" t="s">
        <v>482</v>
      </c>
      <c r="AS283" t="s">
        <v>483</v>
      </c>
      <c r="AT283" t="s">
        <v>484</v>
      </c>
      <c r="AU283" t="s">
        <v>490</v>
      </c>
      <c r="AV283" t="s">
        <v>491</v>
      </c>
      <c r="AW283" t="s">
        <v>486</v>
      </c>
      <c r="BF283" s="1"/>
      <c r="BG283" t="s">
        <v>71</v>
      </c>
      <c r="BH283" t="s">
        <v>487</v>
      </c>
      <c r="BP283" t="s">
        <v>1489</v>
      </c>
      <c r="BQ283" t="s">
        <v>491</v>
      </c>
    </row>
    <row r="284" spans="1:69" x14ac:dyDescent="0.25">
      <c r="A284" t="s">
        <v>5713</v>
      </c>
      <c r="B284" t="s">
        <v>474</v>
      </c>
      <c r="C284" t="s">
        <v>2088</v>
      </c>
      <c r="E284" t="s">
        <v>475</v>
      </c>
      <c r="G284" s="1" t="s">
        <v>2089</v>
      </c>
      <c r="H284" t="s">
        <v>476</v>
      </c>
      <c r="J284">
        <v>400015</v>
      </c>
      <c r="M284" t="s">
        <v>1417</v>
      </c>
      <c r="P284" t="s">
        <v>143</v>
      </c>
      <c r="R284" t="s">
        <v>848</v>
      </c>
      <c r="S284" t="s">
        <v>2090</v>
      </c>
      <c r="T284" t="s">
        <v>2091</v>
      </c>
      <c r="V284" t="s">
        <v>477</v>
      </c>
      <c r="W284" t="s">
        <v>235</v>
      </c>
      <c r="AE284" t="s">
        <v>478</v>
      </c>
      <c r="AF284" t="s">
        <v>479</v>
      </c>
      <c r="AL284">
        <v>64.415999999999997</v>
      </c>
      <c r="AM284" t="s">
        <v>583</v>
      </c>
      <c r="AO284" t="s">
        <v>480</v>
      </c>
      <c r="AP284" t="s">
        <v>481</v>
      </c>
      <c r="AQ284" t="s">
        <v>785</v>
      </c>
      <c r="AR284" t="s">
        <v>482</v>
      </c>
      <c r="AS284" t="s">
        <v>483</v>
      </c>
      <c r="AT284" t="s">
        <v>484</v>
      </c>
      <c r="AU284" t="s">
        <v>130</v>
      </c>
      <c r="AV284" t="s">
        <v>485</v>
      </c>
      <c r="AW284" t="s">
        <v>486</v>
      </c>
      <c r="BF284" s="1"/>
      <c r="BG284" t="s">
        <v>266</v>
      </c>
      <c r="BH284" t="s">
        <v>487</v>
      </c>
      <c r="BP284" t="s">
        <v>1489</v>
      </c>
      <c r="BQ284" t="s">
        <v>485</v>
      </c>
    </row>
    <row r="285" spans="1:69" x14ac:dyDescent="0.25">
      <c r="A285" t="s">
        <v>5713</v>
      </c>
      <c r="B285" t="s">
        <v>474</v>
      </c>
      <c r="C285" t="s">
        <v>2088</v>
      </c>
      <c r="E285" t="s">
        <v>475</v>
      </c>
      <c r="G285" s="1" t="s">
        <v>2089</v>
      </c>
      <c r="H285" t="s">
        <v>492</v>
      </c>
      <c r="J285">
        <v>400015</v>
      </c>
      <c r="M285" t="s">
        <v>1414</v>
      </c>
      <c r="P285" t="s">
        <v>91</v>
      </c>
      <c r="R285" t="s">
        <v>2092</v>
      </c>
      <c r="S285" t="s">
        <v>2093</v>
      </c>
      <c r="T285" t="s">
        <v>2094</v>
      </c>
      <c r="V285" t="s">
        <v>477</v>
      </c>
      <c r="W285" t="s">
        <v>235</v>
      </c>
      <c r="AE285" t="s">
        <v>478</v>
      </c>
      <c r="AF285" t="s">
        <v>479</v>
      </c>
      <c r="AL285">
        <v>1176.3989999999999</v>
      </c>
      <c r="AM285" t="s">
        <v>2095</v>
      </c>
      <c r="AO285" t="s">
        <v>480</v>
      </c>
      <c r="AP285" t="s">
        <v>481</v>
      </c>
      <c r="AQ285" t="s">
        <v>738</v>
      </c>
      <c r="AR285" t="s">
        <v>482</v>
      </c>
      <c r="AS285" t="s">
        <v>483</v>
      </c>
      <c r="AT285" t="s">
        <v>484</v>
      </c>
      <c r="AU285" t="s">
        <v>130</v>
      </c>
      <c r="AV285" t="s">
        <v>485</v>
      </c>
      <c r="AW285" t="s">
        <v>486</v>
      </c>
      <c r="BF285" s="1"/>
      <c r="BG285" t="s">
        <v>266</v>
      </c>
      <c r="BH285" t="s">
        <v>487</v>
      </c>
      <c r="BP285" t="s">
        <v>1489</v>
      </c>
      <c r="BQ285" t="s">
        <v>485</v>
      </c>
    </row>
    <row r="286" spans="1:69" x14ac:dyDescent="0.25">
      <c r="A286" t="s">
        <v>5713</v>
      </c>
      <c r="B286" t="s">
        <v>474</v>
      </c>
      <c r="C286" t="s">
        <v>2088</v>
      </c>
      <c r="E286" t="s">
        <v>475</v>
      </c>
      <c r="G286" s="1" t="s">
        <v>2089</v>
      </c>
      <c r="H286" t="s">
        <v>498</v>
      </c>
      <c r="J286">
        <v>400015</v>
      </c>
      <c r="M286" t="s">
        <v>1417</v>
      </c>
      <c r="P286" t="s">
        <v>143</v>
      </c>
      <c r="R286" t="s">
        <v>670</v>
      </c>
      <c r="S286" t="s">
        <v>784</v>
      </c>
      <c r="T286" t="s">
        <v>2096</v>
      </c>
      <c r="V286" t="s">
        <v>477</v>
      </c>
      <c r="W286" t="s">
        <v>235</v>
      </c>
      <c r="AE286" t="s">
        <v>478</v>
      </c>
      <c r="AF286" t="s">
        <v>479</v>
      </c>
      <c r="AL286">
        <v>58.56</v>
      </c>
      <c r="AM286" t="s">
        <v>687</v>
      </c>
      <c r="AO286" t="s">
        <v>480</v>
      </c>
      <c r="AP286" t="s">
        <v>481</v>
      </c>
      <c r="AQ286" t="s">
        <v>785</v>
      </c>
      <c r="AR286" t="s">
        <v>482</v>
      </c>
      <c r="AS286" t="s">
        <v>483</v>
      </c>
      <c r="AT286" t="s">
        <v>484</v>
      </c>
      <c r="AU286" t="s">
        <v>130</v>
      </c>
      <c r="AV286" t="s">
        <v>485</v>
      </c>
      <c r="AW286" t="s">
        <v>486</v>
      </c>
      <c r="BF286" s="1"/>
      <c r="BG286" t="s">
        <v>266</v>
      </c>
      <c r="BH286" t="s">
        <v>487</v>
      </c>
      <c r="BP286" t="s">
        <v>1489</v>
      </c>
      <c r="BQ286" t="s">
        <v>485</v>
      </c>
    </row>
    <row r="287" spans="1:69" x14ac:dyDescent="0.25">
      <c r="A287" t="s">
        <v>5713</v>
      </c>
      <c r="B287" t="s">
        <v>474</v>
      </c>
      <c r="C287" t="s">
        <v>2088</v>
      </c>
      <c r="E287" t="s">
        <v>475</v>
      </c>
      <c r="G287" s="1" t="s">
        <v>2089</v>
      </c>
      <c r="H287" t="s">
        <v>500</v>
      </c>
      <c r="J287">
        <v>400015</v>
      </c>
      <c r="M287" t="s">
        <v>1425</v>
      </c>
      <c r="P287" t="s">
        <v>92</v>
      </c>
      <c r="R287" t="s">
        <v>1811</v>
      </c>
      <c r="S287" t="s">
        <v>2097</v>
      </c>
      <c r="T287" t="s">
        <v>2098</v>
      </c>
      <c r="V287" t="s">
        <v>477</v>
      </c>
      <c r="W287" t="s">
        <v>235</v>
      </c>
      <c r="AE287" t="s">
        <v>478</v>
      </c>
      <c r="AF287" t="s">
        <v>479</v>
      </c>
      <c r="AL287">
        <v>303.61099999999999</v>
      </c>
      <c r="AM287" t="s">
        <v>2099</v>
      </c>
      <c r="AO287" t="s">
        <v>480</v>
      </c>
      <c r="AP287" t="s">
        <v>481</v>
      </c>
      <c r="AQ287" t="s">
        <v>713</v>
      </c>
      <c r="AR287" t="s">
        <v>482</v>
      </c>
      <c r="AS287" t="s">
        <v>483</v>
      </c>
      <c r="AT287" t="s">
        <v>484</v>
      </c>
      <c r="AU287" t="s">
        <v>130</v>
      </c>
      <c r="AV287" t="s">
        <v>485</v>
      </c>
      <c r="AW287" t="s">
        <v>486</v>
      </c>
      <c r="BF287" s="1"/>
      <c r="BG287" t="s">
        <v>266</v>
      </c>
      <c r="BH287" t="s">
        <v>487</v>
      </c>
      <c r="BP287" t="s">
        <v>1489</v>
      </c>
      <c r="BQ287" t="s">
        <v>485</v>
      </c>
    </row>
    <row r="288" spans="1:69" x14ac:dyDescent="0.25">
      <c r="A288" t="s">
        <v>5713</v>
      </c>
      <c r="B288" t="s">
        <v>474</v>
      </c>
      <c r="C288" t="s">
        <v>2088</v>
      </c>
      <c r="E288" t="s">
        <v>475</v>
      </c>
      <c r="G288" s="1" t="s">
        <v>2089</v>
      </c>
      <c r="H288" t="s">
        <v>517</v>
      </c>
      <c r="J288">
        <v>400015</v>
      </c>
      <c r="M288" t="s">
        <v>1414</v>
      </c>
      <c r="P288" t="s">
        <v>91</v>
      </c>
      <c r="R288" t="s">
        <v>2100</v>
      </c>
      <c r="S288" t="s">
        <v>2101</v>
      </c>
      <c r="T288" t="s">
        <v>2102</v>
      </c>
      <c r="V288" t="s">
        <v>477</v>
      </c>
      <c r="W288" t="s">
        <v>235</v>
      </c>
      <c r="AE288" t="s">
        <v>478</v>
      </c>
      <c r="AF288" t="s">
        <v>479</v>
      </c>
      <c r="AL288">
        <v>908.01900000000001</v>
      </c>
      <c r="AM288" t="s">
        <v>2103</v>
      </c>
      <c r="AO288" t="s">
        <v>480</v>
      </c>
      <c r="AP288" t="s">
        <v>481</v>
      </c>
      <c r="AQ288" t="s">
        <v>738</v>
      </c>
      <c r="AR288" t="s">
        <v>482</v>
      </c>
      <c r="AS288" t="s">
        <v>483</v>
      </c>
      <c r="AT288" t="s">
        <v>484</v>
      </c>
      <c r="AU288" t="s">
        <v>130</v>
      </c>
      <c r="AV288" t="s">
        <v>485</v>
      </c>
      <c r="AW288" t="s">
        <v>486</v>
      </c>
      <c r="BF288" s="1"/>
      <c r="BG288" t="s">
        <v>266</v>
      </c>
      <c r="BH288" t="s">
        <v>487</v>
      </c>
      <c r="BP288" t="s">
        <v>1489</v>
      </c>
      <c r="BQ288" t="s">
        <v>485</v>
      </c>
    </row>
    <row r="289" spans="1:69" x14ac:dyDescent="0.25">
      <c r="A289" t="s">
        <v>5713</v>
      </c>
      <c r="B289" t="s">
        <v>474</v>
      </c>
      <c r="C289" t="s">
        <v>2088</v>
      </c>
      <c r="E289" t="s">
        <v>475</v>
      </c>
      <c r="G289" s="1" t="s">
        <v>2089</v>
      </c>
      <c r="H289" t="s">
        <v>537</v>
      </c>
      <c r="J289">
        <v>400015</v>
      </c>
      <c r="M289" t="s">
        <v>1414</v>
      </c>
      <c r="P289" t="s">
        <v>117</v>
      </c>
      <c r="R289" t="s">
        <v>532</v>
      </c>
      <c r="S289" t="s">
        <v>2104</v>
      </c>
      <c r="T289" t="s">
        <v>2105</v>
      </c>
      <c r="V289" t="s">
        <v>477</v>
      </c>
      <c r="W289" t="s">
        <v>235</v>
      </c>
      <c r="AE289" t="s">
        <v>478</v>
      </c>
      <c r="AF289" t="s">
        <v>479</v>
      </c>
      <c r="AL289">
        <v>171.17999999999998</v>
      </c>
      <c r="AM289" t="s">
        <v>682</v>
      </c>
      <c r="AO289" t="s">
        <v>480</v>
      </c>
      <c r="AP289" t="s">
        <v>481</v>
      </c>
      <c r="AQ289" t="s">
        <v>718</v>
      </c>
      <c r="AR289" t="s">
        <v>482</v>
      </c>
      <c r="AS289" t="s">
        <v>483</v>
      </c>
      <c r="AT289" t="s">
        <v>484</v>
      </c>
      <c r="AU289" t="s">
        <v>130</v>
      </c>
      <c r="AV289" t="s">
        <v>485</v>
      </c>
      <c r="AW289" t="s">
        <v>486</v>
      </c>
      <c r="BF289" s="1"/>
      <c r="BG289" t="s">
        <v>266</v>
      </c>
      <c r="BH289" t="s">
        <v>487</v>
      </c>
      <c r="BP289" t="s">
        <v>1489</v>
      </c>
      <c r="BQ289" t="s">
        <v>485</v>
      </c>
    </row>
    <row r="290" spans="1:69" x14ac:dyDescent="0.25">
      <c r="A290" t="s">
        <v>5713</v>
      </c>
      <c r="B290" t="s">
        <v>474</v>
      </c>
      <c r="C290" t="s">
        <v>2088</v>
      </c>
      <c r="E290" t="s">
        <v>475</v>
      </c>
      <c r="G290" s="1" t="s">
        <v>2089</v>
      </c>
      <c r="H290" t="s">
        <v>542</v>
      </c>
      <c r="J290">
        <v>400015</v>
      </c>
      <c r="M290" t="s">
        <v>1425</v>
      </c>
      <c r="P290" t="s">
        <v>92</v>
      </c>
      <c r="R290" t="s">
        <v>763</v>
      </c>
      <c r="S290" t="s">
        <v>2106</v>
      </c>
      <c r="T290" t="s">
        <v>2107</v>
      </c>
      <c r="V290" t="s">
        <v>477</v>
      </c>
      <c r="W290" t="s">
        <v>235</v>
      </c>
      <c r="AE290" t="s">
        <v>478</v>
      </c>
      <c r="AF290" t="s">
        <v>479</v>
      </c>
      <c r="AL290">
        <v>552.02</v>
      </c>
      <c r="AM290" t="s">
        <v>676</v>
      </c>
      <c r="AO290" t="s">
        <v>480</v>
      </c>
      <c r="AP290" t="s">
        <v>481</v>
      </c>
      <c r="AQ290" t="s">
        <v>713</v>
      </c>
      <c r="AR290" t="s">
        <v>482</v>
      </c>
      <c r="AS290" t="s">
        <v>483</v>
      </c>
      <c r="AT290" t="s">
        <v>484</v>
      </c>
      <c r="AU290" t="s">
        <v>130</v>
      </c>
      <c r="AV290" t="s">
        <v>485</v>
      </c>
      <c r="AW290" t="s">
        <v>486</v>
      </c>
      <c r="BF290" s="1"/>
      <c r="BG290" t="s">
        <v>266</v>
      </c>
      <c r="BH290" t="s">
        <v>487</v>
      </c>
      <c r="BP290" t="s">
        <v>1489</v>
      </c>
      <c r="BQ290" t="s">
        <v>485</v>
      </c>
    </row>
    <row r="291" spans="1:69" x14ac:dyDescent="0.25">
      <c r="A291" t="s">
        <v>5713</v>
      </c>
      <c r="B291" t="s">
        <v>474</v>
      </c>
      <c r="C291" t="s">
        <v>2088</v>
      </c>
      <c r="E291" t="s">
        <v>475</v>
      </c>
      <c r="G291" s="1" t="s">
        <v>2089</v>
      </c>
      <c r="H291" t="s">
        <v>546</v>
      </c>
      <c r="J291">
        <v>400015</v>
      </c>
      <c r="M291" t="s">
        <v>1417</v>
      </c>
      <c r="P291" t="s">
        <v>143</v>
      </c>
      <c r="R291" t="s">
        <v>683</v>
      </c>
      <c r="S291" t="s">
        <v>2108</v>
      </c>
      <c r="T291" t="s">
        <v>2109</v>
      </c>
      <c r="V291" t="s">
        <v>477</v>
      </c>
      <c r="W291" t="s">
        <v>235</v>
      </c>
      <c r="AE291" t="s">
        <v>478</v>
      </c>
      <c r="AF291" t="s">
        <v>479</v>
      </c>
      <c r="AL291">
        <v>204.96</v>
      </c>
      <c r="AM291" t="s">
        <v>893</v>
      </c>
      <c r="AO291" t="s">
        <v>480</v>
      </c>
      <c r="AP291" t="s">
        <v>481</v>
      </c>
      <c r="AQ291" t="s">
        <v>785</v>
      </c>
      <c r="AR291" t="s">
        <v>482</v>
      </c>
      <c r="AS291" t="s">
        <v>483</v>
      </c>
      <c r="AT291" t="s">
        <v>484</v>
      </c>
      <c r="AU291" t="s">
        <v>130</v>
      </c>
      <c r="AV291" t="s">
        <v>485</v>
      </c>
      <c r="AW291" t="s">
        <v>486</v>
      </c>
      <c r="BF291" s="1"/>
      <c r="BG291" t="s">
        <v>266</v>
      </c>
      <c r="BH291" t="s">
        <v>487</v>
      </c>
      <c r="BP291" t="s">
        <v>1489</v>
      </c>
      <c r="BQ291" t="s">
        <v>485</v>
      </c>
    </row>
    <row r="292" spans="1:69" x14ac:dyDescent="0.25">
      <c r="A292" t="s">
        <v>5713</v>
      </c>
      <c r="B292" t="s">
        <v>474</v>
      </c>
      <c r="C292" t="s">
        <v>2110</v>
      </c>
      <c r="E292" t="s">
        <v>480</v>
      </c>
      <c r="G292" s="1" t="s">
        <v>2111</v>
      </c>
      <c r="H292" t="s">
        <v>476</v>
      </c>
      <c r="J292">
        <v>400015</v>
      </c>
      <c r="M292" t="s">
        <v>1414</v>
      </c>
      <c r="P292" t="s">
        <v>169</v>
      </c>
      <c r="R292" t="s">
        <v>911</v>
      </c>
      <c r="S292" t="s">
        <v>2112</v>
      </c>
      <c r="T292" t="s">
        <v>2113</v>
      </c>
      <c r="V292" t="s">
        <v>477</v>
      </c>
      <c r="W292" t="s">
        <v>73</v>
      </c>
      <c r="AE292" t="s">
        <v>478</v>
      </c>
      <c r="AF292" t="s">
        <v>479</v>
      </c>
      <c r="AL292">
        <v>425.44200000000001</v>
      </c>
      <c r="AM292" t="s">
        <v>2114</v>
      </c>
      <c r="AO292" t="s">
        <v>480</v>
      </c>
      <c r="AP292" t="s">
        <v>481</v>
      </c>
      <c r="AQ292" t="s">
        <v>852</v>
      </c>
      <c r="AR292" t="s">
        <v>482</v>
      </c>
      <c r="AS292" t="s">
        <v>483</v>
      </c>
      <c r="AT292" t="s">
        <v>484</v>
      </c>
      <c r="AU292" t="s">
        <v>521</v>
      </c>
      <c r="AV292" t="s">
        <v>522</v>
      </c>
      <c r="AW292" t="s">
        <v>486</v>
      </c>
      <c r="BF292" s="1"/>
      <c r="BG292" t="s">
        <v>523</v>
      </c>
      <c r="BH292" t="s">
        <v>487</v>
      </c>
      <c r="BP292" t="s">
        <v>1489</v>
      </c>
      <c r="BQ292" t="s">
        <v>522</v>
      </c>
    </row>
    <row r="293" spans="1:69" x14ac:dyDescent="0.25">
      <c r="A293" t="s">
        <v>5713</v>
      </c>
      <c r="B293" t="s">
        <v>474</v>
      </c>
      <c r="C293" t="s">
        <v>2110</v>
      </c>
      <c r="E293" t="s">
        <v>480</v>
      </c>
      <c r="G293" s="1" t="s">
        <v>2111</v>
      </c>
      <c r="H293" t="s">
        <v>492</v>
      </c>
      <c r="J293">
        <v>400015</v>
      </c>
      <c r="M293" t="s">
        <v>1425</v>
      </c>
      <c r="P293" t="s">
        <v>170</v>
      </c>
      <c r="R293" t="s">
        <v>649</v>
      </c>
      <c r="S293" t="s">
        <v>2115</v>
      </c>
      <c r="T293" t="s">
        <v>2116</v>
      </c>
      <c r="V293" t="s">
        <v>477</v>
      </c>
      <c r="W293" t="s">
        <v>73</v>
      </c>
      <c r="AE293" t="s">
        <v>478</v>
      </c>
      <c r="AF293" t="s">
        <v>479</v>
      </c>
      <c r="AL293">
        <v>166.39</v>
      </c>
      <c r="AM293" t="s">
        <v>2117</v>
      </c>
      <c r="AO293" t="s">
        <v>480</v>
      </c>
      <c r="AP293" t="s">
        <v>481</v>
      </c>
      <c r="AQ293" t="s">
        <v>854</v>
      </c>
      <c r="AR293" t="s">
        <v>482</v>
      </c>
      <c r="AS293" t="s">
        <v>483</v>
      </c>
      <c r="AT293" t="s">
        <v>484</v>
      </c>
      <c r="AU293" t="s">
        <v>521</v>
      </c>
      <c r="AV293" t="s">
        <v>522</v>
      </c>
      <c r="AW293" t="s">
        <v>486</v>
      </c>
      <c r="BF293" s="1"/>
      <c r="BG293" t="s">
        <v>523</v>
      </c>
      <c r="BH293" t="s">
        <v>487</v>
      </c>
      <c r="BP293" t="s">
        <v>1489</v>
      </c>
      <c r="BQ293" t="s">
        <v>522</v>
      </c>
    </row>
    <row r="294" spans="1:69" x14ac:dyDescent="0.25">
      <c r="A294" t="s">
        <v>5713</v>
      </c>
      <c r="B294" t="s">
        <v>474</v>
      </c>
      <c r="C294" t="s">
        <v>2110</v>
      </c>
      <c r="E294" t="s">
        <v>480</v>
      </c>
      <c r="G294" s="1" t="s">
        <v>2111</v>
      </c>
      <c r="H294" t="s">
        <v>498</v>
      </c>
      <c r="J294">
        <v>400015</v>
      </c>
      <c r="M294" t="s">
        <v>1415</v>
      </c>
      <c r="P294" t="s">
        <v>129</v>
      </c>
      <c r="R294" t="s">
        <v>901</v>
      </c>
      <c r="S294" t="s">
        <v>2118</v>
      </c>
      <c r="T294" t="s">
        <v>2119</v>
      </c>
      <c r="V294" t="s">
        <v>477</v>
      </c>
      <c r="W294" t="s">
        <v>73</v>
      </c>
      <c r="AE294" t="s">
        <v>478</v>
      </c>
      <c r="AF294" t="s">
        <v>479</v>
      </c>
      <c r="AL294">
        <v>263.17200000000003</v>
      </c>
      <c r="AM294" t="s">
        <v>802</v>
      </c>
      <c r="AO294" t="s">
        <v>480</v>
      </c>
      <c r="AP294" t="s">
        <v>481</v>
      </c>
      <c r="AQ294" t="s">
        <v>691</v>
      </c>
      <c r="AR294" t="s">
        <v>482</v>
      </c>
      <c r="AS294" t="s">
        <v>483</v>
      </c>
      <c r="AT294" t="s">
        <v>484</v>
      </c>
      <c r="AU294" t="s">
        <v>521</v>
      </c>
      <c r="AV294" t="s">
        <v>522</v>
      </c>
      <c r="AW294" t="s">
        <v>486</v>
      </c>
      <c r="BF294" s="1"/>
      <c r="BG294" t="s">
        <v>523</v>
      </c>
      <c r="BH294" t="s">
        <v>487</v>
      </c>
      <c r="BP294" t="s">
        <v>1489</v>
      </c>
      <c r="BQ294" t="s">
        <v>522</v>
      </c>
    </row>
    <row r="295" spans="1:69" x14ac:dyDescent="0.25">
      <c r="A295" t="s">
        <v>5713</v>
      </c>
      <c r="B295" t="s">
        <v>474</v>
      </c>
      <c r="C295" t="s">
        <v>2110</v>
      </c>
      <c r="E295" t="s">
        <v>480</v>
      </c>
      <c r="G295" s="1" t="s">
        <v>2111</v>
      </c>
      <c r="H295" t="s">
        <v>500</v>
      </c>
      <c r="J295">
        <v>400015</v>
      </c>
      <c r="M295" t="s">
        <v>1416</v>
      </c>
      <c r="P295" t="s">
        <v>150</v>
      </c>
      <c r="R295" t="s">
        <v>794</v>
      </c>
      <c r="S295" t="s">
        <v>866</v>
      </c>
      <c r="T295" t="s">
        <v>867</v>
      </c>
      <c r="V295" t="s">
        <v>477</v>
      </c>
      <c r="W295" t="s">
        <v>73</v>
      </c>
      <c r="AE295" t="s">
        <v>478</v>
      </c>
      <c r="AF295" t="s">
        <v>479</v>
      </c>
      <c r="AL295">
        <v>194.48599999999999</v>
      </c>
      <c r="AM295" t="s">
        <v>868</v>
      </c>
      <c r="AO295" t="s">
        <v>480</v>
      </c>
      <c r="AP295" t="s">
        <v>481</v>
      </c>
      <c r="AQ295" t="s">
        <v>570</v>
      </c>
      <c r="AR295" t="s">
        <v>482</v>
      </c>
      <c r="AS295" t="s">
        <v>483</v>
      </c>
      <c r="AT295" t="s">
        <v>484</v>
      </c>
      <c r="AU295" t="s">
        <v>521</v>
      </c>
      <c r="AV295" t="s">
        <v>522</v>
      </c>
      <c r="AW295" t="s">
        <v>486</v>
      </c>
      <c r="BF295" s="1"/>
      <c r="BG295" t="s">
        <v>523</v>
      </c>
      <c r="BH295" t="s">
        <v>487</v>
      </c>
      <c r="BP295" t="s">
        <v>1489</v>
      </c>
      <c r="BQ295" t="s">
        <v>522</v>
      </c>
    </row>
    <row r="296" spans="1:69" x14ac:dyDescent="0.25">
      <c r="A296" t="s">
        <v>5713</v>
      </c>
      <c r="B296" t="s">
        <v>474</v>
      </c>
      <c r="C296" t="s">
        <v>2110</v>
      </c>
      <c r="E296" t="s">
        <v>480</v>
      </c>
      <c r="G296" s="1" t="s">
        <v>2111</v>
      </c>
      <c r="H296" t="s">
        <v>517</v>
      </c>
      <c r="J296">
        <v>400015</v>
      </c>
      <c r="M296" t="s">
        <v>1414</v>
      </c>
      <c r="P296" t="s">
        <v>169</v>
      </c>
      <c r="R296" t="s">
        <v>1444</v>
      </c>
      <c r="S296" t="s">
        <v>2120</v>
      </c>
      <c r="T296" t="s">
        <v>2121</v>
      </c>
      <c r="V296" t="s">
        <v>477</v>
      </c>
      <c r="W296" t="s">
        <v>73</v>
      </c>
      <c r="AE296" t="s">
        <v>478</v>
      </c>
      <c r="AF296" t="s">
        <v>479</v>
      </c>
      <c r="AL296">
        <v>1523.6759999999999</v>
      </c>
      <c r="AM296" t="s">
        <v>2122</v>
      </c>
      <c r="AO296" t="s">
        <v>480</v>
      </c>
      <c r="AP296" t="s">
        <v>481</v>
      </c>
      <c r="AQ296" t="s">
        <v>852</v>
      </c>
      <c r="AR296" t="s">
        <v>482</v>
      </c>
      <c r="AS296" t="s">
        <v>483</v>
      </c>
      <c r="AT296" t="s">
        <v>484</v>
      </c>
      <c r="AU296" t="s">
        <v>521</v>
      </c>
      <c r="AV296" t="s">
        <v>522</v>
      </c>
      <c r="AW296" t="s">
        <v>486</v>
      </c>
      <c r="BF296" s="1"/>
      <c r="BG296" t="s">
        <v>523</v>
      </c>
      <c r="BH296" t="s">
        <v>487</v>
      </c>
      <c r="BP296" t="s">
        <v>1489</v>
      </c>
      <c r="BQ296" t="s">
        <v>522</v>
      </c>
    </row>
    <row r="297" spans="1:69" x14ac:dyDescent="0.25">
      <c r="A297" t="s">
        <v>5713</v>
      </c>
      <c r="B297" t="s">
        <v>474</v>
      </c>
      <c r="C297" t="s">
        <v>2110</v>
      </c>
      <c r="E297" t="s">
        <v>480</v>
      </c>
      <c r="G297" s="1" t="s">
        <v>2111</v>
      </c>
      <c r="H297" t="s">
        <v>537</v>
      </c>
      <c r="J297">
        <v>400015</v>
      </c>
      <c r="M297" t="s">
        <v>1431</v>
      </c>
      <c r="P297" t="s">
        <v>72</v>
      </c>
      <c r="R297" t="s">
        <v>914</v>
      </c>
      <c r="S297" t="s">
        <v>2123</v>
      </c>
      <c r="T297" t="s">
        <v>2124</v>
      </c>
      <c r="V297" t="s">
        <v>477</v>
      </c>
      <c r="W297" t="s">
        <v>73</v>
      </c>
      <c r="AE297" t="s">
        <v>478</v>
      </c>
      <c r="AF297" t="s">
        <v>479</v>
      </c>
      <c r="AL297">
        <v>361.67500000000001</v>
      </c>
      <c r="AM297" t="s">
        <v>1781</v>
      </c>
      <c r="AO297" t="s">
        <v>480</v>
      </c>
      <c r="AP297" t="s">
        <v>481</v>
      </c>
      <c r="AQ297" t="s">
        <v>757</v>
      </c>
      <c r="AR297" t="s">
        <v>482</v>
      </c>
      <c r="AS297" t="s">
        <v>483</v>
      </c>
      <c r="AT297" t="s">
        <v>484</v>
      </c>
      <c r="AU297" t="s">
        <v>521</v>
      </c>
      <c r="AV297" t="s">
        <v>522</v>
      </c>
      <c r="AW297" t="s">
        <v>486</v>
      </c>
      <c r="BF297" s="1"/>
      <c r="BG297" t="s">
        <v>523</v>
      </c>
      <c r="BH297" t="s">
        <v>487</v>
      </c>
      <c r="BP297" t="s">
        <v>1489</v>
      </c>
      <c r="BQ297" t="s">
        <v>522</v>
      </c>
    </row>
    <row r="298" spans="1:69" x14ac:dyDescent="0.25">
      <c r="A298" t="s">
        <v>5713</v>
      </c>
      <c r="B298" t="s">
        <v>474</v>
      </c>
      <c r="C298" t="s">
        <v>2110</v>
      </c>
      <c r="E298" t="s">
        <v>480</v>
      </c>
      <c r="G298" s="1" t="s">
        <v>2111</v>
      </c>
      <c r="H298" t="s">
        <v>542</v>
      </c>
      <c r="J298">
        <v>400015</v>
      </c>
      <c r="M298" t="s">
        <v>1420</v>
      </c>
      <c r="P298" t="s">
        <v>125</v>
      </c>
      <c r="R298" t="s">
        <v>582</v>
      </c>
      <c r="S298" t="s">
        <v>2125</v>
      </c>
      <c r="T298" t="s">
        <v>2126</v>
      </c>
      <c r="V298" t="s">
        <v>477</v>
      </c>
      <c r="W298" t="s">
        <v>73</v>
      </c>
      <c r="AE298" t="s">
        <v>478</v>
      </c>
      <c r="AF298" t="s">
        <v>479</v>
      </c>
      <c r="AL298">
        <v>68.111999999999995</v>
      </c>
      <c r="AM298" t="s">
        <v>2127</v>
      </c>
      <c r="AO298" t="s">
        <v>480</v>
      </c>
      <c r="AP298" t="s">
        <v>481</v>
      </c>
      <c r="AQ298" t="s">
        <v>642</v>
      </c>
      <c r="AR298" t="s">
        <v>482</v>
      </c>
      <c r="AS298" t="s">
        <v>483</v>
      </c>
      <c r="AT298" t="s">
        <v>484</v>
      </c>
      <c r="AU298" t="s">
        <v>521</v>
      </c>
      <c r="AV298" t="s">
        <v>522</v>
      </c>
      <c r="AW298" t="s">
        <v>486</v>
      </c>
      <c r="BF298" s="1"/>
      <c r="BG298" t="s">
        <v>523</v>
      </c>
      <c r="BH298" t="s">
        <v>487</v>
      </c>
      <c r="BP298" t="s">
        <v>1489</v>
      </c>
      <c r="BQ298" t="s">
        <v>522</v>
      </c>
    </row>
    <row r="299" spans="1:69" x14ac:dyDescent="0.25">
      <c r="A299" t="s">
        <v>5713</v>
      </c>
      <c r="B299" t="s">
        <v>474</v>
      </c>
      <c r="C299" t="s">
        <v>2110</v>
      </c>
      <c r="E299" t="s">
        <v>480</v>
      </c>
      <c r="G299" s="1" t="s">
        <v>2111</v>
      </c>
      <c r="H299" t="s">
        <v>546</v>
      </c>
      <c r="J299">
        <v>400015</v>
      </c>
      <c r="M299" t="s">
        <v>1420</v>
      </c>
      <c r="P299" t="s">
        <v>136</v>
      </c>
      <c r="R299" t="s">
        <v>543</v>
      </c>
      <c r="S299" t="s">
        <v>2128</v>
      </c>
      <c r="T299" t="s">
        <v>2129</v>
      </c>
      <c r="V299" t="s">
        <v>477</v>
      </c>
      <c r="W299" t="s">
        <v>73</v>
      </c>
      <c r="AE299" t="s">
        <v>478</v>
      </c>
      <c r="AF299" t="s">
        <v>479</v>
      </c>
      <c r="AL299">
        <v>6.3</v>
      </c>
      <c r="AM299" t="s">
        <v>1624</v>
      </c>
      <c r="AO299" t="s">
        <v>480</v>
      </c>
      <c r="AP299" t="s">
        <v>481</v>
      </c>
      <c r="AQ299" t="s">
        <v>790</v>
      </c>
      <c r="AR299" t="s">
        <v>482</v>
      </c>
      <c r="AS299" t="s">
        <v>483</v>
      </c>
      <c r="AT299" t="s">
        <v>484</v>
      </c>
      <c r="AU299" t="s">
        <v>521</v>
      </c>
      <c r="AV299" t="s">
        <v>522</v>
      </c>
      <c r="AW299" t="s">
        <v>486</v>
      </c>
      <c r="BF299" s="1"/>
      <c r="BG299" t="s">
        <v>523</v>
      </c>
      <c r="BH299" t="s">
        <v>487</v>
      </c>
      <c r="BP299" t="s">
        <v>1489</v>
      </c>
      <c r="BQ299" t="s">
        <v>522</v>
      </c>
    </row>
    <row r="300" spans="1:69" x14ac:dyDescent="0.25">
      <c r="A300" t="s">
        <v>5713</v>
      </c>
      <c r="B300" t="s">
        <v>474</v>
      </c>
      <c r="C300" t="s">
        <v>2110</v>
      </c>
      <c r="E300" t="s">
        <v>480</v>
      </c>
      <c r="G300" s="1" t="s">
        <v>2111</v>
      </c>
      <c r="H300" t="s">
        <v>549</v>
      </c>
      <c r="J300">
        <v>400015</v>
      </c>
      <c r="M300" t="s">
        <v>1420</v>
      </c>
      <c r="P300" t="s">
        <v>88</v>
      </c>
      <c r="R300" t="s">
        <v>693</v>
      </c>
      <c r="S300" t="s">
        <v>2130</v>
      </c>
      <c r="T300" t="s">
        <v>2131</v>
      </c>
      <c r="V300" t="s">
        <v>477</v>
      </c>
      <c r="W300" t="s">
        <v>73</v>
      </c>
      <c r="AE300" t="s">
        <v>478</v>
      </c>
      <c r="AF300" t="s">
        <v>479</v>
      </c>
      <c r="AL300">
        <v>70.811000000000007</v>
      </c>
      <c r="AM300" t="s">
        <v>801</v>
      </c>
      <c r="AO300" t="s">
        <v>480</v>
      </c>
      <c r="AP300" t="s">
        <v>481</v>
      </c>
      <c r="AQ300" t="s">
        <v>597</v>
      </c>
      <c r="AR300" t="s">
        <v>482</v>
      </c>
      <c r="AS300" t="s">
        <v>483</v>
      </c>
      <c r="AT300" t="s">
        <v>484</v>
      </c>
      <c r="AU300" t="s">
        <v>521</v>
      </c>
      <c r="AV300" t="s">
        <v>522</v>
      </c>
      <c r="AW300" t="s">
        <v>486</v>
      </c>
      <c r="BF300" s="1"/>
      <c r="BG300" t="s">
        <v>523</v>
      </c>
      <c r="BH300" t="s">
        <v>487</v>
      </c>
      <c r="BP300" t="s">
        <v>1489</v>
      </c>
      <c r="BQ300" t="s">
        <v>522</v>
      </c>
    </row>
    <row r="301" spans="1:69" x14ac:dyDescent="0.25">
      <c r="A301" t="s">
        <v>5713</v>
      </c>
      <c r="B301" t="s">
        <v>474</v>
      </c>
      <c r="C301" t="s">
        <v>2110</v>
      </c>
      <c r="E301" t="s">
        <v>480</v>
      </c>
      <c r="G301" s="1" t="s">
        <v>2111</v>
      </c>
      <c r="H301" t="s">
        <v>553</v>
      </c>
      <c r="J301">
        <v>400015</v>
      </c>
      <c r="M301" t="s">
        <v>1422</v>
      </c>
      <c r="P301" t="s">
        <v>112</v>
      </c>
      <c r="R301" t="s">
        <v>908</v>
      </c>
      <c r="S301" t="s">
        <v>2132</v>
      </c>
      <c r="T301" t="s">
        <v>2133</v>
      </c>
      <c r="V301" t="s">
        <v>477</v>
      </c>
      <c r="W301" t="s">
        <v>73</v>
      </c>
      <c r="AE301" t="s">
        <v>478</v>
      </c>
      <c r="AF301" t="s">
        <v>479</v>
      </c>
      <c r="AL301">
        <v>390.63200000000001</v>
      </c>
      <c r="AM301" t="s">
        <v>2134</v>
      </c>
      <c r="AO301" t="s">
        <v>480</v>
      </c>
      <c r="AP301" t="s">
        <v>481</v>
      </c>
      <c r="AQ301" t="s">
        <v>577</v>
      </c>
      <c r="AR301" t="s">
        <v>482</v>
      </c>
      <c r="AS301" t="s">
        <v>483</v>
      </c>
      <c r="AT301" t="s">
        <v>484</v>
      </c>
      <c r="AU301" t="s">
        <v>521</v>
      </c>
      <c r="AV301" t="s">
        <v>522</v>
      </c>
      <c r="AW301" t="s">
        <v>486</v>
      </c>
      <c r="BF301" s="1"/>
      <c r="BG301" t="s">
        <v>523</v>
      </c>
      <c r="BH301" t="s">
        <v>487</v>
      </c>
      <c r="BP301" t="s">
        <v>1489</v>
      </c>
      <c r="BQ301" t="s">
        <v>522</v>
      </c>
    </row>
    <row r="302" spans="1:69" x14ac:dyDescent="0.25">
      <c r="A302" t="s">
        <v>5713</v>
      </c>
      <c r="B302" t="s">
        <v>474</v>
      </c>
      <c r="C302" t="s">
        <v>2110</v>
      </c>
      <c r="E302" t="s">
        <v>480</v>
      </c>
      <c r="G302" s="1" t="s">
        <v>2111</v>
      </c>
      <c r="H302" t="s">
        <v>556</v>
      </c>
      <c r="J302">
        <v>400015</v>
      </c>
      <c r="M302" t="s">
        <v>1425</v>
      </c>
      <c r="P302" t="s">
        <v>85</v>
      </c>
      <c r="R302" t="s">
        <v>1445</v>
      </c>
      <c r="S302" t="s">
        <v>2135</v>
      </c>
      <c r="T302" t="s">
        <v>2136</v>
      </c>
      <c r="V302" t="s">
        <v>477</v>
      </c>
      <c r="W302" t="s">
        <v>73</v>
      </c>
      <c r="AE302" t="s">
        <v>478</v>
      </c>
      <c r="AF302" t="s">
        <v>479</v>
      </c>
      <c r="AL302">
        <v>1227.4830000000002</v>
      </c>
      <c r="AM302" t="s">
        <v>1976</v>
      </c>
      <c r="AO302" t="s">
        <v>480</v>
      </c>
      <c r="AP302" t="s">
        <v>481</v>
      </c>
      <c r="AQ302" t="s">
        <v>630</v>
      </c>
      <c r="AR302" t="s">
        <v>482</v>
      </c>
      <c r="AS302" t="s">
        <v>483</v>
      </c>
      <c r="AT302" t="s">
        <v>484</v>
      </c>
      <c r="AU302" t="s">
        <v>521</v>
      </c>
      <c r="AV302" t="s">
        <v>522</v>
      </c>
      <c r="AW302" t="s">
        <v>486</v>
      </c>
      <c r="BF302" s="1"/>
      <c r="BG302" t="s">
        <v>523</v>
      </c>
      <c r="BH302" t="s">
        <v>487</v>
      </c>
      <c r="BP302" t="s">
        <v>1489</v>
      </c>
      <c r="BQ302" t="s">
        <v>522</v>
      </c>
    </row>
    <row r="303" spans="1:69" x14ac:dyDescent="0.25">
      <c r="A303" t="s">
        <v>5713</v>
      </c>
      <c r="B303" t="s">
        <v>474</v>
      </c>
      <c r="C303" t="s">
        <v>2110</v>
      </c>
      <c r="E303" t="s">
        <v>480</v>
      </c>
      <c r="G303" s="1" t="s">
        <v>2111</v>
      </c>
      <c r="H303" t="s">
        <v>559</v>
      </c>
      <c r="J303">
        <v>400015</v>
      </c>
      <c r="M303" t="s">
        <v>1420</v>
      </c>
      <c r="P303" t="s">
        <v>103</v>
      </c>
      <c r="R303" t="s">
        <v>869</v>
      </c>
      <c r="S303" t="s">
        <v>2137</v>
      </c>
      <c r="T303" t="s">
        <v>2138</v>
      </c>
      <c r="V303" t="s">
        <v>477</v>
      </c>
      <c r="W303" t="s">
        <v>73</v>
      </c>
      <c r="AE303" t="s">
        <v>478</v>
      </c>
      <c r="AF303" t="s">
        <v>479</v>
      </c>
      <c r="AL303">
        <v>218.01000000000002</v>
      </c>
      <c r="AM303" t="s">
        <v>2139</v>
      </c>
      <c r="AO303" t="s">
        <v>480</v>
      </c>
      <c r="AP303" t="s">
        <v>481</v>
      </c>
      <c r="AQ303" t="s">
        <v>545</v>
      </c>
      <c r="AR303" t="s">
        <v>482</v>
      </c>
      <c r="AS303" t="s">
        <v>483</v>
      </c>
      <c r="AT303" t="s">
        <v>484</v>
      </c>
      <c r="AU303" t="s">
        <v>521</v>
      </c>
      <c r="AV303" t="s">
        <v>522</v>
      </c>
      <c r="AW303" t="s">
        <v>486</v>
      </c>
      <c r="BF303" s="1"/>
      <c r="BG303" t="s">
        <v>523</v>
      </c>
      <c r="BH303" t="s">
        <v>487</v>
      </c>
      <c r="BP303" t="s">
        <v>1489</v>
      </c>
      <c r="BQ303" t="s">
        <v>522</v>
      </c>
    </row>
    <row r="304" spans="1:69" x14ac:dyDescent="0.25">
      <c r="A304" t="s">
        <v>5713</v>
      </c>
      <c r="B304" t="s">
        <v>474</v>
      </c>
      <c r="C304" t="s">
        <v>2110</v>
      </c>
      <c r="E304" t="s">
        <v>480</v>
      </c>
      <c r="G304" s="1" t="s">
        <v>2111</v>
      </c>
      <c r="H304" t="s">
        <v>562</v>
      </c>
      <c r="J304">
        <v>400015</v>
      </c>
      <c r="M304" t="s">
        <v>1422</v>
      </c>
      <c r="P304" t="s">
        <v>77</v>
      </c>
      <c r="R304" t="s">
        <v>902</v>
      </c>
      <c r="S304" t="s">
        <v>2140</v>
      </c>
      <c r="T304" t="s">
        <v>2141</v>
      </c>
      <c r="V304" t="s">
        <v>477</v>
      </c>
      <c r="W304" t="s">
        <v>73</v>
      </c>
      <c r="AE304" t="s">
        <v>478</v>
      </c>
      <c r="AF304" t="s">
        <v>479</v>
      </c>
      <c r="AL304">
        <v>525.90200000000004</v>
      </c>
      <c r="AM304" t="s">
        <v>2142</v>
      </c>
      <c r="AO304" t="s">
        <v>480</v>
      </c>
      <c r="AP304" t="s">
        <v>481</v>
      </c>
      <c r="AQ304" t="s">
        <v>533</v>
      </c>
      <c r="AR304" t="s">
        <v>482</v>
      </c>
      <c r="AS304" t="s">
        <v>483</v>
      </c>
      <c r="AT304" t="s">
        <v>484</v>
      </c>
      <c r="AU304" t="s">
        <v>521</v>
      </c>
      <c r="AV304" t="s">
        <v>522</v>
      </c>
      <c r="AW304" t="s">
        <v>486</v>
      </c>
      <c r="BF304" s="1"/>
      <c r="BG304" t="s">
        <v>523</v>
      </c>
      <c r="BH304" t="s">
        <v>487</v>
      </c>
      <c r="BP304" t="s">
        <v>1489</v>
      </c>
      <c r="BQ304" t="s">
        <v>522</v>
      </c>
    </row>
    <row r="305" spans="1:69" x14ac:dyDescent="0.25">
      <c r="A305" t="s">
        <v>5713</v>
      </c>
      <c r="B305" t="s">
        <v>474</v>
      </c>
      <c r="C305" t="s">
        <v>2110</v>
      </c>
      <c r="E305" t="s">
        <v>480</v>
      </c>
      <c r="G305" s="1" t="s">
        <v>2111</v>
      </c>
      <c r="H305" t="s">
        <v>564</v>
      </c>
      <c r="J305">
        <v>400015</v>
      </c>
      <c r="M305" t="s">
        <v>1428</v>
      </c>
      <c r="P305" t="s">
        <v>113</v>
      </c>
      <c r="R305" t="s">
        <v>899</v>
      </c>
      <c r="S305" t="s">
        <v>2143</v>
      </c>
      <c r="T305" t="s">
        <v>2144</v>
      </c>
      <c r="V305" t="s">
        <v>477</v>
      </c>
      <c r="W305" t="s">
        <v>73</v>
      </c>
      <c r="AE305" t="s">
        <v>478</v>
      </c>
      <c r="AF305" t="s">
        <v>479</v>
      </c>
      <c r="AL305">
        <v>210.21600000000001</v>
      </c>
      <c r="AM305" t="s">
        <v>900</v>
      </c>
      <c r="AO305" t="s">
        <v>480</v>
      </c>
      <c r="AP305" t="s">
        <v>481</v>
      </c>
      <c r="AQ305" t="s">
        <v>657</v>
      </c>
      <c r="AR305" t="s">
        <v>482</v>
      </c>
      <c r="AS305" t="s">
        <v>483</v>
      </c>
      <c r="AT305" t="s">
        <v>484</v>
      </c>
      <c r="AU305" t="s">
        <v>521</v>
      </c>
      <c r="AV305" t="s">
        <v>522</v>
      </c>
      <c r="AW305" t="s">
        <v>486</v>
      </c>
      <c r="BF305" s="1"/>
      <c r="BG305" t="s">
        <v>523</v>
      </c>
      <c r="BH305" t="s">
        <v>487</v>
      </c>
      <c r="BP305" t="s">
        <v>1489</v>
      </c>
      <c r="BQ305" t="s">
        <v>522</v>
      </c>
    </row>
    <row r="306" spans="1:69" x14ac:dyDescent="0.25">
      <c r="A306" t="s">
        <v>5713</v>
      </c>
      <c r="B306" t="s">
        <v>474</v>
      </c>
      <c r="C306" t="s">
        <v>2110</v>
      </c>
      <c r="E306" t="s">
        <v>480</v>
      </c>
      <c r="G306" s="1" t="s">
        <v>2111</v>
      </c>
      <c r="H306" t="s">
        <v>567</v>
      </c>
      <c r="J306">
        <v>400015</v>
      </c>
      <c r="M306" t="s">
        <v>1414</v>
      </c>
      <c r="P306" t="s">
        <v>148</v>
      </c>
      <c r="R306" t="s">
        <v>554</v>
      </c>
      <c r="S306" t="s">
        <v>863</v>
      </c>
      <c r="T306" t="s">
        <v>864</v>
      </c>
      <c r="V306" t="s">
        <v>477</v>
      </c>
      <c r="W306" t="s">
        <v>73</v>
      </c>
      <c r="AE306" t="s">
        <v>478</v>
      </c>
      <c r="AF306" t="s">
        <v>479</v>
      </c>
      <c r="AL306">
        <v>143.584</v>
      </c>
      <c r="AM306" t="s">
        <v>865</v>
      </c>
      <c r="AO306" t="s">
        <v>480</v>
      </c>
      <c r="AP306" t="s">
        <v>481</v>
      </c>
      <c r="AQ306" t="s">
        <v>591</v>
      </c>
      <c r="AR306" t="s">
        <v>482</v>
      </c>
      <c r="AS306" t="s">
        <v>483</v>
      </c>
      <c r="AT306" t="s">
        <v>484</v>
      </c>
      <c r="AU306" t="s">
        <v>521</v>
      </c>
      <c r="AV306" t="s">
        <v>522</v>
      </c>
      <c r="AW306" t="s">
        <v>486</v>
      </c>
      <c r="BF306" s="1"/>
      <c r="BG306" t="s">
        <v>523</v>
      </c>
      <c r="BH306" t="s">
        <v>487</v>
      </c>
      <c r="BP306" t="s">
        <v>1489</v>
      </c>
      <c r="BQ306" t="s">
        <v>522</v>
      </c>
    </row>
    <row r="307" spans="1:69" x14ac:dyDescent="0.25">
      <c r="A307" t="s">
        <v>5713</v>
      </c>
      <c r="B307" t="s">
        <v>474</v>
      </c>
      <c r="C307" t="s">
        <v>2110</v>
      </c>
      <c r="E307" t="s">
        <v>480</v>
      </c>
      <c r="G307" s="1" t="s">
        <v>2111</v>
      </c>
      <c r="H307" t="s">
        <v>571</v>
      </c>
      <c r="J307">
        <v>400015</v>
      </c>
      <c r="M307" t="s">
        <v>1425</v>
      </c>
      <c r="P307" t="s">
        <v>101</v>
      </c>
      <c r="R307" t="s">
        <v>915</v>
      </c>
      <c r="S307" t="s">
        <v>2145</v>
      </c>
      <c r="T307" t="s">
        <v>2146</v>
      </c>
      <c r="V307" t="s">
        <v>477</v>
      </c>
      <c r="W307" t="s">
        <v>73</v>
      </c>
      <c r="AE307" t="s">
        <v>478</v>
      </c>
      <c r="AF307" t="s">
        <v>479</v>
      </c>
      <c r="AL307">
        <v>417.976</v>
      </c>
      <c r="AM307" t="s">
        <v>1776</v>
      </c>
      <c r="AO307" t="s">
        <v>480</v>
      </c>
      <c r="AP307" t="s">
        <v>481</v>
      </c>
      <c r="AQ307" t="s">
        <v>699</v>
      </c>
      <c r="AR307" t="s">
        <v>482</v>
      </c>
      <c r="AS307" t="s">
        <v>483</v>
      </c>
      <c r="AT307" t="s">
        <v>484</v>
      </c>
      <c r="AU307" t="s">
        <v>521</v>
      </c>
      <c r="AV307" t="s">
        <v>522</v>
      </c>
      <c r="AW307" t="s">
        <v>486</v>
      </c>
      <c r="BF307" s="1"/>
      <c r="BG307" t="s">
        <v>523</v>
      </c>
      <c r="BH307" t="s">
        <v>487</v>
      </c>
      <c r="BP307" t="s">
        <v>1489</v>
      </c>
      <c r="BQ307" t="s">
        <v>522</v>
      </c>
    </row>
    <row r="308" spans="1:69" x14ac:dyDescent="0.25">
      <c r="A308" t="s">
        <v>5713</v>
      </c>
      <c r="B308" t="s">
        <v>474</v>
      </c>
      <c r="C308" t="s">
        <v>2110</v>
      </c>
      <c r="E308" t="s">
        <v>480</v>
      </c>
      <c r="G308" s="1" t="s">
        <v>2111</v>
      </c>
      <c r="H308" t="s">
        <v>575</v>
      </c>
      <c r="J308">
        <v>400015</v>
      </c>
      <c r="M308" t="s">
        <v>1420</v>
      </c>
      <c r="P308" t="s">
        <v>78</v>
      </c>
      <c r="R308" t="s">
        <v>808</v>
      </c>
      <c r="S308" t="s">
        <v>2147</v>
      </c>
      <c r="T308" t="s">
        <v>2148</v>
      </c>
      <c r="V308" t="s">
        <v>477</v>
      </c>
      <c r="W308" t="s">
        <v>73</v>
      </c>
      <c r="AE308" t="s">
        <v>478</v>
      </c>
      <c r="AF308" t="s">
        <v>479</v>
      </c>
      <c r="AL308">
        <v>241.03799999999998</v>
      </c>
      <c r="AM308" t="s">
        <v>2149</v>
      </c>
      <c r="AO308" t="s">
        <v>480</v>
      </c>
      <c r="AP308" t="s">
        <v>481</v>
      </c>
      <c r="AQ308" t="s">
        <v>631</v>
      </c>
      <c r="AR308" t="s">
        <v>482</v>
      </c>
      <c r="AS308" t="s">
        <v>483</v>
      </c>
      <c r="AT308" t="s">
        <v>484</v>
      </c>
      <c r="AU308" t="s">
        <v>521</v>
      </c>
      <c r="AV308" t="s">
        <v>522</v>
      </c>
      <c r="AW308" t="s">
        <v>486</v>
      </c>
      <c r="BF308" s="1"/>
      <c r="BG308" t="s">
        <v>523</v>
      </c>
      <c r="BH308" t="s">
        <v>487</v>
      </c>
      <c r="BP308" t="s">
        <v>1489</v>
      </c>
      <c r="BQ308" t="s">
        <v>522</v>
      </c>
    </row>
    <row r="309" spans="1:69" x14ac:dyDescent="0.25">
      <c r="A309" t="s">
        <v>5713</v>
      </c>
      <c r="B309" t="s">
        <v>474</v>
      </c>
      <c r="C309" t="s">
        <v>2110</v>
      </c>
      <c r="E309" t="s">
        <v>480</v>
      </c>
      <c r="G309" s="1" t="s">
        <v>2111</v>
      </c>
      <c r="H309" t="s">
        <v>578</v>
      </c>
      <c r="J309">
        <v>400015</v>
      </c>
      <c r="M309" t="s">
        <v>1421</v>
      </c>
      <c r="P309" t="s">
        <v>154</v>
      </c>
      <c r="R309" t="s">
        <v>601</v>
      </c>
      <c r="S309" t="s">
        <v>2150</v>
      </c>
      <c r="T309" t="s">
        <v>2151</v>
      </c>
      <c r="V309" t="s">
        <v>477</v>
      </c>
      <c r="W309" t="s">
        <v>73</v>
      </c>
      <c r="AE309" t="s">
        <v>478</v>
      </c>
      <c r="AF309" t="s">
        <v>479</v>
      </c>
      <c r="AL309">
        <v>157.971</v>
      </c>
      <c r="AM309" t="s">
        <v>602</v>
      </c>
      <c r="AO309" t="s">
        <v>480</v>
      </c>
      <c r="AP309" t="s">
        <v>481</v>
      </c>
      <c r="AQ309" t="s">
        <v>531</v>
      </c>
      <c r="AR309" t="s">
        <v>482</v>
      </c>
      <c r="AS309" t="s">
        <v>483</v>
      </c>
      <c r="AT309" t="s">
        <v>484</v>
      </c>
      <c r="AU309" t="s">
        <v>521</v>
      </c>
      <c r="AV309" t="s">
        <v>522</v>
      </c>
      <c r="AW309" t="s">
        <v>486</v>
      </c>
      <c r="BF309" s="1"/>
      <c r="BG309" t="s">
        <v>523</v>
      </c>
      <c r="BH309" t="s">
        <v>487</v>
      </c>
      <c r="BP309" t="s">
        <v>1489</v>
      </c>
      <c r="BQ309" t="s">
        <v>522</v>
      </c>
    </row>
    <row r="310" spans="1:69" x14ac:dyDescent="0.25">
      <c r="A310" t="s">
        <v>5713</v>
      </c>
      <c r="B310" t="s">
        <v>474</v>
      </c>
      <c r="C310" t="s">
        <v>2110</v>
      </c>
      <c r="E310" t="s">
        <v>480</v>
      </c>
      <c r="G310" s="1" t="s">
        <v>2111</v>
      </c>
      <c r="H310" t="s">
        <v>581</v>
      </c>
      <c r="J310">
        <v>400015</v>
      </c>
      <c r="M310" t="s">
        <v>1423</v>
      </c>
      <c r="P310" t="s">
        <v>147</v>
      </c>
      <c r="R310" t="s">
        <v>543</v>
      </c>
      <c r="S310" t="s">
        <v>2152</v>
      </c>
      <c r="T310" t="s">
        <v>2153</v>
      </c>
      <c r="V310" t="s">
        <v>477</v>
      </c>
      <c r="W310" t="s">
        <v>73</v>
      </c>
      <c r="AE310" t="s">
        <v>478</v>
      </c>
      <c r="AF310" t="s">
        <v>479</v>
      </c>
      <c r="AL310">
        <v>5.13</v>
      </c>
      <c r="AM310" t="s">
        <v>544</v>
      </c>
      <c r="AO310" t="s">
        <v>480</v>
      </c>
      <c r="AP310" t="s">
        <v>481</v>
      </c>
      <c r="AQ310" t="s">
        <v>688</v>
      </c>
      <c r="AR310" t="s">
        <v>482</v>
      </c>
      <c r="AS310" t="s">
        <v>483</v>
      </c>
      <c r="AT310" t="s">
        <v>484</v>
      </c>
      <c r="AU310" t="s">
        <v>521</v>
      </c>
      <c r="AV310" t="s">
        <v>522</v>
      </c>
      <c r="AW310" t="s">
        <v>486</v>
      </c>
      <c r="BF310" s="1"/>
      <c r="BG310" t="s">
        <v>523</v>
      </c>
      <c r="BH310" t="s">
        <v>487</v>
      </c>
      <c r="BP310" t="s">
        <v>1489</v>
      </c>
      <c r="BQ310" t="s">
        <v>522</v>
      </c>
    </row>
    <row r="311" spans="1:69" x14ac:dyDescent="0.25">
      <c r="A311" t="s">
        <v>5713</v>
      </c>
      <c r="B311" t="s">
        <v>474</v>
      </c>
      <c r="C311" t="s">
        <v>2110</v>
      </c>
      <c r="E311" t="s">
        <v>480</v>
      </c>
      <c r="G311" s="1" t="s">
        <v>2111</v>
      </c>
      <c r="H311" t="s">
        <v>585</v>
      </c>
      <c r="J311">
        <v>400015</v>
      </c>
      <c r="M311" t="s">
        <v>1422</v>
      </c>
      <c r="P311" t="s">
        <v>97</v>
      </c>
      <c r="R311" t="s">
        <v>601</v>
      </c>
      <c r="S311" t="s">
        <v>2154</v>
      </c>
      <c r="T311" t="s">
        <v>2155</v>
      </c>
      <c r="V311" t="s">
        <v>477</v>
      </c>
      <c r="W311" t="s">
        <v>73</v>
      </c>
      <c r="AE311" t="s">
        <v>478</v>
      </c>
      <c r="AF311" t="s">
        <v>479</v>
      </c>
      <c r="AL311">
        <v>141.20699999999999</v>
      </c>
      <c r="AM311" t="s">
        <v>602</v>
      </c>
      <c r="AO311" t="s">
        <v>480</v>
      </c>
      <c r="AP311" t="s">
        <v>481</v>
      </c>
      <c r="AQ311" t="s">
        <v>677</v>
      </c>
      <c r="AR311" t="s">
        <v>482</v>
      </c>
      <c r="AS311" t="s">
        <v>483</v>
      </c>
      <c r="AT311" t="s">
        <v>484</v>
      </c>
      <c r="AU311" t="s">
        <v>521</v>
      </c>
      <c r="AV311" t="s">
        <v>522</v>
      </c>
      <c r="AW311" t="s">
        <v>486</v>
      </c>
      <c r="BF311" s="1"/>
      <c r="BG311" t="s">
        <v>523</v>
      </c>
      <c r="BH311" t="s">
        <v>487</v>
      </c>
      <c r="BP311" t="s">
        <v>1489</v>
      </c>
      <c r="BQ311" t="s">
        <v>522</v>
      </c>
    </row>
    <row r="312" spans="1:69" x14ac:dyDescent="0.25">
      <c r="A312" t="s">
        <v>5713</v>
      </c>
      <c r="B312" t="s">
        <v>474</v>
      </c>
      <c r="C312" t="s">
        <v>2110</v>
      </c>
      <c r="E312" t="s">
        <v>480</v>
      </c>
      <c r="G312" s="1" t="s">
        <v>2111</v>
      </c>
      <c r="H312" t="s">
        <v>589</v>
      </c>
      <c r="J312">
        <v>400015</v>
      </c>
      <c r="M312" t="s">
        <v>1420</v>
      </c>
      <c r="P312" t="s">
        <v>89</v>
      </c>
      <c r="R312" t="s">
        <v>679</v>
      </c>
      <c r="S312" t="s">
        <v>861</v>
      </c>
      <c r="T312" t="s">
        <v>862</v>
      </c>
      <c r="V312" t="s">
        <v>477</v>
      </c>
      <c r="W312" t="s">
        <v>73</v>
      </c>
      <c r="AE312" t="s">
        <v>478</v>
      </c>
      <c r="AF312" t="s">
        <v>479</v>
      </c>
      <c r="AL312">
        <v>140.85000000000002</v>
      </c>
      <c r="AM312" t="s">
        <v>841</v>
      </c>
      <c r="AO312" t="s">
        <v>480</v>
      </c>
      <c r="AP312" t="s">
        <v>481</v>
      </c>
      <c r="AQ312" t="s">
        <v>561</v>
      </c>
      <c r="AR312" t="s">
        <v>482</v>
      </c>
      <c r="AS312" t="s">
        <v>483</v>
      </c>
      <c r="AT312" t="s">
        <v>484</v>
      </c>
      <c r="AU312" t="s">
        <v>521</v>
      </c>
      <c r="AV312" t="s">
        <v>522</v>
      </c>
      <c r="AW312" t="s">
        <v>486</v>
      </c>
      <c r="BF312" s="1"/>
      <c r="BG312" t="s">
        <v>523</v>
      </c>
      <c r="BH312" t="s">
        <v>487</v>
      </c>
      <c r="BP312" t="s">
        <v>1489</v>
      </c>
      <c r="BQ312" t="s">
        <v>522</v>
      </c>
    </row>
    <row r="313" spans="1:69" x14ac:dyDescent="0.25">
      <c r="A313" t="s">
        <v>5713</v>
      </c>
      <c r="B313" t="s">
        <v>474</v>
      </c>
      <c r="C313" t="s">
        <v>2110</v>
      </c>
      <c r="E313" t="s">
        <v>480</v>
      </c>
      <c r="G313" s="1" t="s">
        <v>2111</v>
      </c>
      <c r="H313" t="s">
        <v>592</v>
      </c>
      <c r="J313">
        <v>400015</v>
      </c>
      <c r="M313" t="s">
        <v>1420</v>
      </c>
      <c r="P313" t="s">
        <v>156</v>
      </c>
      <c r="R313" t="s">
        <v>565</v>
      </c>
      <c r="S313" t="s">
        <v>1760</v>
      </c>
      <c r="T313" t="s">
        <v>1761</v>
      </c>
      <c r="V313" t="s">
        <v>477</v>
      </c>
      <c r="W313" t="s">
        <v>73</v>
      </c>
      <c r="AE313" t="s">
        <v>478</v>
      </c>
      <c r="AF313" t="s">
        <v>479</v>
      </c>
      <c r="AL313">
        <v>67.787999999999997</v>
      </c>
      <c r="AM313" t="s">
        <v>606</v>
      </c>
      <c r="AO313" t="s">
        <v>480</v>
      </c>
      <c r="AP313" t="s">
        <v>481</v>
      </c>
      <c r="AQ313" t="s">
        <v>615</v>
      </c>
      <c r="AR313" t="s">
        <v>482</v>
      </c>
      <c r="AS313" t="s">
        <v>483</v>
      </c>
      <c r="AT313" t="s">
        <v>484</v>
      </c>
      <c r="AU313" t="s">
        <v>521</v>
      </c>
      <c r="AV313" t="s">
        <v>522</v>
      </c>
      <c r="AW313" t="s">
        <v>486</v>
      </c>
      <c r="BF313" s="1"/>
      <c r="BG313" t="s">
        <v>523</v>
      </c>
      <c r="BH313" t="s">
        <v>487</v>
      </c>
      <c r="BP313" t="s">
        <v>1489</v>
      </c>
      <c r="BQ313" t="s">
        <v>522</v>
      </c>
    </row>
    <row r="314" spans="1:69" x14ac:dyDescent="0.25">
      <c r="A314" t="s">
        <v>5713</v>
      </c>
      <c r="B314" t="s">
        <v>474</v>
      </c>
      <c r="C314" t="s">
        <v>2110</v>
      </c>
      <c r="E314" t="s">
        <v>480</v>
      </c>
      <c r="G314" s="1" t="s">
        <v>2111</v>
      </c>
      <c r="H314" t="s">
        <v>598</v>
      </c>
      <c r="J314">
        <v>400015</v>
      </c>
      <c r="M314" t="s">
        <v>1414</v>
      </c>
      <c r="P314" t="s">
        <v>169</v>
      </c>
      <c r="R314" t="s">
        <v>702</v>
      </c>
      <c r="S314" t="s">
        <v>849</v>
      </c>
      <c r="T314" t="s">
        <v>850</v>
      </c>
      <c r="V314" t="s">
        <v>477</v>
      </c>
      <c r="W314" t="s">
        <v>73</v>
      </c>
      <c r="AE314" t="s">
        <v>478</v>
      </c>
      <c r="AF314" t="s">
        <v>479</v>
      </c>
      <c r="AL314">
        <v>3739.9320000000002</v>
      </c>
      <c r="AM314" t="s">
        <v>851</v>
      </c>
      <c r="AO314" t="s">
        <v>480</v>
      </c>
      <c r="AP314" t="s">
        <v>481</v>
      </c>
      <c r="AQ314" t="s">
        <v>852</v>
      </c>
      <c r="AR314" t="s">
        <v>482</v>
      </c>
      <c r="AS314" t="s">
        <v>483</v>
      </c>
      <c r="AT314" t="s">
        <v>484</v>
      </c>
      <c r="AU314" t="s">
        <v>521</v>
      </c>
      <c r="AV314" t="s">
        <v>522</v>
      </c>
      <c r="AW314" t="s">
        <v>486</v>
      </c>
      <c r="BF314" s="1"/>
      <c r="BG314" t="s">
        <v>523</v>
      </c>
      <c r="BH314" t="s">
        <v>487</v>
      </c>
      <c r="BP314" t="s">
        <v>1489</v>
      </c>
      <c r="BQ314" t="s">
        <v>522</v>
      </c>
    </row>
    <row r="315" spans="1:69" x14ac:dyDescent="0.25">
      <c r="A315" t="s">
        <v>5713</v>
      </c>
      <c r="B315" t="s">
        <v>474</v>
      </c>
      <c r="C315" t="s">
        <v>2156</v>
      </c>
      <c r="E315" t="s">
        <v>480</v>
      </c>
      <c r="G315" s="1" t="s">
        <v>2157</v>
      </c>
      <c r="H315" t="s">
        <v>476</v>
      </c>
      <c r="J315">
        <v>400015</v>
      </c>
      <c r="M315" t="s">
        <v>1427</v>
      </c>
      <c r="P315" t="s">
        <v>104</v>
      </c>
      <c r="R315" t="s">
        <v>665</v>
      </c>
      <c r="S315" t="s">
        <v>2158</v>
      </c>
      <c r="T315" t="s">
        <v>2159</v>
      </c>
      <c r="V315" t="s">
        <v>477</v>
      </c>
      <c r="W315" t="s">
        <v>73</v>
      </c>
      <c r="AE315" t="s">
        <v>478</v>
      </c>
      <c r="AF315" t="s">
        <v>479</v>
      </c>
      <c r="AL315">
        <v>45.435000000000002</v>
      </c>
      <c r="AM315" t="s">
        <v>692</v>
      </c>
      <c r="AO315" t="s">
        <v>480</v>
      </c>
      <c r="AP315" t="s">
        <v>481</v>
      </c>
      <c r="AQ315" t="s">
        <v>637</v>
      </c>
      <c r="AR315" t="s">
        <v>482</v>
      </c>
      <c r="AS315" t="s">
        <v>483</v>
      </c>
      <c r="AT315" t="s">
        <v>484</v>
      </c>
      <c r="AU315" t="s">
        <v>521</v>
      </c>
      <c r="AV315" t="s">
        <v>522</v>
      </c>
      <c r="AW315" t="s">
        <v>486</v>
      </c>
      <c r="BF315" s="1"/>
      <c r="BG315" t="s">
        <v>523</v>
      </c>
      <c r="BH315" t="s">
        <v>487</v>
      </c>
      <c r="BP315" t="s">
        <v>1489</v>
      </c>
      <c r="BQ315" t="s">
        <v>522</v>
      </c>
    </row>
    <row r="316" spans="1:69" x14ac:dyDescent="0.25">
      <c r="A316" t="s">
        <v>5713</v>
      </c>
      <c r="B316" t="s">
        <v>474</v>
      </c>
      <c r="C316" t="s">
        <v>2156</v>
      </c>
      <c r="E316" t="s">
        <v>480</v>
      </c>
      <c r="G316" s="1" t="s">
        <v>2157</v>
      </c>
      <c r="H316" t="s">
        <v>492</v>
      </c>
      <c r="J316">
        <v>400015</v>
      </c>
      <c r="M316" t="s">
        <v>1420</v>
      </c>
      <c r="P316" t="s">
        <v>125</v>
      </c>
      <c r="R316" t="s">
        <v>878</v>
      </c>
      <c r="S316" t="s">
        <v>2160</v>
      </c>
      <c r="T316" t="s">
        <v>2161</v>
      </c>
      <c r="V316" t="s">
        <v>477</v>
      </c>
      <c r="W316" t="s">
        <v>73</v>
      </c>
      <c r="AE316" t="s">
        <v>478</v>
      </c>
      <c r="AF316" t="s">
        <v>479</v>
      </c>
      <c r="AL316">
        <v>328.17599999999999</v>
      </c>
      <c r="AM316" t="s">
        <v>2162</v>
      </c>
      <c r="AO316" t="s">
        <v>480</v>
      </c>
      <c r="AP316" t="s">
        <v>481</v>
      </c>
      <c r="AQ316" t="s">
        <v>642</v>
      </c>
      <c r="AR316" t="s">
        <v>482</v>
      </c>
      <c r="AS316" t="s">
        <v>483</v>
      </c>
      <c r="AT316" t="s">
        <v>484</v>
      </c>
      <c r="AU316" t="s">
        <v>521</v>
      </c>
      <c r="AV316" t="s">
        <v>522</v>
      </c>
      <c r="AW316" t="s">
        <v>486</v>
      </c>
      <c r="BF316" s="1"/>
      <c r="BG316" t="s">
        <v>523</v>
      </c>
      <c r="BH316" t="s">
        <v>487</v>
      </c>
      <c r="BP316" t="s">
        <v>1489</v>
      </c>
      <c r="BQ316" t="s">
        <v>522</v>
      </c>
    </row>
    <row r="317" spans="1:69" x14ac:dyDescent="0.25">
      <c r="A317" t="s">
        <v>5713</v>
      </c>
      <c r="B317" t="s">
        <v>474</v>
      </c>
      <c r="C317" t="s">
        <v>2156</v>
      </c>
      <c r="E317" t="s">
        <v>480</v>
      </c>
      <c r="G317" s="1" t="s">
        <v>2157</v>
      </c>
      <c r="H317" t="s">
        <v>498</v>
      </c>
      <c r="J317">
        <v>400015</v>
      </c>
      <c r="M317" t="s">
        <v>1431</v>
      </c>
      <c r="P317" t="s">
        <v>72</v>
      </c>
      <c r="R317" t="s">
        <v>2163</v>
      </c>
      <c r="S317" t="s">
        <v>2164</v>
      </c>
      <c r="T317" t="s">
        <v>2165</v>
      </c>
      <c r="V317" t="s">
        <v>477</v>
      </c>
      <c r="W317" t="s">
        <v>73</v>
      </c>
      <c r="AE317" t="s">
        <v>478</v>
      </c>
      <c r="AF317" t="s">
        <v>479</v>
      </c>
      <c r="AL317">
        <v>982.90499999999997</v>
      </c>
      <c r="AM317" t="s">
        <v>2166</v>
      </c>
      <c r="AO317" t="s">
        <v>480</v>
      </c>
      <c r="AP317" t="s">
        <v>481</v>
      </c>
      <c r="AQ317" t="s">
        <v>757</v>
      </c>
      <c r="AR317" t="s">
        <v>482</v>
      </c>
      <c r="AS317" t="s">
        <v>483</v>
      </c>
      <c r="AT317" t="s">
        <v>484</v>
      </c>
      <c r="AU317" t="s">
        <v>521</v>
      </c>
      <c r="AV317" t="s">
        <v>522</v>
      </c>
      <c r="AW317" t="s">
        <v>486</v>
      </c>
      <c r="BF317" s="1"/>
      <c r="BG317" t="s">
        <v>523</v>
      </c>
      <c r="BH317" t="s">
        <v>487</v>
      </c>
      <c r="BP317" t="s">
        <v>1489</v>
      </c>
      <c r="BQ317" t="s">
        <v>522</v>
      </c>
    </row>
    <row r="318" spans="1:69" x14ac:dyDescent="0.25">
      <c r="A318" t="s">
        <v>5713</v>
      </c>
      <c r="B318" t="s">
        <v>474</v>
      </c>
      <c r="C318" t="s">
        <v>2156</v>
      </c>
      <c r="E318" t="s">
        <v>480</v>
      </c>
      <c r="G318" s="1" t="s">
        <v>2157</v>
      </c>
      <c r="H318" t="s">
        <v>500</v>
      </c>
      <c r="J318">
        <v>400015</v>
      </c>
      <c r="M318" t="s">
        <v>1422</v>
      </c>
      <c r="P318" t="s">
        <v>120</v>
      </c>
      <c r="R318" t="s">
        <v>899</v>
      </c>
      <c r="S318" t="s">
        <v>2167</v>
      </c>
      <c r="T318" t="s">
        <v>2168</v>
      </c>
      <c r="V318" t="s">
        <v>477</v>
      </c>
      <c r="W318" t="s">
        <v>73</v>
      </c>
      <c r="AE318" t="s">
        <v>478</v>
      </c>
      <c r="AF318" t="s">
        <v>479</v>
      </c>
      <c r="AL318">
        <v>250.34400000000002</v>
      </c>
      <c r="AM318" t="s">
        <v>2169</v>
      </c>
      <c r="AO318" t="s">
        <v>480</v>
      </c>
      <c r="AP318" t="s">
        <v>481</v>
      </c>
      <c r="AQ318" t="s">
        <v>632</v>
      </c>
      <c r="AR318" t="s">
        <v>482</v>
      </c>
      <c r="AS318" t="s">
        <v>483</v>
      </c>
      <c r="AT318" t="s">
        <v>484</v>
      </c>
      <c r="AU318" t="s">
        <v>521</v>
      </c>
      <c r="AV318" t="s">
        <v>522</v>
      </c>
      <c r="AW318" t="s">
        <v>486</v>
      </c>
      <c r="BF318" s="1"/>
      <c r="BG318" t="s">
        <v>523</v>
      </c>
      <c r="BH318" t="s">
        <v>487</v>
      </c>
      <c r="BP318" t="s">
        <v>1489</v>
      </c>
      <c r="BQ318" t="s">
        <v>522</v>
      </c>
    </row>
    <row r="319" spans="1:69" x14ac:dyDescent="0.25">
      <c r="A319" t="s">
        <v>5713</v>
      </c>
      <c r="B319" t="s">
        <v>474</v>
      </c>
      <c r="C319" t="s">
        <v>2156</v>
      </c>
      <c r="E319" t="s">
        <v>480</v>
      </c>
      <c r="G319" s="1" t="s">
        <v>2157</v>
      </c>
      <c r="H319" t="s">
        <v>517</v>
      </c>
      <c r="J319">
        <v>400015</v>
      </c>
      <c r="M319" t="s">
        <v>1423</v>
      </c>
      <c r="P319" t="s">
        <v>80</v>
      </c>
      <c r="R319" t="s">
        <v>891</v>
      </c>
      <c r="S319" t="s">
        <v>2170</v>
      </c>
      <c r="T319" t="s">
        <v>2171</v>
      </c>
      <c r="V319" t="s">
        <v>477</v>
      </c>
      <c r="W319" t="s">
        <v>73</v>
      </c>
      <c r="AE319" t="s">
        <v>478</v>
      </c>
      <c r="AF319" t="s">
        <v>479</v>
      </c>
      <c r="AL319">
        <v>1254.6559999999999</v>
      </c>
      <c r="AM319" t="s">
        <v>892</v>
      </c>
      <c r="AO319" t="s">
        <v>480</v>
      </c>
      <c r="AP319" t="s">
        <v>481</v>
      </c>
      <c r="AQ319" t="s">
        <v>603</v>
      </c>
      <c r="AR319" t="s">
        <v>482</v>
      </c>
      <c r="AS319" t="s">
        <v>483</v>
      </c>
      <c r="AT319" t="s">
        <v>484</v>
      </c>
      <c r="AU319" t="s">
        <v>521</v>
      </c>
      <c r="AV319" t="s">
        <v>522</v>
      </c>
      <c r="AW319" t="s">
        <v>486</v>
      </c>
      <c r="BF319" s="1"/>
      <c r="BG319" t="s">
        <v>523</v>
      </c>
      <c r="BH319" t="s">
        <v>487</v>
      </c>
      <c r="BP319" t="s">
        <v>1489</v>
      </c>
      <c r="BQ319" t="s">
        <v>522</v>
      </c>
    </row>
    <row r="320" spans="1:69" x14ac:dyDescent="0.25">
      <c r="A320" t="s">
        <v>5713</v>
      </c>
      <c r="B320" t="s">
        <v>474</v>
      </c>
      <c r="C320" t="s">
        <v>2156</v>
      </c>
      <c r="E320" t="s">
        <v>480</v>
      </c>
      <c r="G320" s="1" t="s">
        <v>2157</v>
      </c>
      <c r="H320" t="s">
        <v>537</v>
      </c>
      <c r="J320">
        <v>400015</v>
      </c>
      <c r="M320" t="s">
        <v>1422</v>
      </c>
      <c r="P320" t="s">
        <v>112</v>
      </c>
      <c r="R320" t="s">
        <v>2172</v>
      </c>
      <c r="S320" t="s">
        <v>2173</v>
      </c>
      <c r="T320" t="s">
        <v>2174</v>
      </c>
      <c r="V320" t="s">
        <v>477</v>
      </c>
      <c r="W320" t="s">
        <v>73</v>
      </c>
      <c r="AE320" t="s">
        <v>478</v>
      </c>
      <c r="AF320" t="s">
        <v>479</v>
      </c>
      <c r="AL320">
        <v>368.43700000000001</v>
      </c>
      <c r="AM320" t="s">
        <v>2175</v>
      </c>
      <c r="AO320" t="s">
        <v>480</v>
      </c>
      <c r="AP320" t="s">
        <v>481</v>
      </c>
      <c r="AQ320" t="s">
        <v>577</v>
      </c>
      <c r="AR320" t="s">
        <v>482</v>
      </c>
      <c r="AS320" t="s">
        <v>483</v>
      </c>
      <c r="AT320" t="s">
        <v>484</v>
      </c>
      <c r="AU320" t="s">
        <v>521</v>
      </c>
      <c r="AV320" t="s">
        <v>522</v>
      </c>
      <c r="AW320" t="s">
        <v>486</v>
      </c>
      <c r="BF320" s="1"/>
      <c r="BG320" t="s">
        <v>523</v>
      </c>
      <c r="BH320" t="s">
        <v>487</v>
      </c>
      <c r="BP320" t="s">
        <v>1489</v>
      </c>
      <c r="BQ320" t="s">
        <v>522</v>
      </c>
    </row>
    <row r="321" spans="1:69" x14ac:dyDescent="0.25">
      <c r="A321" t="s">
        <v>5713</v>
      </c>
      <c r="B321" t="s">
        <v>474</v>
      </c>
      <c r="C321" t="s">
        <v>2156</v>
      </c>
      <c r="E321" t="s">
        <v>480</v>
      </c>
      <c r="G321" s="1" t="s">
        <v>2157</v>
      </c>
      <c r="H321" t="s">
        <v>542</v>
      </c>
      <c r="J321">
        <v>400015</v>
      </c>
      <c r="M321" t="s">
        <v>1425</v>
      </c>
      <c r="P321" t="s">
        <v>110</v>
      </c>
      <c r="R321" t="s">
        <v>796</v>
      </c>
      <c r="S321" t="s">
        <v>2176</v>
      </c>
      <c r="T321" t="s">
        <v>2177</v>
      </c>
      <c r="V321" t="s">
        <v>477</v>
      </c>
      <c r="W321" t="s">
        <v>73</v>
      </c>
      <c r="AE321" t="s">
        <v>478</v>
      </c>
      <c r="AF321" t="s">
        <v>479</v>
      </c>
      <c r="AL321">
        <v>56.350000000000009</v>
      </c>
      <c r="AM321" t="s">
        <v>803</v>
      </c>
      <c r="AO321" t="s">
        <v>480</v>
      </c>
      <c r="AP321" t="s">
        <v>481</v>
      </c>
      <c r="AQ321" t="s">
        <v>624</v>
      </c>
      <c r="AR321" t="s">
        <v>482</v>
      </c>
      <c r="AS321" t="s">
        <v>483</v>
      </c>
      <c r="AT321" t="s">
        <v>484</v>
      </c>
      <c r="AU321" t="s">
        <v>521</v>
      </c>
      <c r="AV321" t="s">
        <v>522</v>
      </c>
      <c r="AW321" t="s">
        <v>486</v>
      </c>
      <c r="BF321" s="1"/>
      <c r="BG321" t="s">
        <v>523</v>
      </c>
      <c r="BH321" t="s">
        <v>487</v>
      </c>
      <c r="BP321" t="s">
        <v>1489</v>
      </c>
      <c r="BQ321" t="s">
        <v>522</v>
      </c>
    </row>
    <row r="322" spans="1:69" x14ac:dyDescent="0.25">
      <c r="A322" t="s">
        <v>5713</v>
      </c>
      <c r="B322" t="s">
        <v>474</v>
      </c>
      <c r="C322" t="s">
        <v>2156</v>
      </c>
      <c r="E322" t="s">
        <v>480</v>
      </c>
      <c r="G322" s="1" t="s">
        <v>2157</v>
      </c>
      <c r="H322" t="s">
        <v>546</v>
      </c>
      <c r="J322">
        <v>400015</v>
      </c>
      <c r="M322" t="s">
        <v>1423</v>
      </c>
      <c r="P322" t="s">
        <v>140</v>
      </c>
      <c r="R322" t="s">
        <v>781</v>
      </c>
      <c r="S322" t="s">
        <v>2178</v>
      </c>
      <c r="T322" t="s">
        <v>2179</v>
      </c>
      <c r="V322" t="s">
        <v>477</v>
      </c>
      <c r="W322" t="s">
        <v>73</v>
      </c>
      <c r="AE322" t="s">
        <v>478</v>
      </c>
      <c r="AF322" t="s">
        <v>479</v>
      </c>
      <c r="AL322">
        <v>1463.0650000000001</v>
      </c>
      <c r="AM322" t="s">
        <v>782</v>
      </c>
      <c r="AO322" t="s">
        <v>480</v>
      </c>
      <c r="AP322" t="s">
        <v>481</v>
      </c>
      <c r="AQ322" t="s">
        <v>681</v>
      </c>
      <c r="AR322" t="s">
        <v>482</v>
      </c>
      <c r="AS322" t="s">
        <v>483</v>
      </c>
      <c r="AT322" t="s">
        <v>484</v>
      </c>
      <c r="AU322" t="s">
        <v>521</v>
      </c>
      <c r="AV322" t="s">
        <v>522</v>
      </c>
      <c r="AW322" t="s">
        <v>486</v>
      </c>
      <c r="BF322" s="1"/>
      <c r="BG322" t="s">
        <v>523</v>
      </c>
      <c r="BH322" t="s">
        <v>487</v>
      </c>
      <c r="BP322" t="s">
        <v>1489</v>
      </c>
      <c r="BQ322" t="s">
        <v>522</v>
      </c>
    </row>
    <row r="323" spans="1:69" x14ac:dyDescent="0.25">
      <c r="A323" t="s">
        <v>5713</v>
      </c>
      <c r="B323" t="s">
        <v>474</v>
      </c>
      <c r="C323" t="s">
        <v>2156</v>
      </c>
      <c r="E323" t="s">
        <v>480</v>
      </c>
      <c r="G323" s="1" t="s">
        <v>2157</v>
      </c>
      <c r="H323" t="s">
        <v>549</v>
      </c>
      <c r="J323">
        <v>400015</v>
      </c>
      <c r="M323" t="s">
        <v>1428</v>
      </c>
      <c r="P323" t="s">
        <v>113</v>
      </c>
      <c r="R323" t="s">
        <v>2180</v>
      </c>
      <c r="S323" t="s">
        <v>2181</v>
      </c>
      <c r="T323" t="s">
        <v>2182</v>
      </c>
      <c r="V323" t="s">
        <v>477</v>
      </c>
      <c r="W323" t="s">
        <v>73</v>
      </c>
      <c r="AE323" t="s">
        <v>478</v>
      </c>
      <c r="AF323" t="s">
        <v>479</v>
      </c>
      <c r="AL323">
        <v>449.93600000000004</v>
      </c>
      <c r="AM323" t="s">
        <v>2183</v>
      </c>
      <c r="AO323" t="s">
        <v>480</v>
      </c>
      <c r="AP323" t="s">
        <v>481</v>
      </c>
      <c r="AQ323" t="s">
        <v>657</v>
      </c>
      <c r="AR323" t="s">
        <v>482</v>
      </c>
      <c r="AS323" t="s">
        <v>483</v>
      </c>
      <c r="AT323" t="s">
        <v>484</v>
      </c>
      <c r="AU323" t="s">
        <v>521</v>
      </c>
      <c r="AV323" t="s">
        <v>522</v>
      </c>
      <c r="AW323" t="s">
        <v>486</v>
      </c>
      <c r="BF323" s="1"/>
      <c r="BG323" t="s">
        <v>523</v>
      </c>
      <c r="BH323" t="s">
        <v>487</v>
      </c>
      <c r="BP323" t="s">
        <v>1489</v>
      </c>
      <c r="BQ323" t="s">
        <v>522</v>
      </c>
    </row>
    <row r="324" spans="1:69" x14ac:dyDescent="0.25">
      <c r="A324" t="s">
        <v>5713</v>
      </c>
      <c r="B324" t="s">
        <v>474</v>
      </c>
      <c r="C324" t="s">
        <v>2156</v>
      </c>
      <c r="E324" t="s">
        <v>480</v>
      </c>
      <c r="G324" s="1" t="s">
        <v>2157</v>
      </c>
      <c r="H324" t="s">
        <v>553</v>
      </c>
      <c r="J324">
        <v>400015</v>
      </c>
      <c r="M324" t="s">
        <v>1425</v>
      </c>
      <c r="P324" t="s">
        <v>101</v>
      </c>
      <c r="R324" t="s">
        <v>695</v>
      </c>
      <c r="S324" t="s">
        <v>696</v>
      </c>
      <c r="T324" t="s">
        <v>697</v>
      </c>
      <c r="V324" t="s">
        <v>477</v>
      </c>
      <c r="W324" t="s">
        <v>73</v>
      </c>
      <c r="AE324" t="s">
        <v>478</v>
      </c>
      <c r="AF324" t="s">
        <v>479</v>
      </c>
      <c r="AL324">
        <v>546.58400000000006</v>
      </c>
      <c r="AM324" t="s">
        <v>698</v>
      </c>
      <c r="AO324" t="s">
        <v>480</v>
      </c>
      <c r="AP324" t="s">
        <v>481</v>
      </c>
      <c r="AQ324" t="s">
        <v>699</v>
      </c>
      <c r="AR324" t="s">
        <v>482</v>
      </c>
      <c r="AS324" t="s">
        <v>483</v>
      </c>
      <c r="AT324" t="s">
        <v>484</v>
      </c>
      <c r="AU324" t="s">
        <v>521</v>
      </c>
      <c r="AV324" t="s">
        <v>522</v>
      </c>
      <c r="AW324" t="s">
        <v>486</v>
      </c>
      <c r="BF324" s="1"/>
      <c r="BG324" t="s">
        <v>523</v>
      </c>
      <c r="BH324" t="s">
        <v>487</v>
      </c>
      <c r="BP324" t="s">
        <v>1489</v>
      </c>
      <c r="BQ324" t="s">
        <v>522</v>
      </c>
    </row>
    <row r="325" spans="1:69" x14ac:dyDescent="0.25">
      <c r="A325" t="s">
        <v>5713</v>
      </c>
      <c r="B325" t="s">
        <v>474</v>
      </c>
      <c r="C325" t="s">
        <v>2156</v>
      </c>
      <c r="E325" t="s">
        <v>480</v>
      </c>
      <c r="G325" s="1" t="s">
        <v>2157</v>
      </c>
      <c r="H325" t="s">
        <v>556</v>
      </c>
      <c r="J325">
        <v>400015</v>
      </c>
      <c r="M325" t="s">
        <v>1426</v>
      </c>
      <c r="P325" t="s">
        <v>114</v>
      </c>
      <c r="R325" t="s">
        <v>847</v>
      </c>
      <c r="S325" t="s">
        <v>2184</v>
      </c>
      <c r="T325" t="s">
        <v>2185</v>
      </c>
      <c r="V325" t="s">
        <v>477</v>
      </c>
      <c r="W325" t="s">
        <v>73</v>
      </c>
      <c r="AE325" t="s">
        <v>478</v>
      </c>
      <c r="AF325" t="s">
        <v>479</v>
      </c>
      <c r="AL325">
        <v>288.26</v>
      </c>
      <c r="AM325" t="s">
        <v>2186</v>
      </c>
      <c r="AO325" t="s">
        <v>480</v>
      </c>
      <c r="AP325" t="s">
        <v>481</v>
      </c>
      <c r="AQ325" t="s">
        <v>584</v>
      </c>
      <c r="AR325" t="s">
        <v>482</v>
      </c>
      <c r="AS325" t="s">
        <v>483</v>
      </c>
      <c r="AT325" t="s">
        <v>484</v>
      </c>
      <c r="AU325" t="s">
        <v>521</v>
      </c>
      <c r="AV325" t="s">
        <v>522</v>
      </c>
      <c r="AW325" t="s">
        <v>486</v>
      </c>
      <c r="BF325" s="1"/>
      <c r="BG325" t="s">
        <v>523</v>
      </c>
      <c r="BH325" t="s">
        <v>487</v>
      </c>
      <c r="BP325" t="s">
        <v>1489</v>
      </c>
      <c r="BQ325" t="s">
        <v>522</v>
      </c>
    </row>
    <row r="326" spans="1:69" x14ac:dyDescent="0.25">
      <c r="A326" t="s">
        <v>5713</v>
      </c>
      <c r="B326" t="s">
        <v>474</v>
      </c>
      <c r="C326" t="s">
        <v>2156</v>
      </c>
      <c r="E326" t="s">
        <v>480</v>
      </c>
      <c r="G326" s="1" t="s">
        <v>2157</v>
      </c>
      <c r="H326" t="s">
        <v>559</v>
      </c>
      <c r="J326">
        <v>400015</v>
      </c>
      <c r="M326" t="s">
        <v>1420</v>
      </c>
      <c r="P326" t="s">
        <v>105</v>
      </c>
      <c r="R326" t="s">
        <v>679</v>
      </c>
      <c r="S326" t="s">
        <v>2187</v>
      </c>
      <c r="T326" t="s">
        <v>2188</v>
      </c>
      <c r="V326" t="s">
        <v>477</v>
      </c>
      <c r="W326" t="s">
        <v>73</v>
      </c>
      <c r="AE326" t="s">
        <v>478</v>
      </c>
      <c r="AF326" t="s">
        <v>479</v>
      </c>
      <c r="AL326">
        <v>176.35</v>
      </c>
      <c r="AM326" t="s">
        <v>641</v>
      </c>
      <c r="AO326" t="s">
        <v>480</v>
      </c>
      <c r="AP326" t="s">
        <v>481</v>
      </c>
      <c r="AQ326" t="s">
        <v>607</v>
      </c>
      <c r="AR326" t="s">
        <v>482</v>
      </c>
      <c r="AS326" t="s">
        <v>483</v>
      </c>
      <c r="AT326" t="s">
        <v>484</v>
      </c>
      <c r="AU326" t="s">
        <v>521</v>
      </c>
      <c r="AV326" t="s">
        <v>522</v>
      </c>
      <c r="AW326" t="s">
        <v>486</v>
      </c>
      <c r="BF326" s="1"/>
      <c r="BG326" t="s">
        <v>523</v>
      </c>
      <c r="BH326" t="s">
        <v>487</v>
      </c>
      <c r="BP326" t="s">
        <v>1489</v>
      </c>
      <c r="BQ326" t="s">
        <v>522</v>
      </c>
    </row>
    <row r="327" spans="1:69" x14ac:dyDescent="0.25">
      <c r="A327" t="s">
        <v>5713</v>
      </c>
      <c r="B327" t="s">
        <v>474</v>
      </c>
      <c r="C327" t="s">
        <v>2156</v>
      </c>
      <c r="E327" t="s">
        <v>480</v>
      </c>
      <c r="G327" s="1" t="s">
        <v>2157</v>
      </c>
      <c r="H327" t="s">
        <v>562</v>
      </c>
      <c r="J327">
        <v>400015</v>
      </c>
      <c r="M327" t="s">
        <v>1424</v>
      </c>
      <c r="P327" t="s">
        <v>157</v>
      </c>
      <c r="R327" t="s">
        <v>572</v>
      </c>
      <c r="S327" t="s">
        <v>2189</v>
      </c>
      <c r="T327" t="s">
        <v>2190</v>
      </c>
      <c r="V327" t="s">
        <v>477</v>
      </c>
      <c r="W327" t="s">
        <v>73</v>
      </c>
      <c r="AE327" t="s">
        <v>478</v>
      </c>
      <c r="AF327" t="s">
        <v>479</v>
      </c>
      <c r="AL327">
        <v>168.24</v>
      </c>
      <c r="AM327" t="s">
        <v>617</v>
      </c>
      <c r="AO327" t="s">
        <v>480</v>
      </c>
      <c r="AP327" t="s">
        <v>481</v>
      </c>
      <c r="AQ327" t="s">
        <v>667</v>
      </c>
      <c r="AR327" t="s">
        <v>482</v>
      </c>
      <c r="AS327" t="s">
        <v>483</v>
      </c>
      <c r="AT327" t="s">
        <v>484</v>
      </c>
      <c r="AU327" t="s">
        <v>521</v>
      </c>
      <c r="AV327" t="s">
        <v>522</v>
      </c>
      <c r="AW327" t="s">
        <v>486</v>
      </c>
      <c r="BF327" s="1"/>
      <c r="BG327" t="s">
        <v>523</v>
      </c>
      <c r="BH327" t="s">
        <v>487</v>
      </c>
      <c r="BP327" t="s">
        <v>1489</v>
      </c>
      <c r="BQ327" t="s">
        <v>522</v>
      </c>
    </row>
    <row r="328" spans="1:69" x14ac:dyDescent="0.25">
      <c r="A328" t="s">
        <v>5713</v>
      </c>
      <c r="B328" t="s">
        <v>474</v>
      </c>
      <c r="C328" t="s">
        <v>2156</v>
      </c>
      <c r="E328" t="s">
        <v>480</v>
      </c>
      <c r="G328" s="1" t="s">
        <v>2157</v>
      </c>
      <c r="H328" t="s">
        <v>564</v>
      </c>
      <c r="J328">
        <v>400015</v>
      </c>
      <c r="M328" t="s">
        <v>1421</v>
      </c>
      <c r="P328" t="s">
        <v>154</v>
      </c>
      <c r="R328" t="s">
        <v>683</v>
      </c>
      <c r="S328" t="s">
        <v>2191</v>
      </c>
      <c r="T328" t="s">
        <v>2192</v>
      </c>
      <c r="V328" t="s">
        <v>477</v>
      </c>
      <c r="W328" t="s">
        <v>73</v>
      </c>
      <c r="AE328" t="s">
        <v>478</v>
      </c>
      <c r="AF328" t="s">
        <v>479</v>
      </c>
      <c r="AL328">
        <v>335.09</v>
      </c>
      <c r="AM328" t="s">
        <v>674</v>
      </c>
      <c r="AO328" t="s">
        <v>480</v>
      </c>
      <c r="AP328" t="s">
        <v>481</v>
      </c>
      <c r="AQ328" t="s">
        <v>531</v>
      </c>
      <c r="AR328" t="s">
        <v>482</v>
      </c>
      <c r="AS328" t="s">
        <v>483</v>
      </c>
      <c r="AT328" t="s">
        <v>484</v>
      </c>
      <c r="AU328" t="s">
        <v>521</v>
      </c>
      <c r="AV328" t="s">
        <v>522</v>
      </c>
      <c r="AW328" t="s">
        <v>486</v>
      </c>
      <c r="BF328" s="1"/>
      <c r="BG328" t="s">
        <v>523</v>
      </c>
      <c r="BH328" t="s">
        <v>487</v>
      </c>
      <c r="BP328" t="s">
        <v>1489</v>
      </c>
      <c r="BQ328" t="s">
        <v>522</v>
      </c>
    </row>
    <row r="329" spans="1:69" x14ac:dyDescent="0.25">
      <c r="A329" t="s">
        <v>5713</v>
      </c>
      <c r="B329" t="s">
        <v>474</v>
      </c>
      <c r="C329" t="s">
        <v>2193</v>
      </c>
      <c r="E329" t="s">
        <v>480</v>
      </c>
      <c r="G329" s="1" t="s">
        <v>2194</v>
      </c>
      <c r="H329" t="s">
        <v>476</v>
      </c>
      <c r="J329">
        <v>400015</v>
      </c>
      <c r="M329" t="s">
        <v>1416</v>
      </c>
      <c r="P329" t="s">
        <v>83</v>
      </c>
      <c r="R329" t="s">
        <v>884</v>
      </c>
      <c r="S329" t="s">
        <v>885</v>
      </c>
      <c r="T329" t="s">
        <v>886</v>
      </c>
      <c r="V329" t="s">
        <v>477</v>
      </c>
      <c r="W329" t="s">
        <v>70</v>
      </c>
      <c r="AE329" t="s">
        <v>478</v>
      </c>
      <c r="AF329" t="s">
        <v>479</v>
      </c>
      <c r="AL329">
        <v>669.18</v>
      </c>
      <c r="AM329" t="s">
        <v>887</v>
      </c>
      <c r="AO329" t="s">
        <v>480</v>
      </c>
      <c r="AP329" t="s">
        <v>481</v>
      </c>
      <c r="AQ329" t="s">
        <v>497</v>
      </c>
      <c r="AR329" t="s">
        <v>482</v>
      </c>
      <c r="AS329" t="s">
        <v>483</v>
      </c>
      <c r="AT329" t="s">
        <v>484</v>
      </c>
      <c r="AU329" t="s">
        <v>490</v>
      </c>
      <c r="AV329" t="s">
        <v>491</v>
      </c>
      <c r="AW329" t="s">
        <v>486</v>
      </c>
      <c r="BF329" s="1"/>
      <c r="BG329" t="s">
        <v>71</v>
      </c>
      <c r="BH329" t="s">
        <v>487</v>
      </c>
      <c r="BP329" t="s">
        <v>1489</v>
      </c>
      <c r="BQ329" t="s">
        <v>491</v>
      </c>
    </row>
    <row r="330" spans="1:69" x14ac:dyDescent="0.25">
      <c r="A330" t="s">
        <v>5713</v>
      </c>
      <c r="B330" t="s">
        <v>474</v>
      </c>
      <c r="C330" t="s">
        <v>2193</v>
      </c>
      <c r="E330" t="s">
        <v>480</v>
      </c>
      <c r="G330" s="1" t="s">
        <v>2194</v>
      </c>
      <c r="H330" t="s">
        <v>492</v>
      </c>
      <c r="J330">
        <v>400015</v>
      </c>
      <c r="M330" t="s">
        <v>1415</v>
      </c>
      <c r="P330" t="s">
        <v>127</v>
      </c>
      <c r="R330" t="s">
        <v>734</v>
      </c>
      <c r="S330" t="s">
        <v>2195</v>
      </c>
      <c r="T330" t="s">
        <v>2196</v>
      </c>
      <c r="V330" t="s">
        <v>477</v>
      </c>
      <c r="W330" t="s">
        <v>70</v>
      </c>
      <c r="AE330" t="s">
        <v>478</v>
      </c>
      <c r="AF330" t="s">
        <v>479</v>
      </c>
      <c r="AL330">
        <v>1134</v>
      </c>
      <c r="AM330" t="s">
        <v>496</v>
      </c>
      <c r="AO330" t="s">
        <v>480</v>
      </c>
      <c r="AP330" t="s">
        <v>481</v>
      </c>
      <c r="AQ330" t="s">
        <v>489</v>
      </c>
      <c r="AR330" t="s">
        <v>482</v>
      </c>
      <c r="AS330" t="s">
        <v>483</v>
      </c>
      <c r="AT330" t="s">
        <v>484</v>
      </c>
      <c r="AU330" t="s">
        <v>490</v>
      </c>
      <c r="AV330" t="s">
        <v>491</v>
      </c>
      <c r="AW330" t="s">
        <v>486</v>
      </c>
      <c r="BF330" s="1"/>
      <c r="BG330" t="s">
        <v>71</v>
      </c>
      <c r="BH330" t="s">
        <v>487</v>
      </c>
      <c r="BP330" t="s">
        <v>1489</v>
      </c>
      <c r="BQ330" t="s">
        <v>491</v>
      </c>
    </row>
    <row r="331" spans="1:69" x14ac:dyDescent="0.25">
      <c r="A331" t="s">
        <v>5713</v>
      </c>
      <c r="B331" t="s">
        <v>474</v>
      </c>
      <c r="C331" t="s">
        <v>2193</v>
      </c>
      <c r="E331" t="s">
        <v>480</v>
      </c>
      <c r="G331" s="1" t="s">
        <v>2194</v>
      </c>
      <c r="H331" t="s">
        <v>498</v>
      </c>
      <c r="J331">
        <v>400015</v>
      </c>
      <c r="M331" t="s">
        <v>1416</v>
      </c>
      <c r="P331" t="s">
        <v>83</v>
      </c>
      <c r="R331" t="s">
        <v>1462</v>
      </c>
      <c r="S331" t="s">
        <v>2197</v>
      </c>
      <c r="T331" t="s">
        <v>2198</v>
      </c>
      <c r="V331" t="s">
        <v>477</v>
      </c>
      <c r="W331" t="s">
        <v>70</v>
      </c>
      <c r="AE331" t="s">
        <v>478</v>
      </c>
      <c r="AF331" t="s">
        <v>479</v>
      </c>
      <c r="AL331">
        <v>1408.8</v>
      </c>
      <c r="AM331" t="s">
        <v>895</v>
      </c>
      <c r="AO331" t="s">
        <v>480</v>
      </c>
      <c r="AP331" t="s">
        <v>481</v>
      </c>
      <c r="AQ331" t="s">
        <v>497</v>
      </c>
      <c r="AR331" t="s">
        <v>482</v>
      </c>
      <c r="AS331" t="s">
        <v>483</v>
      </c>
      <c r="AT331" t="s">
        <v>484</v>
      </c>
      <c r="AU331" t="s">
        <v>490</v>
      </c>
      <c r="AV331" t="s">
        <v>491</v>
      </c>
      <c r="AW331" t="s">
        <v>486</v>
      </c>
      <c r="BF331" s="1"/>
      <c r="BG331" t="s">
        <v>71</v>
      </c>
      <c r="BH331" t="s">
        <v>487</v>
      </c>
      <c r="BP331" t="s">
        <v>1489</v>
      </c>
      <c r="BQ331" t="s">
        <v>491</v>
      </c>
    </row>
    <row r="332" spans="1:69" x14ac:dyDescent="0.25">
      <c r="A332" t="s">
        <v>5713</v>
      </c>
      <c r="B332" t="s">
        <v>474</v>
      </c>
      <c r="C332" t="s">
        <v>2193</v>
      </c>
      <c r="E332" t="s">
        <v>480</v>
      </c>
      <c r="G332" s="1" t="s">
        <v>2194</v>
      </c>
      <c r="H332" t="s">
        <v>500</v>
      </c>
      <c r="J332">
        <v>400015</v>
      </c>
      <c r="M332" t="s">
        <v>1416</v>
      </c>
      <c r="P332" t="s">
        <v>83</v>
      </c>
      <c r="R332" t="s">
        <v>1463</v>
      </c>
      <c r="S332" t="s">
        <v>2199</v>
      </c>
      <c r="T332" t="s">
        <v>2200</v>
      </c>
      <c r="V332" t="s">
        <v>477</v>
      </c>
      <c r="W332" t="s">
        <v>70</v>
      </c>
      <c r="AE332" t="s">
        <v>478</v>
      </c>
      <c r="AF332" t="s">
        <v>479</v>
      </c>
      <c r="AL332">
        <v>1193.9579999999999</v>
      </c>
      <c r="AM332" t="s">
        <v>2201</v>
      </c>
      <c r="AO332" t="s">
        <v>480</v>
      </c>
      <c r="AP332" t="s">
        <v>481</v>
      </c>
      <c r="AQ332" t="s">
        <v>497</v>
      </c>
      <c r="AR332" t="s">
        <v>482</v>
      </c>
      <c r="AS332" t="s">
        <v>483</v>
      </c>
      <c r="AT332" t="s">
        <v>484</v>
      </c>
      <c r="AU332" t="s">
        <v>490</v>
      </c>
      <c r="AV332" t="s">
        <v>491</v>
      </c>
      <c r="AW332" t="s">
        <v>486</v>
      </c>
      <c r="BF332" s="1"/>
      <c r="BG332" t="s">
        <v>71</v>
      </c>
      <c r="BH332" t="s">
        <v>487</v>
      </c>
      <c r="BP332" t="s">
        <v>1489</v>
      </c>
      <c r="BQ332" t="s">
        <v>491</v>
      </c>
    </row>
    <row r="333" spans="1:69" x14ac:dyDescent="0.25">
      <c r="A333" t="s">
        <v>5713</v>
      </c>
      <c r="B333" t="s">
        <v>474</v>
      </c>
      <c r="C333" t="s">
        <v>2193</v>
      </c>
      <c r="E333" t="s">
        <v>480</v>
      </c>
      <c r="G333" s="1" t="s">
        <v>2194</v>
      </c>
      <c r="H333" t="s">
        <v>517</v>
      </c>
      <c r="J333">
        <v>400015</v>
      </c>
      <c r="M333" t="s">
        <v>1417</v>
      </c>
      <c r="P333" t="s">
        <v>121</v>
      </c>
      <c r="R333" t="s">
        <v>1464</v>
      </c>
      <c r="S333" t="s">
        <v>2202</v>
      </c>
      <c r="T333" t="s">
        <v>2203</v>
      </c>
      <c r="V333" t="s">
        <v>477</v>
      </c>
      <c r="W333" t="s">
        <v>70</v>
      </c>
      <c r="AE333" t="s">
        <v>478</v>
      </c>
      <c r="AF333" t="s">
        <v>479</v>
      </c>
      <c r="AL333">
        <v>1247.1719999999998</v>
      </c>
      <c r="AM333" t="s">
        <v>2204</v>
      </c>
      <c r="AO333" t="s">
        <v>480</v>
      </c>
      <c r="AP333" t="s">
        <v>481</v>
      </c>
      <c r="AQ333" t="s">
        <v>499</v>
      </c>
      <c r="AR333" t="s">
        <v>482</v>
      </c>
      <c r="AS333" t="s">
        <v>483</v>
      </c>
      <c r="AT333" t="s">
        <v>484</v>
      </c>
      <c r="AU333" t="s">
        <v>490</v>
      </c>
      <c r="AV333" t="s">
        <v>491</v>
      </c>
      <c r="AW333" t="s">
        <v>486</v>
      </c>
      <c r="BF333" s="1"/>
      <c r="BG333" t="s">
        <v>71</v>
      </c>
      <c r="BH333" t="s">
        <v>487</v>
      </c>
      <c r="BP333" t="s">
        <v>1489</v>
      </c>
      <c r="BQ333" t="s">
        <v>491</v>
      </c>
    </row>
    <row r="334" spans="1:69" x14ac:dyDescent="0.25">
      <c r="A334" t="s">
        <v>5713</v>
      </c>
      <c r="B334" t="s">
        <v>474</v>
      </c>
      <c r="C334" t="s">
        <v>2193</v>
      </c>
      <c r="E334" t="s">
        <v>480</v>
      </c>
      <c r="G334" s="1" t="s">
        <v>2194</v>
      </c>
      <c r="H334" t="s">
        <v>537</v>
      </c>
      <c r="J334">
        <v>400015</v>
      </c>
      <c r="M334" t="s">
        <v>1417</v>
      </c>
      <c r="P334" t="s">
        <v>133</v>
      </c>
      <c r="R334" t="s">
        <v>901</v>
      </c>
      <c r="S334" t="s">
        <v>2205</v>
      </c>
      <c r="T334" t="s">
        <v>2206</v>
      </c>
      <c r="V334" t="s">
        <v>477</v>
      </c>
      <c r="W334" t="s">
        <v>70</v>
      </c>
      <c r="AE334" t="s">
        <v>478</v>
      </c>
      <c r="AF334" t="s">
        <v>479</v>
      </c>
      <c r="AL334">
        <v>199.08</v>
      </c>
      <c r="AM334" t="s">
        <v>729</v>
      </c>
      <c r="AO334" t="s">
        <v>480</v>
      </c>
      <c r="AP334" t="s">
        <v>481</v>
      </c>
      <c r="AQ334" t="s">
        <v>505</v>
      </c>
      <c r="AR334" t="s">
        <v>482</v>
      </c>
      <c r="AS334" t="s">
        <v>483</v>
      </c>
      <c r="AT334" t="s">
        <v>484</v>
      </c>
      <c r="AU334" t="s">
        <v>490</v>
      </c>
      <c r="AV334" t="s">
        <v>491</v>
      </c>
      <c r="AW334" t="s">
        <v>486</v>
      </c>
      <c r="BF334" s="1"/>
      <c r="BG334" t="s">
        <v>71</v>
      </c>
      <c r="BH334" t="s">
        <v>487</v>
      </c>
      <c r="BP334" t="s">
        <v>1489</v>
      </c>
      <c r="BQ334" t="s">
        <v>491</v>
      </c>
    </row>
    <row r="335" spans="1:69" x14ac:dyDescent="0.25">
      <c r="A335" t="s">
        <v>5713</v>
      </c>
      <c r="B335" t="s">
        <v>474</v>
      </c>
      <c r="C335" t="s">
        <v>2193</v>
      </c>
      <c r="E335" t="s">
        <v>480</v>
      </c>
      <c r="G335" s="1" t="s">
        <v>2194</v>
      </c>
      <c r="H335" t="s">
        <v>542</v>
      </c>
      <c r="J335">
        <v>400015</v>
      </c>
      <c r="M335" t="s">
        <v>1415</v>
      </c>
      <c r="P335" t="s">
        <v>127</v>
      </c>
      <c r="R335" t="s">
        <v>1465</v>
      </c>
      <c r="S335" t="s">
        <v>2207</v>
      </c>
      <c r="T335" t="s">
        <v>2208</v>
      </c>
      <c r="V335" t="s">
        <v>477</v>
      </c>
      <c r="W335" t="s">
        <v>70</v>
      </c>
      <c r="AE335" t="s">
        <v>478</v>
      </c>
      <c r="AF335" t="s">
        <v>479</v>
      </c>
      <c r="AL335">
        <v>718.2</v>
      </c>
      <c r="AM335" t="s">
        <v>887</v>
      </c>
      <c r="AO335" t="s">
        <v>480</v>
      </c>
      <c r="AP335" t="s">
        <v>481</v>
      </c>
      <c r="AQ335" t="s">
        <v>489</v>
      </c>
      <c r="AR335" t="s">
        <v>482</v>
      </c>
      <c r="AS335" t="s">
        <v>483</v>
      </c>
      <c r="AT335" t="s">
        <v>484</v>
      </c>
      <c r="AU335" t="s">
        <v>490</v>
      </c>
      <c r="AV335" t="s">
        <v>491</v>
      </c>
      <c r="AW335" t="s">
        <v>486</v>
      </c>
      <c r="BF335" s="1"/>
      <c r="BG335" t="s">
        <v>71</v>
      </c>
      <c r="BH335" t="s">
        <v>487</v>
      </c>
      <c r="BP335" t="s">
        <v>1489</v>
      </c>
      <c r="BQ335" t="s">
        <v>491</v>
      </c>
    </row>
    <row r="336" spans="1:69" x14ac:dyDescent="0.25">
      <c r="A336" t="s">
        <v>5713</v>
      </c>
      <c r="B336" t="s">
        <v>474</v>
      </c>
      <c r="C336" t="s">
        <v>2110</v>
      </c>
      <c r="E336" t="s">
        <v>480</v>
      </c>
      <c r="G336" s="1" t="s">
        <v>2209</v>
      </c>
      <c r="H336" t="s">
        <v>476</v>
      </c>
      <c r="J336">
        <v>400015</v>
      </c>
      <c r="M336" t="s">
        <v>1417</v>
      </c>
      <c r="P336" t="s">
        <v>121</v>
      </c>
      <c r="R336" t="s">
        <v>501</v>
      </c>
      <c r="S336" t="s">
        <v>659</v>
      </c>
      <c r="T336" t="s">
        <v>660</v>
      </c>
      <c r="V336" t="s">
        <v>477</v>
      </c>
      <c r="W336" t="s">
        <v>70</v>
      </c>
      <c r="AE336" t="s">
        <v>478</v>
      </c>
      <c r="AF336" t="s">
        <v>479</v>
      </c>
      <c r="AL336">
        <v>3654.5039999999999</v>
      </c>
      <c r="AM336" t="s">
        <v>504</v>
      </c>
      <c r="AO336" t="s">
        <v>480</v>
      </c>
      <c r="AP336" t="s">
        <v>481</v>
      </c>
      <c r="AQ336" t="s">
        <v>499</v>
      </c>
      <c r="AR336" t="s">
        <v>482</v>
      </c>
      <c r="AS336" t="s">
        <v>483</v>
      </c>
      <c r="AT336" t="s">
        <v>484</v>
      </c>
      <c r="AU336" t="s">
        <v>490</v>
      </c>
      <c r="AV336" t="s">
        <v>491</v>
      </c>
      <c r="AW336" t="s">
        <v>486</v>
      </c>
      <c r="BF336" s="1"/>
      <c r="BG336" t="s">
        <v>71</v>
      </c>
      <c r="BH336" t="s">
        <v>487</v>
      </c>
      <c r="BP336" t="s">
        <v>1489</v>
      </c>
      <c r="BQ336" t="s">
        <v>491</v>
      </c>
    </row>
    <row r="337" spans="1:69" x14ac:dyDescent="0.25">
      <c r="A337" t="s">
        <v>5713</v>
      </c>
      <c r="B337" t="s">
        <v>474</v>
      </c>
      <c r="C337" t="s">
        <v>2110</v>
      </c>
      <c r="E337" t="s">
        <v>480</v>
      </c>
      <c r="G337" s="1" t="s">
        <v>2209</v>
      </c>
      <c r="H337" t="s">
        <v>492</v>
      </c>
      <c r="J337">
        <v>400015</v>
      </c>
      <c r="M337" t="s">
        <v>1417</v>
      </c>
      <c r="P337" t="s">
        <v>133</v>
      </c>
      <c r="R337" t="s">
        <v>501</v>
      </c>
      <c r="S337" t="s">
        <v>502</v>
      </c>
      <c r="T337" t="s">
        <v>503</v>
      </c>
      <c r="V337" t="s">
        <v>477</v>
      </c>
      <c r="W337" t="s">
        <v>70</v>
      </c>
      <c r="AE337" t="s">
        <v>478</v>
      </c>
      <c r="AF337" t="s">
        <v>479</v>
      </c>
      <c r="AL337">
        <v>3583.44</v>
      </c>
      <c r="AM337" t="s">
        <v>504</v>
      </c>
      <c r="AO337" t="s">
        <v>480</v>
      </c>
      <c r="AP337" t="s">
        <v>481</v>
      </c>
      <c r="AQ337" t="s">
        <v>505</v>
      </c>
      <c r="AR337" t="s">
        <v>482</v>
      </c>
      <c r="AS337" t="s">
        <v>483</v>
      </c>
      <c r="AT337" t="s">
        <v>484</v>
      </c>
      <c r="AU337" t="s">
        <v>490</v>
      </c>
      <c r="AV337" t="s">
        <v>491</v>
      </c>
      <c r="AW337" t="s">
        <v>486</v>
      </c>
      <c r="BF337" s="1"/>
      <c r="BG337" t="s">
        <v>71</v>
      </c>
      <c r="BH337" t="s">
        <v>487</v>
      </c>
      <c r="BP337" t="s">
        <v>1489</v>
      </c>
      <c r="BQ337" t="s">
        <v>491</v>
      </c>
    </row>
    <row r="338" spans="1:69" x14ac:dyDescent="0.25">
      <c r="A338" t="s">
        <v>5713</v>
      </c>
      <c r="B338" t="s">
        <v>474</v>
      </c>
      <c r="C338" t="s">
        <v>2110</v>
      </c>
      <c r="E338" t="s">
        <v>480</v>
      </c>
      <c r="G338" s="1" t="s">
        <v>2209</v>
      </c>
      <c r="H338" t="s">
        <v>498</v>
      </c>
      <c r="J338">
        <v>400015</v>
      </c>
      <c r="M338" t="s">
        <v>1417</v>
      </c>
      <c r="P338" t="s">
        <v>133</v>
      </c>
      <c r="R338" t="s">
        <v>501</v>
      </c>
      <c r="S338" t="s">
        <v>502</v>
      </c>
      <c r="T338" t="s">
        <v>503</v>
      </c>
      <c r="V338" t="s">
        <v>477</v>
      </c>
      <c r="W338" t="s">
        <v>70</v>
      </c>
      <c r="AE338" t="s">
        <v>478</v>
      </c>
      <c r="AF338" t="s">
        <v>479</v>
      </c>
      <c r="AL338">
        <v>3583.44</v>
      </c>
      <c r="AM338" t="s">
        <v>504</v>
      </c>
      <c r="AO338" t="s">
        <v>480</v>
      </c>
      <c r="AP338" t="s">
        <v>481</v>
      </c>
      <c r="AQ338" t="s">
        <v>505</v>
      </c>
      <c r="AR338" t="s">
        <v>482</v>
      </c>
      <c r="AS338" t="s">
        <v>483</v>
      </c>
      <c r="AT338" t="s">
        <v>484</v>
      </c>
      <c r="AU338" t="s">
        <v>490</v>
      </c>
      <c r="AV338" t="s">
        <v>491</v>
      </c>
      <c r="AW338" t="s">
        <v>486</v>
      </c>
      <c r="BF338" s="1"/>
      <c r="BG338" t="s">
        <v>71</v>
      </c>
      <c r="BH338" t="s">
        <v>487</v>
      </c>
      <c r="BP338" t="s">
        <v>1489</v>
      </c>
      <c r="BQ338" t="s">
        <v>491</v>
      </c>
    </row>
    <row r="339" spans="1:69" x14ac:dyDescent="0.25">
      <c r="A339" t="s">
        <v>5713</v>
      </c>
      <c r="B339" t="s">
        <v>474</v>
      </c>
      <c r="C339" t="s">
        <v>2110</v>
      </c>
      <c r="E339" t="s">
        <v>480</v>
      </c>
      <c r="G339" s="1" t="s">
        <v>2209</v>
      </c>
      <c r="H339" t="s">
        <v>500</v>
      </c>
      <c r="J339">
        <v>400015</v>
      </c>
      <c r="M339" t="s">
        <v>1415</v>
      </c>
      <c r="P339" t="s">
        <v>127</v>
      </c>
      <c r="R339" t="s">
        <v>493</v>
      </c>
      <c r="S339" t="s">
        <v>774</v>
      </c>
      <c r="T339" t="s">
        <v>775</v>
      </c>
      <c r="V339" t="s">
        <v>477</v>
      </c>
      <c r="W339" t="s">
        <v>70</v>
      </c>
      <c r="AE339" t="s">
        <v>478</v>
      </c>
      <c r="AF339" t="s">
        <v>479</v>
      </c>
      <c r="AL339">
        <v>756</v>
      </c>
      <c r="AM339" t="s">
        <v>776</v>
      </c>
      <c r="AO339" t="s">
        <v>480</v>
      </c>
      <c r="AP339" t="s">
        <v>481</v>
      </c>
      <c r="AQ339" t="s">
        <v>489</v>
      </c>
      <c r="AR339" t="s">
        <v>482</v>
      </c>
      <c r="AS339" t="s">
        <v>483</v>
      </c>
      <c r="AT339" t="s">
        <v>484</v>
      </c>
      <c r="AU339" t="s">
        <v>490</v>
      </c>
      <c r="AV339" t="s">
        <v>491</v>
      </c>
      <c r="AW339" t="s">
        <v>486</v>
      </c>
      <c r="BF339" s="1"/>
      <c r="BG339" t="s">
        <v>71</v>
      </c>
      <c r="BH339" t="s">
        <v>487</v>
      </c>
      <c r="BP339" t="s">
        <v>1489</v>
      </c>
      <c r="BQ339" t="s">
        <v>491</v>
      </c>
    </row>
    <row r="340" spans="1:69" x14ac:dyDescent="0.25">
      <c r="A340" t="s">
        <v>5713</v>
      </c>
      <c r="B340" t="s">
        <v>474</v>
      </c>
      <c r="C340" t="s">
        <v>2110</v>
      </c>
      <c r="E340" t="s">
        <v>480</v>
      </c>
      <c r="G340" s="1" t="s">
        <v>2209</v>
      </c>
      <c r="H340" t="s">
        <v>517</v>
      </c>
      <c r="J340">
        <v>400015</v>
      </c>
      <c r="M340" t="s">
        <v>1416</v>
      </c>
      <c r="P340" t="s">
        <v>83</v>
      </c>
      <c r="R340" t="s">
        <v>745</v>
      </c>
      <c r="S340" t="s">
        <v>2210</v>
      </c>
      <c r="T340" t="s">
        <v>2211</v>
      </c>
      <c r="V340" t="s">
        <v>477</v>
      </c>
      <c r="W340" t="s">
        <v>70</v>
      </c>
      <c r="AE340" t="s">
        <v>478</v>
      </c>
      <c r="AF340" t="s">
        <v>479</v>
      </c>
      <c r="AL340">
        <v>704.4</v>
      </c>
      <c r="AM340" t="s">
        <v>776</v>
      </c>
      <c r="AO340" t="s">
        <v>480</v>
      </c>
      <c r="AP340" t="s">
        <v>481</v>
      </c>
      <c r="AQ340" t="s">
        <v>497</v>
      </c>
      <c r="AR340" t="s">
        <v>482</v>
      </c>
      <c r="AS340" t="s">
        <v>483</v>
      </c>
      <c r="AT340" t="s">
        <v>484</v>
      </c>
      <c r="AU340" t="s">
        <v>490</v>
      </c>
      <c r="AV340" t="s">
        <v>491</v>
      </c>
      <c r="AW340" t="s">
        <v>486</v>
      </c>
      <c r="BF340" s="1"/>
      <c r="BG340" t="s">
        <v>71</v>
      </c>
      <c r="BH340" t="s">
        <v>487</v>
      </c>
      <c r="BP340" t="s">
        <v>1489</v>
      </c>
      <c r="BQ340" t="s">
        <v>491</v>
      </c>
    </row>
    <row r="341" spans="1:69" x14ac:dyDescent="0.25">
      <c r="A341" t="s">
        <v>5713</v>
      </c>
      <c r="B341" t="s">
        <v>474</v>
      </c>
      <c r="C341" t="s">
        <v>2110</v>
      </c>
      <c r="E341" t="s">
        <v>480</v>
      </c>
      <c r="G341" s="1" t="s">
        <v>2209</v>
      </c>
      <c r="H341" t="s">
        <v>537</v>
      </c>
      <c r="J341">
        <v>400015</v>
      </c>
      <c r="M341" t="s">
        <v>1417</v>
      </c>
      <c r="P341" t="s">
        <v>121</v>
      </c>
      <c r="R341" t="s">
        <v>1466</v>
      </c>
      <c r="S341" t="s">
        <v>2212</v>
      </c>
      <c r="T341" t="s">
        <v>2213</v>
      </c>
      <c r="V341" t="s">
        <v>477</v>
      </c>
      <c r="W341" t="s">
        <v>70</v>
      </c>
      <c r="AE341" t="s">
        <v>478</v>
      </c>
      <c r="AF341" t="s">
        <v>479</v>
      </c>
      <c r="AL341">
        <v>1957.7699999999998</v>
      </c>
      <c r="AM341" t="s">
        <v>2214</v>
      </c>
      <c r="AO341" t="s">
        <v>480</v>
      </c>
      <c r="AP341" t="s">
        <v>481</v>
      </c>
      <c r="AQ341" t="s">
        <v>499</v>
      </c>
      <c r="AR341" t="s">
        <v>482</v>
      </c>
      <c r="AS341" t="s">
        <v>483</v>
      </c>
      <c r="AT341" t="s">
        <v>484</v>
      </c>
      <c r="AU341" t="s">
        <v>490</v>
      </c>
      <c r="AV341" t="s">
        <v>491</v>
      </c>
      <c r="AW341" t="s">
        <v>486</v>
      </c>
      <c r="BF341" s="1"/>
      <c r="BG341" t="s">
        <v>71</v>
      </c>
      <c r="BH341" t="s">
        <v>487</v>
      </c>
      <c r="BP341" t="s">
        <v>1489</v>
      </c>
      <c r="BQ341" t="s">
        <v>491</v>
      </c>
    </row>
    <row r="342" spans="1:69" x14ac:dyDescent="0.25">
      <c r="A342" t="s">
        <v>5713</v>
      </c>
      <c r="B342" t="s">
        <v>474</v>
      </c>
      <c r="C342" t="s">
        <v>2215</v>
      </c>
      <c r="E342" t="s">
        <v>480</v>
      </c>
      <c r="G342" s="1" t="s">
        <v>2216</v>
      </c>
      <c r="H342" t="s">
        <v>476</v>
      </c>
      <c r="J342">
        <v>400015</v>
      </c>
      <c r="M342" t="s">
        <v>1425</v>
      </c>
      <c r="P342" t="s">
        <v>160</v>
      </c>
      <c r="R342" t="s">
        <v>1461</v>
      </c>
      <c r="S342" t="s">
        <v>2217</v>
      </c>
      <c r="T342" t="s">
        <v>2218</v>
      </c>
      <c r="V342" t="s">
        <v>477</v>
      </c>
      <c r="W342" t="s">
        <v>70</v>
      </c>
      <c r="AE342" t="s">
        <v>478</v>
      </c>
      <c r="AF342" t="s">
        <v>479</v>
      </c>
      <c r="AL342">
        <v>2358.0749999999998</v>
      </c>
      <c r="AM342" t="s">
        <v>2219</v>
      </c>
      <c r="AO342" t="s">
        <v>480</v>
      </c>
      <c r="AP342" t="s">
        <v>481</v>
      </c>
      <c r="AQ342" t="s">
        <v>730</v>
      </c>
      <c r="AR342" t="s">
        <v>482</v>
      </c>
      <c r="AS342" t="s">
        <v>483</v>
      </c>
      <c r="AT342" t="s">
        <v>484</v>
      </c>
      <c r="AU342" t="s">
        <v>490</v>
      </c>
      <c r="AV342" t="s">
        <v>511</v>
      </c>
      <c r="AW342" t="s">
        <v>486</v>
      </c>
      <c r="BF342" s="1"/>
      <c r="BG342" t="s">
        <v>71</v>
      </c>
      <c r="BH342" t="s">
        <v>487</v>
      </c>
      <c r="BP342" t="s">
        <v>1489</v>
      </c>
      <c r="BQ342" t="s">
        <v>511</v>
      </c>
    </row>
    <row r="343" spans="1:69" x14ac:dyDescent="0.25">
      <c r="A343" t="s">
        <v>5713</v>
      </c>
      <c r="B343" t="s">
        <v>474</v>
      </c>
      <c r="C343" t="s">
        <v>2215</v>
      </c>
      <c r="E343" t="s">
        <v>480</v>
      </c>
      <c r="G343" s="1" t="s">
        <v>2216</v>
      </c>
      <c r="H343" t="s">
        <v>492</v>
      </c>
      <c r="J343">
        <v>400015</v>
      </c>
      <c r="M343" t="s">
        <v>1418</v>
      </c>
      <c r="P343" t="s">
        <v>165</v>
      </c>
      <c r="R343" t="s">
        <v>1460</v>
      </c>
      <c r="S343" t="s">
        <v>2220</v>
      </c>
      <c r="T343" t="s">
        <v>2221</v>
      </c>
      <c r="V343" t="s">
        <v>477</v>
      </c>
      <c r="W343" t="s">
        <v>70</v>
      </c>
      <c r="AE343" t="s">
        <v>478</v>
      </c>
      <c r="AF343" t="s">
        <v>479</v>
      </c>
      <c r="AL343">
        <v>1708.4880000000001</v>
      </c>
      <c r="AM343" t="s">
        <v>2222</v>
      </c>
      <c r="AO343" t="s">
        <v>480</v>
      </c>
      <c r="AP343" t="s">
        <v>481</v>
      </c>
      <c r="AQ343" t="s">
        <v>752</v>
      </c>
      <c r="AR343" t="s">
        <v>482</v>
      </c>
      <c r="AS343" t="s">
        <v>483</v>
      </c>
      <c r="AT343" t="s">
        <v>484</v>
      </c>
      <c r="AU343" t="s">
        <v>490</v>
      </c>
      <c r="AV343" t="s">
        <v>511</v>
      </c>
      <c r="AW343" t="s">
        <v>486</v>
      </c>
      <c r="BF343" s="1"/>
      <c r="BG343" t="s">
        <v>71</v>
      </c>
      <c r="BH343" t="s">
        <v>487</v>
      </c>
      <c r="BP343" t="s">
        <v>1489</v>
      </c>
      <c r="BQ343" t="s">
        <v>511</v>
      </c>
    </row>
    <row r="344" spans="1:69" x14ac:dyDescent="0.25">
      <c r="A344" t="s">
        <v>5713</v>
      </c>
      <c r="B344" t="s">
        <v>474</v>
      </c>
      <c r="C344" t="s">
        <v>2215</v>
      </c>
      <c r="E344" t="s">
        <v>480</v>
      </c>
      <c r="G344" s="1" t="s">
        <v>2216</v>
      </c>
      <c r="H344" t="s">
        <v>498</v>
      </c>
      <c r="J344">
        <v>400015</v>
      </c>
      <c r="M344" t="s">
        <v>1419</v>
      </c>
      <c r="P344" t="s">
        <v>131</v>
      </c>
      <c r="R344" t="s">
        <v>512</v>
      </c>
      <c r="S344" t="s">
        <v>513</v>
      </c>
      <c r="T344" t="s">
        <v>514</v>
      </c>
      <c r="V344" t="s">
        <v>477</v>
      </c>
      <c r="W344" t="s">
        <v>70</v>
      </c>
      <c r="AE344" t="s">
        <v>478</v>
      </c>
      <c r="AF344" t="s">
        <v>479</v>
      </c>
      <c r="AL344">
        <v>4162.32</v>
      </c>
      <c r="AM344" t="s">
        <v>515</v>
      </c>
      <c r="AO344" t="s">
        <v>480</v>
      </c>
      <c r="AP344" t="s">
        <v>481</v>
      </c>
      <c r="AQ344" t="s">
        <v>516</v>
      </c>
      <c r="AR344" t="s">
        <v>482</v>
      </c>
      <c r="AS344" t="s">
        <v>483</v>
      </c>
      <c r="AT344" t="s">
        <v>484</v>
      </c>
      <c r="AU344" t="s">
        <v>490</v>
      </c>
      <c r="AV344" t="s">
        <v>511</v>
      </c>
      <c r="AW344" t="s">
        <v>486</v>
      </c>
      <c r="BF344" s="1"/>
      <c r="BG344" t="s">
        <v>71</v>
      </c>
      <c r="BH344" t="s">
        <v>487</v>
      </c>
      <c r="BP344" t="s">
        <v>1489</v>
      </c>
      <c r="BQ344" t="s">
        <v>511</v>
      </c>
    </row>
    <row r="345" spans="1:69" x14ac:dyDescent="0.25">
      <c r="A345" t="s">
        <v>5713</v>
      </c>
      <c r="B345" t="s">
        <v>474</v>
      </c>
      <c r="C345" t="s">
        <v>2215</v>
      </c>
      <c r="E345" t="s">
        <v>480</v>
      </c>
      <c r="G345" s="1" t="s">
        <v>2216</v>
      </c>
      <c r="H345" t="s">
        <v>500</v>
      </c>
      <c r="J345">
        <v>400015</v>
      </c>
      <c r="M345" t="s">
        <v>1419</v>
      </c>
      <c r="P345" t="s">
        <v>131</v>
      </c>
      <c r="R345" t="s">
        <v>512</v>
      </c>
      <c r="S345" t="s">
        <v>513</v>
      </c>
      <c r="T345" t="s">
        <v>514</v>
      </c>
      <c r="V345" t="s">
        <v>477</v>
      </c>
      <c r="W345" t="s">
        <v>70</v>
      </c>
      <c r="AE345" t="s">
        <v>478</v>
      </c>
      <c r="AF345" t="s">
        <v>479</v>
      </c>
      <c r="AL345">
        <v>4162.32</v>
      </c>
      <c r="AM345" t="s">
        <v>515</v>
      </c>
      <c r="AO345" t="s">
        <v>480</v>
      </c>
      <c r="AP345" t="s">
        <v>481</v>
      </c>
      <c r="AQ345" t="s">
        <v>516</v>
      </c>
      <c r="AR345" t="s">
        <v>482</v>
      </c>
      <c r="AS345" t="s">
        <v>483</v>
      </c>
      <c r="AT345" t="s">
        <v>484</v>
      </c>
      <c r="AU345" t="s">
        <v>490</v>
      </c>
      <c r="AV345" t="s">
        <v>511</v>
      </c>
      <c r="AW345" t="s">
        <v>486</v>
      </c>
      <c r="BF345" s="1"/>
      <c r="BG345" t="s">
        <v>71</v>
      </c>
      <c r="BH345" t="s">
        <v>487</v>
      </c>
      <c r="BP345" t="s">
        <v>1489</v>
      </c>
      <c r="BQ345" t="s">
        <v>511</v>
      </c>
    </row>
    <row r="346" spans="1:69" x14ac:dyDescent="0.25">
      <c r="A346" t="s">
        <v>5713</v>
      </c>
      <c r="B346" t="s">
        <v>474</v>
      </c>
      <c r="C346" t="s">
        <v>2223</v>
      </c>
      <c r="E346" t="s">
        <v>480</v>
      </c>
      <c r="G346" s="1" t="s">
        <v>2224</v>
      </c>
      <c r="H346" t="s">
        <v>476</v>
      </c>
      <c r="J346">
        <v>400015</v>
      </c>
      <c r="M346" t="s">
        <v>1422</v>
      </c>
      <c r="P346" t="s">
        <v>120</v>
      </c>
      <c r="R346" t="s">
        <v>582</v>
      </c>
      <c r="S346" t="s">
        <v>2225</v>
      </c>
      <c r="T346" t="s">
        <v>2226</v>
      </c>
      <c r="V346" t="s">
        <v>477</v>
      </c>
      <c r="W346" t="s">
        <v>73</v>
      </c>
      <c r="AE346" t="s">
        <v>478</v>
      </c>
      <c r="AF346" t="s">
        <v>479</v>
      </c>
      <c r="AL346">
        <v>48.312000000000005</v>
      </c>
      <c r="AM346" t="s">
        <v>638</v>
      </c>
      <c r="AO346" t="s">
        <v>480</v>
      </c>
      <c r="AP346" t="s">
        <v>481</v>
      </c>
      <c r="AQ346" t="s">
        <v>632</v>
      </c>
      <c r="AR346" t="s">
        <v>482</v>
      </c>
      <c r="AS346" t="s">
        <v>483</v>
      </c>
      <c r="AT346" t="s">
        <v>484</v>
      </c>
      <c r="AU346" t="s">
        <v>521</v>
      </c>
      <c r="AV346" t="s">
        <v>522</v>
      </c>
      <c r="AW346" t="s">
        <v>486</v>
      </c>
      <c r="BF346" s="1"/>
      <c r="BG346" t="s">
        <v>523</v>
      </c>
      <c r="BH346" t="s">
        <v>487</v>
      </c>
      <c r="BP346" t="s">
        <v>1489</v>
      </c>
      <c r="BQ346" t="s">
        <v>522</v>
      </c>
    </row>
    <row r="347" spans="1:69" x14ac:dyDescent="0.25">
      <c r="A347" t="s">
        <v>5713</v>
      </c>
      <c r="B347" t="s">
        <v>474</v>
      </c>
      <c r="C347" t="s">
        <v>2223</v>
      </c>
      <c r="E347" t="s">
        <v>480</v>
      </c>
      <c r="G347" s="1" t="s">
        <v>2224</v>
      </c>
      <c r="H347" t="s">
        <v>492</v>
      </c>
      <c r="J347">
        <v>400015</v>
      </c>
      <c r="M347" t="s">
        <v>1421</v>
      </c>
      <c r="P347" t="s">
        <v>126</v>
      </c>
      <c r="R347" t="s">
        <v>518</v>
      </c>
      <c r="S347" t="s">
        <v>2227</v>
      </c>
      <c r="T347" t="s">
        <v>2228</v>
      </c>
      <c r="V347" t="s">
        <v>477</v>
      </c>
      <c r="W347" t="s">
        <v>73</v>
      </c>
      <c r="AE347" t="s">
        <v>478</v>
      </c>
      <c r="AF347" t="s">
        <v>479</v>
      </c>
      <c r="AL347">
        <v>45.873000000000005</v>
      </c>
      <c r="AM347" t="s">
        <v>535</v>
      </c>
      <c r="AO347" t="s">
        <v>480</v>
      </c>
      <c r="AP347" t="s">
        <v>481</v>
      </c>
      <c r="AQ347" t="s">
        <v>639</v>
      </c>
      <c r="AR347" t="s">
        <v>482</v>
      </c>
      <c r="AS347" t="s">
        <v>483</v>
      </c>
      <c r="AT347" t="s">
        <v>484</v>
      </c>
      <c r="AU347" t="s">
        <v>521</v>
      </c>
      <c r="AV347" t="s">
        <v>522</v>
      </c>
      <c r="AW347" t="s">
        <v>486</v>
      </c>
      <c r="BF347" s="1"/>
      <c r="BG347" t="s">
        <v>523</v>
      </c>
      <c r="BH347" t="s">
        <v>487</v>
      </c>
      <c r="BP347" t="s">
        <v>1489</v>
      </c>
      <c r="BQ347" t="s">
        <v>522</v>
      </c>
    </row>
    <row r="348" spans="1:69" x14ac:dyDescent="0.25">
      <c r="A348" t="s">
        <v>5713</v>
      </c>
      <c r="B348" t="s">
        <v>474</v>
      </c>
      <c r="C348" t="s">
        <v>2223</v>
      </c>
      <c r="E348" t="s">
        <v>480</v>
      </c>
      <c r="G348" s="1" t="s">
        <v>2224</v>
      </c>
      <c r="H348" t="s">
        <v>498</v>
      </c>
      <c r="J348">
        <v>400015</v>
      </c>
      <c r="M348" t="s">
        <v>1414</v>
      </c>
      <c r="P348" t="s">
        <v>169</v>
      </c>
      <c r="R348" t="s">
        <v>1436</v>
      </c>
      <c r="S348" t="s">
        <v>2229</v>
      </c>
      <c r="T348" t="s">
        <v>2230</v>
      </c>
      <c r="V348" t="s">
        <v>477</v>
      </c>
      <c r="W348" t="s">
        <v>73</v>
      </c>
      <c r="AE348" t="s">
        <v>478</v>
      </c>
      <c r="AF348" t="s">
        <v>479</v>
      </c>
      <c r="AL348">
        <v>3443.1120000000001</v>
      </c>
      <c r="AM348" t="s">
        <v>2231</v>
      </c>
      <c r="AO348" t="s">
        <v>480</v>
      </c>
      <c r="AP348" t="s">
        <v>481</v>
      </c>
      <c r="AQ348" t="s">
        <v>852</v>
      </c>
      <c r="AR348" t="s">
        <v>482</v>
      </c>
      <c r="AS348" t="s">
        <v>483</v>
      </c>
      <c r="AT348" t="s">
        <v>484</v>
      </c>
      <c r="AU348" t="s">
        <v>521</v>
      </c>
      <c r="AV348" t="s">
        <v>522</v>
      </c>
      <c r="AW348" t="s">
        <v>486</v>
      </c>
      <c r="BF348" s="1"/>
      <c r="BG348" t="s">
        <v>523</v>
      </c>
      <c r="BH348" t="s">
        <v>487</v>
      </c>
      <c r="BP348" t="s">
        <v>1489</v>
      </c>
      <c r="BQ348" t="s">
        <v>522</v>
      </c>
    </row>
    <row r="349" spans="1:69" x14ac:dyDescent="0.25">
      <c r="A349" t="s">
        <v>5713</v>
      </c>
      <c r="B349" t="s">
        <v>474</v>
      </c>
      <c r="C349" t="s">
        <v>2223</v>
      </c>
      <c r="E349" t="s">
        <v>480</v>
      </c>
      <c r="G349" s="1" t="s">
        <v>2224</v>
      </c>
      <c r="H349" t="s">
        <v>500</v>
      </c>
      <c r="J349">
        <v>400015</v>
      </c>
      <c r="M349" t="s">
        <v>1416</v>
      </c>
      <c r="P349" t="s">
        <v>135</v>
      </c>
      <c r="R349" t="s">
        <v>653</v>
      </c>
      <c r="S349" t="s">
        <v>2232</v>
      </c>
      <c r="T349" t="s">
        <v>2233</v>
      </c>
      <c r="V349" t="s">
        <v>477</v>
      </c>
      <c r="W349" t="s">
        <v>73</v>
      </c>
      <c r="AE349" t="s">
        <v>478</v>
      </c>
      <c r="AF349" t="s">
        <v>479</v>
      </c>
      <c r="AL349">
        <v>100.32400000000001</v>
      </c>
      <c r="AM349" t="s">
        <v>671</v>
      </c>
      <c r="AO349" t="s">
        <v>480</v>
      </c>
      <c r="AP349" t="s">
        <v>481</v>
      </c>
      <c r="AQ349" t="s">
        <v>574</v>
      </c>
      <c r="AR349" t="s">
        <v>482</v>
      </c>
      <c r="AS349" t="s">
        <v>483</v>
      </c>
      <c r="AT349" t="s">
        <v>484</v>
      </c>
      <c r="AU349" t="s">
        <v>521</v>
      </c>
      <c r="AV349" t="s">
        <v>522</v>
      </c>
      <c r="AW349" t="s">
        <v>486</v>
      </c>
      <c r="BF349" s="1"/>
      <c r="BG349" t="s">
        <v>523</v>
      </c>
      <c r="BH349" t="s">
        <v>487</v>
      </c>
      <c r="BP349" t="s">
        <v>1489</v>
      </c>
      <c r="BQ349" t="s">
        <v>522</v>
      </c>
    </row>
    <row r="350" spans="1:69" x14ac:dyDescent="0.25">
      <c r="A350" t="s">
        <v>5713</v>
      </c>
      <c r="B350" t="s">
        <v>474</v>
      </c>
      <c r="C350" t="s">
        <v>2223</v>
      </c>
      <c r="E350" t="s">
        <v>480</v>
      </c>
      <c r="G350" s="1" t="s">
        <v>2224</v>
      </c>
      <c r="H350" t="s">
        <v>517</v>
      </c>
      <c r="J350">
        <v>400015</v>
      </c>
      <c r="M350" t="s">
        <v>1425</v>
      </c>
      <c r="P350" t="s">
        <v>170</v>
      </c>
      <c r="R350" t="s">
        <v>741</v>
      </c>
      <c r="S350" t="s">
        <v>2234</v>
      </c>
      <c r="T350" t="s">
        <v>2235</v>
      </c>
      <c r="V350" t="s">
        <v>477</v>
      </c>
      <c r="W350" t="s">
        <v>73</v>
      </c>
      <c r="AE350" t="s">
        <v>478</v>
      </c>
      <c r="AF350" t="s">
        <v>479</v>
      </c>
      <c r="AL350">
        <v>218.68399999999997</v>
      </c>
      <c r="AM350" t="s">
        <v>2236</v>
      </c>
      <c r="AO350" t="s">
        <v>480</v>
      </c>
      <c r="AP350" t="s">
        <v>481</v>
      </c>
      <c r="AQ350" t="s">
        <v>854</v>
      </c>
      <c r="AR350" t="s">
        <v>482</v>
      </c>
      <c r="AS350" t="s">
        <v>483</v>
      </c>
      <c r="AT350" t="s">
        <v>484</v>
      </c>
      <c r="AU350" t="s">
        <v>521</v>
      </c>
      <c r="AV350" t="s">
        <v>522</v>
      </c>
      <c r="AW350" t="s">
        <v>486</v>
      </c>
      <c r="BF350" s="1"/>
      <c r="BG350" t="s">
        <v>523</v>
      </c>
      <c r="BH350" t="s">
        <v>487</v>
      </c>
      <c r="BP350" t="s">
        <v>1489</v>
      </c>
      <c r="BQ350" t="s">
        <v>522</v>
      </c>
    </row>
    <row r="351" spans="1:69" x14ac:dyDescent="0.25">
      <c r="A351" t="s">
        <v>5713</v>
      </c>
      <c r="B351" t="s">
        <v>474</v>
      </c>
      <c r="C351" t="s">
        <v>2223</v>
      </c>
      <c r="E351" t="s">
        <v>480</v>
      </c>
      <c r="G351" s="1" t="s">
        <v>2224</v>
      </c>
      <c r="H351" t="s">
        <v>537</v>
      </c>
      <c r="J351">
        <v>400015</v>
      </c>
      <c r="M351" t="s">
        <v>1423</v>
      </c>
      <c r="P351" t="s">
        <v>147</v>
      </c>
      <c r="R351" t="s">
        <v>590</v>
      </c>
      <c r="S351" t="s">
        <v>814</v>
      </c>
      <c r="T351" t="s">
        <v>815</v>
      </c>
      <c r="V351" t="s">
        <v>477</v>
      </c>
      <c r="W351" t="s">
        <v>73</v>
      </c>
      <c r="AE351" t="s">
        <v>478</v>
      </c>
      <c r="AF351" t="s">
        <v>479</v>
      </c>
      <c r="AL351">
        <v>15.39</v>
      </c>
      <c r="AM351" t="s">
        <v>816</v>
      </c>
      <c r="AO351" t="s">
        <v>480</v>
      </c>
      <c r="AP351" t="s">
        <v>481</v>
      </c>
      <c r="AQ351" t="s">
        <v>688</v>
      </c>
      <c r="AR351" t="s">
        <v>482</v>
      </c>
      <c r="AS351" t="s">
        <v>483</v>
      </c>
      <c r="AT351" t="s">
        <v>484</v>
      </c>
      <c r="AU351" t="s">
        <v>521</v>
      </c>
      <c r="AV351" t="s">
        <v>522</v>
      </c>
      <c r="AW351" t="s">
        <v>486</v>
      </c>
      <c r="BF351" s="1"/>
      <c r="BG351" t="s">
        <v>523</v>
      </c>
      <c r="BH351" t="s">
        <v>487</v>
      </c>
      <c r="BP351" t="s">
        <v>1489</v>
      </c>
      <c r="BQ351" t="s">
        <v>522</v>
      </c>
    </row>
    <row r="352" spans="1:69" x14ac:dyDescent="0.25">
      <c r="A352" t="s">
        <v>5713</v>
      </c>
      <c r="B352" t="s">
        <v>474</v>
      </c>
      <c r="C352" t="s">
        <v>2223</v>
      </c>
      <c r="E352" t="s">
        <v>480</v>
      </c>
      <c r="G352" s="1" t="s">
        <v>2224</v>
      </c>
      <c r="H352" t="s">
        <v>542</v>
      </c>
      <c r="J352">
        <v>400015</v>
      </c>
      <c r="M352" t="s">
        <v>1414</v>
      </c>
      <c r="P352" t="s">
        <v>148</v>
      </c>
      <c r="R352" t="s">
        <v>529</v>
      </c>
      <c r="S352" t="s">
        <v>2237</v>
      </c>
      <c r="T352" t="s">
        <v>2238</v>
      </c>
      <c r="V352" t="s">
        <v>477</v>
      </c>
      <c r="W352" t="s">
        <v>73</v>
      </c>
      <c r="AE352" t="s">
        <v>478</v>
      </c>
      <c r="AF352" t="s">
        <v>479</v>
      </c>
      <c r="AL352">
        <v>71.792000000000002</v>
      </c>
      <c r="AM352" t="s">
        <v>2239</v>
      </c>
      <c r="AO352" t="s">
        <v>480</v>
      </c>
      <c r="AP352" t="s">
        <v>481</v>
      </c>
      <c r="AQ352" t="s">
        <v>591</v>
      </c>
      <c r="AR352" t="s">
        <v>482</v>
      </c>
      <c r="AS352" t="s">
        <v>483</v>
      </c>
      <c r="AT352" t="s">
        <v>484</v>
      </c>
      <c r="AU352" t="s">
        <v>521</v>
      </c>
      <c r="AV352" t="s">
        <v>522</v>
      </c>
      <c r="AW352" t="s">
        <v>486</v>
      </c>
      <c r="BF352" s="1"/>
      <c r="BG352" t="s">
        <v>523</v>
      </c>
      <c r="BH352" t="s">
        <v>487</v>
      </c>
      <c r="BP352" t="s">
        <v>1489</v>
      </c>
      <c r="BQ352" t="s">
        <v>522</v>
      </c>
    </row>
    <row r="353" spans="1:69" x14ac:dyDescent="0.25">
      <c r="A353" t="s">
        <v>5713</v>
      </c>
      <c r="B353" t="s">
        <v>474</v>
      </c>
      <c r="C353" t="s">
        <v>2223</v>
      </c>
      <c r="E353" t="s">
        <v>480</v>
      </c>
      <c r="G353" s="1" t="s">
        <v>2224</v>
      </c>
      <c r="H353" t="s">
        <v>546</v>
      </c>
      <c r="J353">
        <v>400015</v>
      </c>
      <c r="M353" t="s">
        <v>1422</v>
      </c>
      <c r="P353" t="s">
        <v>77</v>
      </c>
      <c r="R353" t="s">
        <v>672</v>
      </c>
      <c r="S353" t="s">
        <v>2240</v>
      </c>
      <c r="T353" t="s">
        <v>2241</v>
      </c>
      <c r="V353" t="s">
        <v>477</v>
      </c>
      <c r="W353" t="s">
        <v>73</v>
      </c>
      <c r="AE353" t="s">
        <v>478</v>
      </c>
      <c r="AF353" t="s">
        <v>479</v>
      </c>
      <c r="AL353">
        <v>437.476</v>
      </c>
      <c r="AM353" t="s">
        <v>673</v>
      </c>
      <c r="AO353" t="s">
        <v>480</v>
      </c>
      <c r="AP353" t="s">
        <v>481</v>
      </c>
      <c r="AQ353" t="s">
        <v>533</v>
      </c>
      <c r="AR353" t="s">
        <v>482</v>
      </c>
      <c r="AS353" t="s">
        <v>483</v>
      </c>
      <c r="AT353" t="s">
        <v>484</v>
      </c>
      <c r="AU353" t="s">
        <v>521</v>
      </c>
      <c r="AV353" t="s">
        <v>522</v>
      </c>
      <c r="AW353" t="s">
        <v>486</v>
      </c>
      <c r="BF353" s="1"/>
      <c r="BG353" t="s">
        <v>523</v>
      </c>
      <c r="BH353" t="s">
        <v>487</v>
      </c>
      <c r="BP353" t="s">
        <v>1489</v>
      </c>
      <c r="BQ353" t="s">
        <v>522</v>
      </c>
    </row>
    <row r="354" spans="1:69" x14ac:dyDescent="0.25">
      <c r="A354" t="s">
        <v>5713</v>
      </c>
      <c r="B354" t="s">
        <v>474</v>
      </c>
      <c r="C354" t="s">
        <v>2223</v>
      </c>
      <c r="E354" t="s">
        <v>480</v>
      </c>
      <c r="G354" s="1" t="s">
        <v>2224</v>
      </c>
      <c r="H354" t="s">
        <v>549</v>
      </c>
      <c r="J354">
        <v>400015</v>
      </c>
      <c r="M354" t="s">
        <v>1421</v>
      </c>
      <c r="P354" t="s">
        <v>154</v>
      </c>
      <c r="R354" t="s">
        <v>908</v>
      </c>
      <c r="S354" t="s">
        <v>2242</v>
      </c>
      <c r="T354" t="s">
        <v>2243</v>
      </c>
      <c r="V354" t="s">
        <v>477</v>
      </c>
      <c r="W354" t="s">
        <v>73</v>
      </c>
      <c r="AE354" t="s">
        <v>478</v>
      </c>
      <c r="AF354" t="s">
        <v>479</v>
      </c>
      <c r="AL354">
        <v>421.25599999999997</v>
      </c>
      <c r="AM354" t="s">
        <v>2134</v>
      </c>
      <c r="AO354" t="s">
        <v>480</v>
      </c>
      <c r="AP354" t="s">
        <v>481</v>
      </c>
      <c r="AQ354" t="s">
        <v>531</v>
      </c>
      <c r="AR354" t="s">
        <v>482</v>
      </c>
      <c r="AS354" t="s">
        <v>483</v>
      </c>
      <c r="AT354" t="s">
        <v>484</v>
      </c>
      <c r="AU354" t="s">
        <v>521</v>
      </c>
      <c r="AV354" t="s">
        <v>522</v>
      </c>
      <c r="AW354" t="s">
        <v>486</v>
      </c>
      <c r="BF354" s="1"/>
      <c r="BG354" t="s">
        <v>523</v>
      </c>
      <c r="BH354" t="s">
        <v>487</v>
      </c>
      <c r="BP354" t="s">
        <v>1489</v>
      </c>
      <c r="BQ354" t="s">
        <v>522</v>
      </c>
    </row>
    <row r="355" spans="1:69" x14ac:dyDescent="0.25">
      <c r="A355" t="s">
        <v>5713</v>
      </c>
      <c r="B355" t="s">
        <v>474</v>
      </c>
      <c r="C355" t="s">
        <v>2223</v>
      </c>
      <c r="E355" t="s">
        <v>480</v>
      </c>
      <c r="G355" s="1" t="s">
        <v>2224</v>
      </c>
      <c r="H355" t="s">
        <v>553</v>
      </c>
      <c r="J355">
        <v>400015</v>
      </c>
      <c r="M355" t="s">
        <v>1423</v>
      </c>
      <c r="P355" t="s">
        <v>140</v>
      </c>
      <c r="R355" t="s">
        <v>728</v>
      </c>
      <c r="S355" t="s">
        <v>2244</v>
      </c>
      <c r="T355" t="s">
        <v>2245</v>
      </c>
      <c r="V355" t="s">
        <v>477</v>
      </c>
      <c r="W355" t="s">
        <v>73</v>
      </c>
      <c r="AE355" t="s">
        <v>478</v>
      </c>
      <c r="AF355" t="s">
        <v>479</v>
      </c>
      <c r="AL355">
        <v>265.00799999999998</v>
      </c>
      <c r="AM355" t="s">
        <v>1497</v>
      </c>
      <c r="AO355" t="s">
        <v>480</v>
      </c>
      <c r="AP355" t="s">
        <v>481</v>
      </c>
      <c r="AQ355" t="s">
        <v>681</v>
      </c>
      <c r="AR355" t="s">
        <v>482</v>
      </c>
      <c r="AS355" t="s">
        <v>483</v>
      </c>
      <c r="AT355" t="s">
        <v>484</v>
      </c>
      <c r="AU355" t="s">
        <v>521</v>
      </c>
      <c r="AV355" t="s">
        <v>522</v>
      </c>
      <c r="AW355" t="s">
        <v>486</v>
      </c>
      <c r="BF355" s="1"/>
      <c r="BG355" t="s">
        <v>523</v>
      </c>
      <c r="BH355" t="s">
        <v>487</v>
      </c>
      <c r="BP355" t="s">
        <v>1489</v>
      </c>
      <c r="BQ355" t="s">
        <v>522</v>
      </c>
    </row>
    <row r="356" spans="1:69" x14ac:dyDescent="0.25">
      <c r="A356" t="s">
        <v>5713</v>
      </c>
      <c r="B356" t="s">
        <v>474</v>
      </c>
      <c r="C356" t="s">
        <v>2223</v>
      </c>
      <c r="E356" t="s">
        <v>480</v>
      </c>
      <c r="G356" s="1" t="s">
        <v>2224</v>
      </c>
      <c r="H356" t="s">
        <v>556</v>
      </c>
      <c r="J356">
        <v>400015</v>
      </c>
      <c r="M356" t="s">
        <v>1414</v>
      </c>
      <c r="P356" t="s">
        <v>169</v>
      </c>
      <c r="R356" t="s">
        <v>1437</v>
      </c>
      <c r="S356" t="s">
        <v>2246</v>
      </c>
      <c r="T356" t="s">
        <v>2247</v>
      </c>
      <c r="V356" t="s">
        <v>477</v>
      </c>
      <c r="W356" t="s">
        <v>73</v>
      </c>
      <c r="AE356" t="s">
        <v>478</v>
      </c>
      <c r="AF356" t="s">
        <v>479</v>
      </c>
      <c r="AL356">
        <v>1667.1390000000001</v>
      </c>
      <c r="AM356" t="s">
        <v>2248</v>
      </c>
      <c r="AO356" t="s">
        <v>480</v>
      </c>
      <c r="AP356" t="s">
        <v>481</v>
      </c>
      <c r="AQ356" t="s">
        <v>852</v>
      </c>
      <c r="AR356" t="s">
        <v>482</v>
      </c>
      <c r="AS356" t="s">
        <v>483</v>
      </c>
      <c r="AT356" t="s">
        <v>484</v>
      </c>
      <c r="AU356" t="s">
        <v>521</v>
      </c>
      <c r="AV356" t="s">
        <v>522</v>
      </c>
      <c r="AW356" t="s">
        <v>486</v>
      </c>
      <c r="BF356" s="1"/>
      <c r="BG356" t="s">
        <v>523</v>
      </c>
      <c r="BH356" t="s">
        <v>487</v>
      </c>
      <c r="BP356" t="s">
        <v>1489</v>
      </c>
      <c r="BQ356" t="s">
        <v>522</v>
      </c>
    </row>
    <row r="357" spans="1:69" x14ac:dyDescent="0.25">
      <c r="A357" t="s">
        <v>5713</v>
      </c>
      <c r="B357" t="s">
        <v>474</v>
      </c>
      <c r="C357" t="s">
        <v>2223</v>
      </c>
      <c r="E357" t="s">
        <v>480</v>
      </c>
      <c r="G357" s="1" t="s">
        <v>2224</v>
      </c>
      <c r="H357" t="s">
        <v>559</v>
      </c>
      <c r="J357">
        <v>400015</v>
      </c>
      <c r="M357" t="s">
        <v>1420</v>
      </c>
      <c r="P357" t="s">
        <v>103</v>
      </c>
      <c r="R357" t="s">
        <v>565</v>
      </c>
      <c r="S357" t="s">
        <v>2249</v>
      </c>
      <c r="T357" t="s">
        <v>2250</v>
      </c>
      <c r="V357" t="s">
        <v>477</v>
      </c>
      <c r="W357" t="s">
        <v>73</v>
      </c>
      <c r="AE357" t="s">
        <v>478</v>
      </c>
      <c r="AF357" t="s">
        <v>479</v>
      </c>
      <c r="AL357">
        <v>60.84</v>
      </c>
      <c r="AM357" t="s">
        <v>606</v>
      </c>
      <c r="AO357" t="s">
        <v>480</v>
      </c>
      <c r="AP357" t="s">
        <v>481</v>
      </c>
      <c r="AQ357" t="s">
        <v>545</v>
      </c>
      <c r="AR357" t="s">
        <v>482</v>
      </c>
      <c r="AS357" t="s">
        <v>483</v>
      </c>
      <c r="AT357" t="s">
        <v>484</v>
      </c>
      <c r="AU357" t="s">
        <v>521</v>
      </c>
      <c r="AV357" t="s">
        <v>522</v>
      </c>
      <c r="AW357" t="s">
        <v>486</v>
      </c>
      <c r="BF357" s="1"/>
      <c r="BG357" t="s">
        <v>523</v>
      </c>
      <c r="BH357" t="s">
        <v>487</v>
      </c>
      <c r="BP357" t="s">
        <v>1489</v>
      </c>
      <c r="BQ357" t="s">
        <v>522</v>
      </c>
    </row>
    <row r="358" spans="1:69" x14ac:dyDescent="0.25">
      <c r="A358" t="s">
        <v>5713</v>
      </c>
      <c r="B358" t="s">
        <v>474</v>
      </c>
      <c r="C358" t="s">
        <v>2223</v>
      </c>
      <c r="E358" t="s">
        <v>480</v>
      </c>
      <c r="G358" s="1" t="s">
        <v>2224</v>
      </c>
      <c r="H358" t="s">
        <v>562</v>
      </c>
      <c r="J358">
        <v>400015</v>
      </c>
      <c r="M358" t="s">
        <v>1420</v>
      </c>
      <c r="P358" t="s">
        <v>156</v>
      </c>
      <c r="R358" t="s">
        <v>518</v>
      </c>
      <c r="S358" t="s">
        <v>856</v>
      </c>
      <c r="T358" t="s">
        <v>857</v>
      </c>
      <c r="V358" t="s">
        <v>477</v>
      </c>
      <c r="W358" t="s">
        <v>73</v>
      </c>
      <c r="AE358" t="s">
        <v>478</v>
      </c>
      <c r="AF358" t="s">
        <v>479</v>
      </c>
      <c r="AL358">
        <v>50.841000000000001</v>
      </c>
      <c r="AM358" t="s">
        <v>792</v>
      </c>
      <c r="AO358" t="s">
        <v>480</v>
      </c>
      <c r="AP358" t="s">
        <v>481</v>
      </c>
      <c r="AQ358" t="s">
        <v>615</v>
      </c>
      <c r="AR358" t="s">
        <v>482</v>
      </c>
      <c r="AS358" t="s">
        <v>483</v>
      </c>
      <c r="AT358" t="s">
        <v>484</v>
      </c>
      <c r="AU358" t="s">
        <v>521</v>
      </c>
      <c r="AV358" t="s">
        <v>522</v>
      </c>
      <c r="AW358" t="s">
        <v>486</v>
      </c>
      <c r="BF358" s="1"/>
      <c r="BG358" t="s">
        <v>523</v>
      </c>
      <c r="BH358" t="s">
        <v>487</v>
      </c>
      <c r="BP358" t="s">
        <v>1489</v>
      </c>
      <c r="BQ358" t="s">
        <v>522</v>
      </c>
    </row>
    <row r="359" spans="1:69" x14ac:dyDescent="0.25">
      <c r="A359" t="s">
        <v>5713</v>
      </c>
      <c r="B359" t="s">
        <v>474</v>
      </c>
      <c r="C359" t="s">
        <v>2223</v>
      </c>
      <c r="E359" t="s">
        <v>480</v>
      </c>
      <c r="G359" s="1" t="s">
        <v>2224</v>
      </c>
      <c r="H359" t="s">
        <v>564</v>
      </c>
      <c r="J359">
        <v>400015</v>
      </c>
      <c r="M359" t="s">
        <v>1420</v>
      </c>
      <c r="P359" t="s">
        <v>136</v>
      </c>
      <c r="R359" t="s">
        <v>739</v>
      </c>
      <c r="S359" t="s">
        <v>2251</v>
      </c>
      <c r="T359" t="s">
        <v>2252</v>
      </c>
      <c r="V359" t="s">
        <v>477</v>
      </c>
      <c r="W359" t="s">
        <v>73</v>
      </c>
      <c r="AE359" t="s">
        <v>478</v>
      </c>
      <c r="AF359" t="s">
        <v>479</v>
      </c>
      <c r="AL359">
        <v>12.6</v>
      </c>
      <c r="AM359" t="s">
        <v>754</v>
      </c>
      <c r="AO359" t="s">
        <v>480</v>
      </c>
      <c r="AP359" t="s">
        <v>481</v>
      </c>
      <c r="AQ359" t="s">
        <v>790</v>
      </c>
      <c r="AR359" t="s">
        <v>482</v>
      </c>
      <c r="AS359" t="s">
        <v>483</v>
      </c>
      <c r="AT359" t="s">
        <v>484</v>
      </c>
      <c r="AU359" t="s">
        <v>521</v>
      </c>
      <c r="AV359" t="s">
        <v>522</v>
      </c>
      <c r="AW359" t="s">
        <v>486</v>
      </c>
      <c r="BF359" s="1"/>
      <c r="BG359" t="s">
        <v>523</v>
      </c>
      <c r="BH359" t="s">
        <v>487</v>
      </c>
      <c r="BP359" t="s">
        <v>1489</v>
      </c>
      <c r="BQ359" t="s">
        <v>522</v>
      </c>
    </row>
    <row r="360" spans="1:69" x14ac:dyDescent="0.25">
      <c r="A360" t="s">
        <v>5713</v>
      </c>
      <c r="B360" t="s">
        <v>474</v>
      </c>
      <c r="C360" t="s">
        <v>2223</v>
      </c>
      <c r="E360" t="s">
        <v>480</v>
      </c>
      <c r="G360" s="1" t="s">
        <v>2224</v>
      </c>
      <c r="H360" t="s">
        <v>567</v>
      </c>
      <c r="J360">
        <v>400015</v>
      </c>
      <c r="M360" t="s">
        <v>1426</v>
      </c>
      <c r="P360" t="s">
        <v>114</v>
      </c>
      <c r="R360" t="s">
        <v>529</v>
      </c>
      <c r="S360" t="s">
        <v>2253</v>
      </c>
      <c r="T360" t="s">
        <v>2254</v>
      </c>
      <c r="V360" t="s">
        <v>477</v>
      </c>
      <c r="W360" t="s">
        <v>73</v>
      </c>
      <c r="AE360" t="s">
        <v>478</v>
      </c>
      <c r="AF360" t="s">
        <v>479</v>
      </c>
      <c r="AL360">
        <v>79.52</v>
      </c>
      <c r="AM360" t="s">
        <v>1838</v>
      </c>
      <c r="AO360" t="s">
        <v>480</v>
      </c>
      <c r="AP360" t="s">
        <v>481</v>
      </c>
      <c r="AQ360" t="s">
        <v>584</v>
      </c>
      <c r="AR360" t="s">
        <v>482</v>
      </c>
      <c r="AS360" t="s">
        <v>483</v>
      </c>
      <c r="AT360" t="s">
        <v>484</v>
      </c>
      <c r="AU360" t="s">
        <v>521</v>
      </c>
      <c r="AV360" t="s">
        <v>522</v>
      </c>
      <c r="AW360" t="s">
        <v>486</v>
      </c>
      <c r="BF360" s="1"/>
      <c r="BG360" t="s">
        <v>523</v>
      </c>
      <c r="BH360" t="s">
        <v>487</v>
      </c>
      <c r="BP360" t="s">
        <v>1489</v>
      </c>
      <c r="BQ360" t="s">
        <v>522</v>
      </c>
    </row>
    <row r="361" spans="1:69" x14ac:dyDescent="0.25">
      <c r="A361" t="s">
        <v>5713</v>
      </c>
      <c r="B361" t="s">
        <v>474</v>
      </c>
      <c r="C361" t="s">
        <v>2223</v>
      </c>
      <c r="E361" t="s">
        <v>480</v>
      </c>
      <c r="G361" s="1" t="s">
        <v>2224</v>
      </c>
      <c r="H361" t="s">
        <v>571</v>
      </c>
      <c r="J361">
        <v>400015</v>
      </c>
      <c r="M361" t="s">
        <v>1422</v>
      </c>
      <c r="P361" t="s">
        <v>75</v>
      </c>
      <c r="R361" t="s">
        <v>804</v>
      </c>
      <c r="S361" t="s">
        <v>2255</v>
      </c>
      <c r="T361" t="s">
        <v>2256</v>
      </c>
      <c r="V361" t="s">
        <v>477</v>
      </c>
      <c r="W361" t="s">
        <v>73</v>
      </c>
      <c r="AE361" t="s">
        <v>478</v>
      </c>
      <c r="AF361" t="s">
        <v>479</v>
      </c>
      <c r="AL361">
        <v>122.26400000000001</v>
      </c>
      <c r="AM361" t="s">
        <v>828</v>
      </c>
      <c r="AO361" t="s">
        <v>480</v>
      </c>
      <c r="AP361" t="s">
        <v>481</v>
      </c>
      <c r="AQ361" t="s">
        <v>599</v>
      </c>
      <c r="AR361" t="s">
        <v>482</v>
      </c>
      <c r="AS361" t="s">
        <v>483</v>
      </c>
      <c r="AT361" t="s">
        <v>484</v>
      </c>
      <c r="AU361" t="s">
        <v>521</v>
      </c>
      <c r="AV361" t="s">
        <v>522</v>
      </c>
      <c r="AW361" t="s">
        <v>486</v>
      </c>
      <c r="BF361" s="1"/>
      <c r="BG361" t="s">
        <v>523</v>
      </c>
      <c r="BH361" t="s">
        <v>487</v>
      </c>
      <c r="BP361" t="s">
        <v>1489</v>
      </c>
      <c r="BQ361" t="s">
        <v>522</v>
      </c>
    </row>
    <row r="362" spans="1:69" x14ac:dyDescent="0.25">
      <c r="A362" t="s">
        <v>5713</v>
      </c>
      <c r="B362" t="s">
        <v>474</v>
      </c>
      <c r="C362" t="s">
        <v>2223</v>
      </c>
      <c r="E362" t="s">
        <v>475</v>
      </c>
      <c r="G362" s="1" t="s">
        <v>2257</v>
      </c>
      <c r="H362" t="s">
        <v>476</v>
      </c>
      <c r="J362">
        <v>400015</v>
      </c>
      <c r="M362" t="s">
        <v>1423</v>
      </c>
      <c r="P362" t="s">
        <v>118</v>
      </c>
      <c r="R362" t="s">
        <v>702</v>
      </c>
      <c r="S362" t="s">
        <v>703</v>
      </c>
      <c r="T362" t="s">
        <v>2258</v>
      </c>
      <c r="V362" t="s">
        <v>477</v>
      </c>
      <c r="W362" t="s">
        <v>235</v>
      </c>
      <c r="AE362" t="s">
        <v>478</v>
      </c>
      <c r="AF362" t="s">
        <v>479</v>
      </c>
      <c r="AL362">
        <v>3116.232</v>
      </c>
      <c r="AM362" t="s">
        <v>704</v>
      </c>
      <c r="AO362" t="s">
        <v>480</v>
      </c>
      <c r="AP362" t="s">
        <v>481</v>
      </c>
      <c r="AQ362" t="s">
        <v>705</v>
      </c>
      <c r="AR362" t="s">
        <v>482</v>
      </c>
      <c r="AS362" t="s">
        <v>483</v>
      </c>
      <c r="AT362" t="s">
        <v>484</v>
      </c>
      <c r="AU362" t="s">
        <v>130</v>
      </c>
      <c r="AV362" t="s">
        <v>485</v>
      </c>
      <c r="AW362" t="s">
        <v>486</v>
      </c>
      <c r="BF362" s="1"/>
      <c r="BG362" t="s">
        <v>266</v>
      </c>
      <c r="BH362" t="s">
        <v>487</v>
      </c>
      <c r="BP362" t="s">
        <v>1489</v>
      </c>
      <c r="BQ362" t="s">
        <v>485</v>
      </c>
    </row>
    <row r="363" spans="1:69" x14ac:dyDescent="0.25">
      <c r="A363" t="s">
        <v>5713</v>
      </c>
      <c r="B363" t="s">
        <v>474</v>
      </c>
      <c r="C363" t="s">
        <v>2259</v>
      </c>
      <c r="E363" t="s">
        <v>475</v>
      </c>
      <c r="G363" s="1" t="s">
        <v>2260</v>
      </c>
      <c r="H363" t="s">
        <v>476</v>
      </c>
      <c r="J363">
        <v>400015</v>
      </c>
      <c r="M363" t="s">
        <v>1425</v>
      </c>
      <c r="P363" t="s">
        <v>92</v>
      </c>
      <c r="R363" t="s">
        <v>710</v>
      </c>
      <c r="S363" t="s">
        <v>711</v>
      </c>
      <c r="T363" t="s">
        <v>2261</v>
      </c>
      <c r="V363" t="s">
        <v>477</v>
      </c>
      <c r="W363" t="s">
        <v>235</v>
      </c>
      <c r="AE363" t="s">
        <v>478</v>
      </c>
      <c r="AF363" t="s">
        <v>479</v>
      </c>
      <c r="AL363">
        <v>3690.6480000000001</v>
      </c>
      <c r="AM363" t="s">
        <v>712</v>
      </c>
      <c r="AO363" t="s">
        <v>480</v>
      </c>
      <c r="AP363" t="s">
        <v>481</v>
      </c>
      <c r="AQ363" t="s">
        <v>713</v>
      </c>
      <c r="AR363" t="s">
        <v>482</v>
      </c>
      <c r="AS363" t="s">
        <v>483</v>
      </c>
      <c r="AT363" t="s">
        <v>484</v>
      </c>
      <c r="AU363" t="s">
        <v>130</v>
      </c>
      <c r="AV363" t="s">
        <v>485</v>
      </c>
      <c r="AW363" t="s">
        <v>486</v>
      </c>
      <c r="BF363" s="1"/>
      <c r="BG363" t="s">
        <v>266</v>
      </c>
      <c r="BH363" t="s">
        <v>487</v>
      </c>
      <c r="BP363" t="s">
        <v>1489</v>
      </c>
      <c r="BQ363" t="s">
        <v>485</v>
      </c>
    </row>
    <row r="364" spans="1:69" x14ac:dyDescent="0.25">
      <c r="A364" t="s">
        <v>5713</v>
      </c>
      <c r="B364" t="s">
        <v>474</v>
      </c>
      <c r="C364" t="s">
        <v>2259</v>
      </c>
      <c r="E364" t="s">
        <v>475</v>
      </c>
      <c r="G364" s="1" t="s">
        <v>2260</v>
      </c>
      <c r="H364" t="s">
        <v>492</v>
      </c>
      <c r="J364">
        <v>400015</v>
      </c>
      <c r="M364" t="s">
        <v>1425</v>
      </c>
      <c r="P364" t="s">
        <v>92</v>
      </c>
      <c r="R364" t="s">
        <v>710</v>
      </c>
      <c r="S364" t="s">
        <v>711</v>
      </c>
      <c r="T364" t="s">
        <v>2262</v>
      </c>
      <c r="V364" t="s">
        <v>477</v>
      </c>
      <c r="W364" t="s">
        <v>235</v>
      </c>
      <c r="AE364" t="s">
        <v>478</v>
      </c>
      <c r="AF364" t="s">
        <v>479</v>
      </c>
      <c r="AL364">
        <v>3690.6480000000001</v>
      </c>
      <c r="AM364" t="s">
        <v>712</v>
      </c>
      <c r="AO364" t="s">
        <v>480</v>
      </c>
      <c r="AP364" t="s">
        <v>481</v>
      </c>
      <c r="AQ364" t="s">
        <v>713</v>
      </c>
      <c r="AR364" t="s">
        <v>482</v>
      </c>
      <c r="AS364" t="s">
        <v>483</v>
      </c>
      <c r="AT364" t="s">
        <v>484</v>
      </c>
      <c r="AU364" t="s">
        <v>130</v>
      </c>
      <c r="AV364" t="s">
        <v>485</v>
      </c>
      <c r="AW364" t="s">
        <v>486</v>
      </c>
      <c r="BF364" s="1"/>
      <c r="BG364" t="s">
        <v>266</v>
      </c>
      <c r="BH364" t="s">
        <v>487</v>
      </c>
      <c r="BP364" t="s">
        <v>1489</v>
      </c>
      <c r="BQ364" t="s">
        <v>485</v>
      </c>
    </row>
    <row r="365" spans="1:69" x14ac:dyDescent="0.25">
      <c r="A365" t="s">
        <v>5713</v>
      </c>
      <c r="B365" t="s">
        <v>474</v>
      </c>
      <c r="C365" t="s">
        <v>2259</v>
      </c>
      <c r="E365" t="s">
        <v>475</v>
      </c>
      <c r="G365" s="1" t="s">
        <v>2260</v>
      </c>
      <c r="H365" t="s">
        <v>498</v>
      </c>
      <c r="J365">
        <v>400015</v>
      </c>
      <c r="M365" t="s">
        <v>1425</v>
      </c>
      <c r="P365" t="s">
        <v>92</v>
      </c>
      <c r="R365" t="s">
        <v>710</v>
      </c>
      <c r="S365" t="s">
        <v>711</v>
      </c>
      <c r="T365" t="s">
        <v>2262</v>
      </c>
      <c r="V365" t="s">
        <v>477</v>
      </c>
      <c r="W365" t="s">
        <v>235</v>
      </c>
      <c r="AE365" t="s">
        <v>478</v>
      </c>
      <c r="AF365" t="s">
        <v>479</v>
      </c>
      <c r="AL365">
        <v>3690.6480000000001</v>
      </c>
      <c r="AM365" t="s">
        <v>712</v>
      </c>
      <c r="AO365" t="s">
        <v>480</v>
      </c>
      <c r="AP365" t="s">
        <v>481</v>
      </c>
      <c r="AQ365" t="s">
        <v>713</v>
      </c>
      <c r="AR365" t="s">
        <v>482</v>
      </c>
      <c r="AS365" t="s">
        <v>483</v>
      </c>
      <c r="AT365" t="s">
        <v>484</v>
      </c>
      <c r="AU365" t="s">
        <v>130</v>
      </c>
      <c r="AV365" t="s">
        <v>485</v>
      </c>
      <c r="AW365" t="s">
        <v>486</v>
      </c>
      <c r="BF365" s="1"/>
      <c r="BG365" t="s">
        <v>266</v>
      </c>
      <c r="BH365" t="s">
        <v>487</v>
      </c>
      <c r="BP365" t="s">
        <v>1489</v>
      </c>
      <c r="BQ365" t="s">
        <v>485</v>
      </c>
    </row>
    <row r="366" spans="1:69" x14ac:dyDescent="0.25">
      <c r="A366" t="s">
        <v>5713</v>
      </c>
      <c r="B366" t="s">
        <v>474</v>
      </c>
      <c r="C366" t="s">
        <v>2259</v>
      </c>
      <c r="E366" t="s">
        <v>475</v>
      </c>
      <c r="G366" s="1" t="s">
        <v>2260</v>
      </c>
      <c r="H366" t="s">
        <v>500</v>
      </c>
      <c r="J366">
        <v>400015</v>
      </c>
      <c r="M366" t="s">
        <v>1425</v>
      </c>
      <c r="P366" t="s">
        <v>92</v>
      </c>
      <c r="R366" t="s">
        <v>1805</v>
      </c>
      <c r="S366" t="s">
        <v>2263</v>
      </c>
      <c r="T366" t="s">
        <v>2264</v>
      </c>
      <c r="V366" t="s">
        <v>477</v>
      </c>
      <c r="W366" t="s">
        <v>235</v>
      </c>
      <c r="AE366" t="s">
        <v>478</v>
      </c>
      <c r="AF366" t="s">
        <v>479</v>
      </c>
      <c r="AL366">
        <v>291.78199999999998</v>
      </c>
      <c r="AM366" t="s">
        <v>2265</v>
      </c>
      <c r="AO366" t="s">
        <v>480</v>
      </c>
      <c r="AP366" t="s">
        <v>481</v>
      </c>
      <c r="AQ366" t="s">
        <v>713</v>
      </c>
      <c r="AR366" t="s">
        <v>482</v>
      </c>
      <c r="AS366" t="s">
        <v>483</v>
      </c>
      <c r="AT366" t="s">
        <v>484</v>
      </c>
      <c r="AU366" t="s">
        <v>130</v>
      </c>
      <c r="AV366" t="s">
        <v>485</v>
      </c>
      <c r="AW366" t="s">
        <v>486</v>
      </c>
      <c r="BF366" s="1"/>
      <c r="BG366" t="s">
        <v>266</v>
      </c>
      <c r="BH366" t="s">
        <v>487</v>
      </c>
      <c r="BP366" t="s">
        <v>1489</v>
      </c>
      <c r="BQ366" t="s">
        <v>485</v>
      </c>
    </row>
    <row r="367" spans="1:69" x14ac:dyDescent="0.25">
      <c r="A367" t="s">
        <v>5713</v>
      </c>
      <c r="B367" t="s">
        <v>474</v>
      </c>
      <c r="C367" t="s">
        <v>2259</v>
      </c>
      <c r="E367" t="s">
        <v>475</v>
      </c>
      <c r="G367" s="1" t="s">
        <v>2260</v>
      </c>
      <c r="H367" t="s">
        <v>517</v>
      </c>
      <c r="J367">
        <v>400015</v>
      </c>
      <c r="M367" t="s">
        <v>1414</v>
      </c>
      <c r="P367" t="s">
        <v>117</v>
      </c>
      <c r="R367" t="s">
        <v>715</v>
      </c>
      <c r="S367" t="s">
        <v>716</v>
      </c>
      <c r="T367" t="s">
        <v>2266</v>
      </c>
      <c r="V367" t="s">
        <v>477</v>
      </c>
      <c r="W367" t="s">
        <v>235</v>
      </c>
      <c r="AE367" t="s">
        <v>478</v>
      </c>
      <c r="AF367" t="s">
        <v>479</v>
      </c>
      <c r="AL367">
        <v>3115.4759999999997</v>
      </c>
      <c r="AM367" t="s">
        <v>717</v>
      </c>
      <c r="AO367" t="s">
        <v>480</v>
      </c>
      <c r="AP367" t="s">
        <v>481</v>
      </c>
      <c r="AQ367" t="s">
        <v>718</v>
      </c>
      <c r="AR367" t="s">
        <v>482</v>
      </c>
      <c r="AS367" t="s">
        <v>483</v>
      </c>
      <c r="AT367" t="s">
        <v>484</v>
      </c>
      <c r="AU367" t="s">
        <v>130</v>
      </c>
      <c r="AV367" t="s">
        <v>485</v>
      </c>
      <c r="AW367" t="s">
        <v>486</v>
      </c>
      <c r="BF367" s="1"/>
      <c r="BG367" t="s">
        <v>266</v>
      </c>
      <c r="BH367" t="s">
        <v>487</v>
      </c>
      <c r="BP367" t="s">
        <v>1489</v>
      </c>
      <c r="BQ367" t="s">
        <v>485</v>
      </c>
    </row>
    <row r="368" spans="1:69" x14ac:dyDescent="0.25">
      <c r="A368" t="s">
        <v>5713</v>
      </c>
      <c r="B368" t="s">
        <v>474</v>
      </c>
      <c r="C368" t="s">
        <v>2259</v>
      </c>
      <c r="E368" t="s">
        <v>475</v>
      </c>
      <c r="G368" s="1" t="s">
        <v>2260</v>
      </c>
      <c r="H368" t="s">
        <v>537</v>
      </c>
      <c r="J368">
        <v>400015</v>
      </c>
      <c r="M368" t="s">
        <v>1414</v>
      </c>
      <c r="P368" t="s">
        <v>117</v>
      </c>
      <c r="R368" t="s">
        <v>734</v>
      </c>
      <c r="S368" t="s">
        <v>2267</v>
      </c>
      <c r="T368" t="s">
        <v>2268</v>
      </c>
      <c r="V368" t="s">
        <v>477</v>
      </c>
      <c r="W368" t="s">
        <v>235</v>
      </c>
      <c r="AE368" t="s">
        <v>478</v>
      </c>
      <c r="AF368" t="s">
        <v>479</v>
      </c>
      <c r="AL368">
        <v>1711.8</v>
      </c>
      <c r="AM368" t="s">
        <v>2269</v>
      </c>
      <c r="AO368" t="s">
        <v>480</v>
      </c>
      <c r="AP368" t="s">
        <v>481</v>
      </c>
      <c r="AQ368" t="s">
        <v>718</v>
      </c>
      <c r="AR368" t="s">
        <v>482</v>
      </c>
      <c r="AS368" t="s">
        <v>483</v>
      </c>
      <c r="AT368" t="s">
        <v>484</v>
      </c>
      <c r="AU368" t="s">
        <v>130</v>
      </c>
      <c r="AV368" t="s">
        <v>485</v>
      </c>
      <c r="AW368" t="s">
        <v>486</v>
      </c>
      <c r="BF368" s="1"/>
      <c r="BG368" t="s">
        <v>266</v>
      </c>
      <c r="BH368" t="s">
        <v>487</v>
      </c>
      <c r="BP368" t="s">
        <v>1489</v>
      </c>
      <c r="BQ368" t="s">
        <v>485</v>
      </c>
    </row>
    <row r="369" spans="1:69" x14ac:dyDescent="0.25">
      <c r="A369" t="s">
        <v>5713</v>
      </c>
      <c r="B369" t="s">
        <v>474</v>
      </c>
      <c r="C369" t="s">
        <v>2259</v>
      </c>
      <c r="E369" t="s">
        <v>475</v>
      </c>
      <c r="G369" s="1" t="s">
        <v>2260</v>
      </c>
      <c r="H369" t="s">
        <v>542</v>
      </c>
      <c r="J369">
        <v>400015</v>
      </c>
      <c r="M369" t="s">
        <v>1424</v>
      </c>
      <c r="P369" t="s">
        <v>90</v>
      </c>
      <c r="R369" t="s">
        <v>907</v>
      </c>
      <c r="S369" t="s">
        <v>2270</v>
      </c>
      <c r="T369" t="s">
        <v>2271</v>
      </c>
      <c r="V369" t="s">
        <v>477</v>
      </c>
      <c r="W369" t="s">
        <v>235</v>
      </c>
      <c r="AE369" t="s">
        <v>478</v>
      </c>
      <c r="AF369" t="s">
        <v>479</v>
      </c>
      <c r="AL369">
        <v>2550.2399999999998</v>
      </c>
      <c r="AM369" t="s">
        <v>2272</v>
      </c>
      <c r="AO369" t="s">
        <v>480</v>
      </c>
      <c r="AP369" t="s">
        <v>481</v>
      </c>
      <c r="AQ369" t="s">
        <v>740</v>
      </c>
      <c r="AR369" t="s">
        <v>482</v>
      </c>
      <c r="AS369" t="s">
        <v>483</v>
      </c>
      <c r="AT369" t="s">
        <v>484</v>
      </c>
      <c r="AU369" t="s">
        <v>130</v>
      </c>
      <c r="AV369" t="s">
        <v>485</v>
      </c>
      <c r="AW369" t="s">
        <v>486</v>
      </c>
      <c r="BF369" s="1"/>
      <c r="BG369" t="s">
        <v>266</v>
      </c>
      <c r="BH369" t="s">
        <v>487</v>
      </c>
      <c r="BP369" t="s">
        <v>1489</v>
      </c>
      <c r="BQ369" t="s">
        <v>485</v>
      </c>
    </row>
    <row r="370" spans="1:69" x14ac:dyDescent="0.25">
      <c r="A370" t="s">
        <v>5713</v>
      </c>
      <c r="B370" t="s">
        <v>474</v>
      </c>
      <c r="C370" t="s">
        <v>2259</v>
      </c>
      <c r="E370" t="s">
        <v>475</v>
      </c>
      <c r="G370" s="1" t="s">
        <v>2273</v>
      </c>
      <c r="H370" t="s">
        <v>476</v>
      </c>
      <c r="J370">
        <v>400015</v>
      </c>
      <c r="M370" t="s">
        <v>1425</v>
      </c>
      <c r="P370" t="s">
        <v>92</v>
      </c>
      <c r="R370" t="s">
        <v>2274</v>
      </c>
      <c r="S370" t="s">
        <v>2275</v>
      </c>
      <c r="T370" t="s">
        <v>2276</v>
      </c>
      <c r="V370" t="s">
        <v>477</v>
      </c>
      <c r="W370" t="s">
        <v>235</v>
      </c>
      <c r="AE370" t="s">
        <v>478</v>
      </c>
      <c r="AF370" t="s">
        <v>479</v>
      </c>
      <c r="AL370">
        <v>3398.866</v>
      </c>
      <c r="AM370" t="s">
        <v>2277</v>
      </c>
      <c r="AO370" t="s">
        <v>480</v>
      </c>
      <c r="AP370" t="s">
        <v>481</v>
      </c>
      <c r="AQ370" t="s">
        <v>713</v>
      </c>
      <c r="AR370" t="s">
        <v>482</v>
      </c>
      <c r="AS370" t="s">
        <v>483</v>
      </c>
      <c r="AT370" t="s">
        <v>484</v>
      </c>
      <c r="AU370" t="s">
        <v>130</v>
      </c>
      <c r="AV370" t="s">
        <v>485</v>
      </c>
      <c r="AW370" t="s">
        <v>486</v>
      </c>
      <c r="BF370" s="1"/>
      <c r="BG370" t="s">
        <v>266</v>
      </c>
      <c r="BH370" t="s">
        <v>487</v>
      </c>
      <c r="BP370" t="s">
        <v>1489</v>
      </c>
      <c r="BQ370" t="s">
        <v>485</v>
      </c>
    </row>
    <row r="371" spans="1:69" x14ac:dyDescent="0.25">
      <c r="A371" t="s">
        <v>5713</v>
      </c>
      <c r="B371" t="s">
        <v>474</v>
      </c>
      <c r="C371" t="s">
        <v>2259</v>
      </c>
      <c r="E371" t="s">
        <v>475</v>
      </c>
      <c r="G371" s="1" t="s">
        <v>2273</v>
      </c>
      <c r="H371" t="s">
        <v>492</v>
      </c>
      <c r="J371">
        <v>400015</v>
      </c>
      <c r="M371" t="s">
        <v>1425</v>
      </c>
      <c r="P371" t="s">
        <v>92</v>
      </c>
      <c r="R371" t="s">
        <v>710</v>
      </c>
      <c r="S371" t="s">
        <v>711</v>
      </c>
      <c r="T371" t="s">
        <v>2262</v>
      </c>
      <c r="V371" t="s">
        <v>477</v>
      </c>
      <c r="W371" t="s">
        <v>235</v>
      </c>
      <c r="AE371" t="s">
        <v>478</v>
      </c>
      <c r="AF371" t="s">
        <v>479</v>
      </c>
      <c r="AL371">
        <v>3690.6480000000001</v>
      </c>
      <c r="AM371" t="s">
        <v>712</v>
      </c>
      <c r="AO371" t="s">
        <v>480</v>
      </c>
      <c r="AP371" t="s">
        <v>481</v>
      </c>
      <c r="AQ371" t="s">
        <v>713</v>
      </c>
      <c r="AR371" t="s">
        <v>482</v>
      </c>
      <c r="AS371" t="s">
        <v>483</v>
      </c>
      <c r="AT371" t="s">
        <v>484</v>
      </c>
      <c r="AU371" t="s">
        <v>130</v>
      </c>
      <c r="AV371" t="s">
        <v>485</v>
      </c>
      <c r="AW371" t="s">
        <v>486</v>
      </c>
      <c r="BF371" s="1"/>
      <c r="BG371" t="s">
        <v>266</v>
      </c>
      <c r="BH371" t="s">
        <v>487</v>
      </c>
      <c r="BP371" t="s">
        <v>1489</v>
      </c>
      <c r="BQ371" t="s">
        <v>485</v>
      </c>
    </row>
    <row r="372" spans="1:69" x14ac:dyDescent="0.25">
      <c r="A372" t="s">
        <v>5713</v>
      </c>
      <c r="B372" t="s">
        <v>474</v>
      </c>
      <c r="C372" t="s">
        <v>2259</v>
      </c>
      <c r="E372" t="s">
        <v>475</v>
      </c>
      <c r="G372" s="1" t="s">
        <v>2273</v>
      </c>
      <c r="H372" t="s">
        <v>498</v>
      </c>
      <c r="J372">
        <v>400015</v>
      </c>
      <c r="M372" t="s">
        <v>1414</v>
      </c>
      <c r="P372" t="s">
        <v>117</v>
      </c>
      <c r="R372" t="s">
        <v>731</v>
      </c>
      <c r="S372" t="s">
        <v>2278</v>
      </c>
      <c r="T372" t="s">
        <v>2279</v>
      </c>
      <c r="V372" t="s">
        <v>477</v>
      </c>
      <c r="W372" t="s">
        <v>235</v>
      </c>
      <c r="AE372" t="s">
        <v>478</v>
      </c>
      <c r="AF372" t="s">
        <v>479</v>
      </c>
      <c r="AL372">
        <v>1403.6759999999999</v>
      </c>
      <c r="AM372" t="s">
        <v>732</v>
      </c>
      <c r="AO372" t="s">
        <v>480</v>
      </c>
      <c r="AP372" t="s">
        <v>481</v>
      </c>
      <c r="AQ372" t="s">
        <v>718</v>
      </c>
      <c r="AR372" t="s">
        <v>482</v>
      </c>
      <c r="AS372" t="s">
        <v>483</v>
      </c>
      <c r="AT372" t="s">
        <v>484</v>
      </c>
      <c r="AU372" t="s">
        <v>130</v>
      </c>
      <c r="AV372" t="s">
        <v>485</v>
      </c>
      <c r="AW372" t="s">
        <v>486</v>
      </c>
      <c r="BF372" s="1"/>
      <c r="BG372" t="s">
        <v>266</v>
      </c>
      <c r="BH372" t="s">
        <v>487</v>
      </c>
      <c r="BP372" t="s">
        <v>1489</v>
      </c>
      <c r="BQ372" t="s">
        <v>485</v>
      </c>
    </row>
    <row r="373" spans="1:69" x14ac:dyDescent="0.25">
      <c r="A373" t="s">
        <v>5713</v>
      </c>
      <c r="B373" t="s">
        <v>474</v>
      </c>
      <c r="C373" t="s">
        <v>2259</v>
      </c>
      <c r="E373" t="s">
        <v>475</v>
      </c>
      <c r="G373" s="1" t="s">
        <v>2273</v>
      </c>
      <c r="H373" t="s">
        <v>500</v>
      </c>
      <c r="J373">
        <v>400015</v>
      </c>
      <c r="M373" t="s">
        <v>1424</v>
      </c>
      <c r="P373" t="s">
        <v>96</v>
      </c>
      <c r="R373" t="s">
        <v>734</v>
      </c>
      <c r="S373" t="s">
        <v>735</v>
      </c>
      <c r="T373" t="s">
        <v>2280</v>
      </c>
      <c r="V373" t="s">
        <v>477</v>
      </c>
      <c r="W373" t="s">
        <v>235</v>
      </c>
      <c r="AE373" t="s">
        <v>478</v>
      </c>
      <c r="AF373" t="s">
        <v>479</v>
      </c>
      <c r="AL373">
        <v>3480.75</v>
      </c>
      <c r="AM373" t="s">
        <v>736</v>
      </c>
      <c r="AO373" t="s">
        <v>480</v>
      </c>
      <c r="AP373" t="s">
        <v>481</v>
      </c>
      <c r="AQ373" t="s">
        <v>737</v>
      </c>
      <c r="AR373" t="s">
        <v>482</v>
      </c>
      <c r="AS373" t="s">
        <v>483</v>
      </c>
      <c r="AT373" t="s">
        <v>484</v>
      </c>
      <c r="AU373" t="s">
        <v>130</v>
      </c>
      <c r="AV373" t="s">
        <v>485</v>
      </c>
      <c r="AW373" t="s">
        <v>486</v>
      </c>
      <c r="BF373" s="1"/>
      <c r="BG373" t="s">
        <v>266</v>
      </c>
      <c r="BH373" t="s">
        <v>487</v>
      </c>
      <c r="BP373" t="s">
        <v>1489</v>
      </c>
      <c r="BQ373" t="s">
        <v>485</v>
      </c>
    </row>
    <row r="374" spans="1:69" x14ac:dyDescent="0.25">
      <c r="A374" t="s">
        <v>5713</v>
      </c>
      <c r="B374" t="s">
        <v>474</v>
      </c>
      <c r="C374" t="s">
        <v>2259</v>
      </c>
      <c r="E374" t="s">
        <v>475</v>
      </c>
      <c r="G374" s="1" t="s">
        <v>2273</v>
      </c>
      <c r="H374" t="s">
        <v>517</v>
      </c>
      <c r="J374">
        <v>400015</v>
      </c>
      <c r="M374" t="s">
        <v>1425</v>
      </c>
      <c r="P374" t="s">
        <v>92</v>
      </c>
      <c r="R374" t="s">
        <v>2042</v>
      </c>
      <c r="S374" t="s">
        <v>2281</v>
      </c>
      <c r="T374" t="s">
        <v>2282</v>
      </c>
      <c r="V374" t="s">
        <v>477</v>
      </c>
      <c r="W374" t="s">
        <v>235</v>
      </c>
      <c r="AE374" t="s">
        <v>478</v>
      </c>
      <c r="AF374" t="s">
        <v>479</v>
      </c>
      <c r="AL374">
        <v>946.32</v>
      </c>
      <c r="AM374" t="s">
        <v>776</v>
      </c>
      <c r="AO374" t="s">
        <v>480</v>
      </c>
      <c r="AP374" t="s">
        <v>481</v>
      </c>
      <c r="AQ374" t="s">
        <v>713</v>
      </c>
      <c r="AR374" t="s">
        <v>482</v>
      </c>
      <c r="AS374" t="s">
        <v>483</v>
      </c>
      <c r="AT374" t="s">
        <v>484</v>
      </c>
      <c r="AU374" t="s">
        <v>130</v>
      </c>
      <c r="AV374" t="s">
        <v>485</v>
      </c>
      <c r="AW374" t="s">
        <v>486</v>
      </c>
      <c r="BF374" s="1"/>
      <c r="BG374" t="s">
        <v>266</v>
      </c>
      <c r="BH374" t="s">
        <v>487</v>
      </c>
      <c r="BP374" t="s">
        <v>1489</v>
      </c>
      <c r="BQ374" t="s">
        <v>485</v>
      </c>
    </row>
    <row r="375" spans="1:69" x14ac:dyDescent="0.25">
      <c r="A375" t="s">
        <v>5713</v>
      </c>
      <c r="B375" t="s">
        <v>474</v>
      </c>
      <c r="C375" t="s">
        <v>2283</v>
      </c>
      <c r="E375" t="s">
        <v>480</v>
      </c>
      <c r="G375" s="1" t="s">
        <v>2284</v>
      </c>
      <c r="H375" t="s">
        <v>476</v>
      </c>
      <c r="J375">
        <v>400015</v>
      </c>
      <c r="M375" t="s">
        <v>1424</v>
      </c>
      <c r="P375" t="s">
        <v>76</v>
      </c>
      <c r="R375" t="s">
        <v>647</v>
      </c>
      <c r="S375" t="s">
        <v>2285</v>
      </c>
      <c r="T375" t="s">
        <v>2286</v>
      </c>
      <c r="V375" t="s">
        <v>477</v>
      </c>
      <c r="W375" t="s">
        <v>73</v>
      </c>
      <c r="AE375" t="s">
        <v>478</v>
      </c>
      <c r="AF375" t="s">
        <v>479</v>
      </c>
      <c r="AL375">
        <v>388.54199999999997</v>
      </c>
      <c r="AM375" t="s">
        <v>2287</v>
      </c>
      <c r="AO375" t="s">
        <v>480</v>
      </c>
      <c r="AP375" t="s">
        <v>481</v>
      </c>
      <c r="AQ375" t="s">
        <v>558</v>
      </c>
      <c r="AR375" t="s">
        <v>482</v>
      </c>
      <c r="AS375" t="s">
        <v>483</v>
      </c>
      <c r="AT375" t="s">
        <v>484</v>
      </c>
      <c r="AU375" t="s">
        <v>521</v>
      </c>
      <c r="AV375" t="s">
        <v>662</v>
      </c>
      <c r="AW375" t="s">
        <v>486</v>
      </c>
      <c r="BF375" s="1"/>
      <c r="BG375" t="s">
        <v>523</v>
      </c>
      <c r="BH375" t="s">
        <v>487</v>
      </c>
      <c r="BP375" t="s">
        <v>1489</v>
      </c>
      <c r="BQ375" t="s">
        <v>662</v>
      </c>
    </row>
    <row r="376" spans="1:69" x14ac:dyDescent="0.25">
      <c r="A376" t="s">
        <v>5713</v>
      </c>
      <c r="B376" t="s">
        <v>474</v>
      </c>
      <c r="C376" t="s">
        <v>2283</v>
      </c>
      <c r="E376" t="s">
        <v>480</v>
      </c>
      <c r="G376" s="1" t="s">
        <v>2284</v>
      </c>
      <c r="H376" t="s">
        <v>492</v>
      </c>
      <c r="J376">
        <v>400015</v>
      </c>
      <c r="M376" t="s">
        <v>1428</v>
      </c>
      <c r="P376" t="s">
        <v>113</v>
      </c>
      <c r="R376" t="s">
        <v>670</v>
      </c>
      <c r="S376" t="s">
        <v>2288</v>
      </c>
      <c r="T376" t="s">
        <v>2289</v>
      </c>
      <c r="V376" t="s">
        <v>477</v>
      </c>
      <c r="W376" t="s">
        <v>73</v>
      </c>
      <c r="AE376" t="s">
        <v>478</v>
      </c>
      <c r="AF376" t="s">
        <v>479</v>
      </c>
      <c r="AL376">
        <v>73.760000000000005</v>
      </c>
      <c r="AM376" t="s">
        <v>694</v>
      </c>
      <c r="AO376" t="s">
        <v>480</v>
      </c>
      <c r="AP376" t="s">
        <v>481</v>
      </c>
      <c r="AQ376" t="s">
        <v>657</v>
      </c>
      <c r="AR376" t="s">
        <v>482</v>
      </c>
      <c r="AS376" t="s">
        <v>483</v>
      </c>
      <c r="AT376" t="s">
        <v>484</v>
      </c>
      <c r="AU376" t="s">
        <v>521</v>
      </c>
      <c r="AV376" t="s">
        <v>662</v>
      </c>
      <c r="AW376" t="s">
        <v>486</v>
      </c>
      <c r="BF376" s="1"/>
      <c r="BG376" t="s">
        <v>523</v>
      </c>
      <c r="BH376" t="s">
        <v>487</v>
      </c>
      <c r="BP376" t="s">
        <v>1489</v>
      </c>
      <c r="BQ376" t="s">
        <v>662</v>
      </c>
    </row>
    <row r="377" spans="1:69" x14ac:dyDescent="0.25">
      <c r="A377" t="s">
        <v>5713</v>
      </c>
      <c r="B377" t="s">
        <v>474</v>
      </c>
      <c r="C377" t="s">
        <v>2283</v>
      </c>
      <c r="E377" t="s">
        <v>480</v>
      </c>
      <c r="G377" s="1" t="s">
        <v>2284</v>
      </c>
      <c r="H377" t="s">
        <v>498</v>
      </c>
      <c r="J377">
        <v>400015</v>
      </c>
      <c r="M377" t="s">
        <v>1431</v>
      </c>
      <c r="P377" t="s">
        <v>72</v>
      </c>
      <c r="R377" t="s">
        <v>488</v>
      </c>
      <c r="S377" t="s">
        <v>2290</v>
      </c>
      <c r="T377" t="s">
        <v>2291</v>
      </c>
      <c r="V377" t="s">
        <v>477</v>
      </c>
      <c r="W377" t="s">
        <v>73</v>
      </c>
      <c r="AE377" t="s">
        <v>478</v>
      </c>
      <c r="AF377" t="s">
        <v>479</v>
      </c>
      <c r="AL377">
        <v>425.5</v>
      </c>
      <c r="AM377" t="s">
        <v>676</v>
      </c>
      <c r="AO377" t="s">
        <v>480</v>
      </c>
      <c r="AP377" t="s">
        <v>481</v>
      </c>
      <c r="AQ377" t="s">
        <v>757</v>
      </c>
      <c r="AR377" t="s">
        <v>482</v>
      </c>
      <c r="AS377" t="s">
        <v>483</v>
      </c>
      <c r="AT377" t="s">
        <v>484</v>
      </c>
      <c r="AU377" t="s">
        <v>521</v>
      </c>
      <c r="AV377" t="s">
        <v>662</v>
      </c>
      <c r="AW377" t="s">
        <v>486</v>
      </c>
      <c r="BF377" s="1"/>
      <c r="BG377" t="s">
        <v>523</v>
      </c>
      <c r="BH377" t="s">
        <v>487</v>
      </c>
      <c r="BP377" t="s">
        <v>1489</v>
      </c>
      <c r="BQ377" t="s">
        <v>662</v>
      </c>
    </row>
    <row r="378" spans="1:69" x14ac:dyDescent="0.25">
      <c r="A378" t="s">
        <v>5713</v>
      </c>
      <c r="B378" t="s">
        <v>474</v>
      </c>
      <c r="C378" t="s">
        <v>2283</v>
      </c>
      <c r="E378" t="s">
        <v>480</v>
      </c>
      <c r="G378" s="1" t="s">
        <v>2284</v>
      </c>
      <c r="H378" t="s">
        <v>500</v>
      </c>
      <c r="J378">
        <v>400015</v>
      </c>
      <c r="M378" t="s">
        <v>1425</v>
      </c>
      <c r="P378" t="s">
        <v>110</v>
      </c>
      <c r="R378" t="s">
        <v>635</v>
      </c>
      <c r="S378" t="s">
        <v>2292</v>
      </c>
      <c r="T378" t="s">
        <v>2293</v>
      </c>
      <c r="V378" t="s">
        <v>477</v>
      </c>
      <c r="W378" t="s">
        <v>73</v>
      </c>
      <c r="AE378" t="s">
        <v>478</v>
      </c>
      <c r="AF378" t="s">
        <v>479</v>
      </c>
      <c r="AL378">
        <v>40.25</v>
      </c>
      <c r="AM378" t="s">
        <v>636</v>
      </c>
      <c r="AO378" t="s">
        <v>480</v>
      </c>
      <c r="AP378" t="s">
        <v>481</v>
      </c>
      <c r="AQ378" t="s">
        <v>624</v>
      </c>
      <c r="AR378" t="s">
        <v>482</v>
      </c>
      <c r="AS378" t="s">
        <v>483</v>
      </c>
      <c r="AT378" t="s">
        <v>484</v>
      </c>
      <c r="AU378" t="s">
        <v>521</v>
      </c>
      <c r="AV378" t="s">
        <v>662</v>
      </c>
      <c r="AW378" t="s">
        <v>486</v>
      </c>
      <c r="BF378" s="1"/>
      <c r="BG378" t="s">
        <v>523</v>
      </c>
      <c r="BH378" t="s">
        <v>487</v>
      </c>
      <c r="BP378" t="s">
        <v>1489</v>
      </c>
      <c r="BQ378" t="s">
        <v>662</v>
      </c>
    </row>
    <row r="379" spans="1:69" x14ac:dyDescent="0.25">
      <c r="A379" t="s">
        <v>5713</v>
      </c>
      <c r="B379" t="s">
        <v>474</v>
      </c>
      <c r="C379" t="s">
        <v>2283</v>
      </c>
      <c r="E379" t="s">
        <v>480</v>
      </c>
      <c r="G379" s="1" t="s">
        <v>2284</v>
      </c>
      <c r="H379" t="s">
        <v>517</v>
      </c>
      <c r="J379">
        <v>400015</v>
      </c>
      <c r="M379" t="s">
        <v>1424</v>
      </c>
      <c r="P379" t="s">
        <v>157</v>
      </c>
      <c r="R379" t="s">
        <v>640</v>
      </c>
      <c r="S379" t="s">
        <v>2294</v>
      </c>
      <c r="T379" t="s">
        <v>2295</v>
      </c>
      <c r="V379" t="s">
        <v>477</v>
      </c>
      <c r="W379" t="s">
        <v>73</v>
      </c>
      <c r="AE379" t="s">
        <v>478</v>
      </c>
      <c r="AF379" t="s">
        <v>479</v>
      </c>
      <c r="AL379">
        <v>350.5</v>
      </c>
      <c r="AM379" t="s">
        <v>714</v>
      </c>
      <c r="AO379" t="s">
        <v>480</v>
      </c>
      <c r="AP379" t="s">
        <v>481</v>
      </c>
      <c r="AQ379" t="s">
        <v>667</v>
      </c>
      <c r="AR379" t="s">
        <v>482</v>
      </c>
      <c r="AS379" t="s">
        <v>483</v>
      </c>
      <c r="AT379" t="s">
        <v>484</v>
      </c>
      <c r="AU379" t="s">
        <v>521</v>
      </c>
      <c r="AV379" t="s">
        <v>662</v>
      </c>
      <c r="AW379" t="s">
        <v>486</v>
      </c>
      <c r="BF379" s="1"/>
      <c r="BG379" t="s">
        <v>523</v>
      </c>
      <c r="BH379" t="s">
        <v>487</v>
      </c>
      <c r="BP379" t="s">
        <v>1489</v>
      </c>
      <c r="BQ379" t="s">
        <v>662</v>
      </c>
    </row>
    <row r="380" spans="1:69" x14ac:dyDescent="0.25">
      <c r="A380" t="s">
        <v>5713</v>
      </c>
      <c r="B380" t="s">
        <v>474</v>
      </c>
      <c r="C380" t="s">
        <v>2283</v>
      </c>
      <c r="E380" t="s">
        <v>480</v>
      </c>
      <c r="G380" s="1" t="s">
        <v>2284</v>
      </c>
      <c r="H380" t="s">
        <v>537</v>
      </c>
      <c r="J380">
        <v>400015</v>
      </c>
      <c r="M380" t="s">
        <v>1422</v>
      </c>
      <c r="P380" t="s">
        <v>120</v>
      </c>
      <c r="R380" t="s">
        <v>635</v>
      </c>
      <c r="S380" t="s">
        <v>2296</v>
      </c>
      <c r="T380" t="s">
        <v>2297</v>
      </c>
      <c r="V380" t="s">
        <v>477</v>
      </c>
      <c r="W380" t="s">
        <v>73</v>
      </c>
      <c r="AE380" t="s">
        <v>478</v>
      </c>
      <c r="AF380" t="s">
        <v>479</v>
      </c>
      <c r="AL380">
        <v>43.92</v>
      </c>
      <c r="AM380" t="s">
        <v>803</v>
      </c>
      <c r="AO380" t="s">
        <v>480</v>
      </c>
      <c r="AP380" t="s">
        <v>481</v>
      </c>
      <c r="AQ380" t="s">
        <v>632</v>
      </c>
      <c r="AR380" t="s">
        <v>482</v>
      </c>
      <c r="AS380" t="s">
        <v>483</v>
      </c>
      <c r="AT380" t="s">
        <v>484</v>
      </c>
      <c r="AU380" t="s">
        <v>521</v>
      </c>
      <c r="AV380" t="s">
        <v>662</v>
      </c>
      <c r="AW380" t="s">
        <v>486</v>
      </c>
      <c r="BF380" s="1"/>
      <c r="BG380" t="s">
        <v>523</v>
      </c>
      <c r="BH380" t="s">
        <v>487</v>
      </c>
      <c r="BP380" t="s">
        <v>1489</v>
      </c>
      <c r="BQ380" t="s">
        <v>662</v>
      </c>
    </row>
    <row r="381" spans="1:69" x14ac:dyDescent="0.25">
      <c r="A381" t="s">
        <v>5713</v>
      </c>
      <c r="B381" t="s">
        <v>474</v>
      </c>
      <c r="C381" t="s">
        <v>2283</v>
      </c>
      <c r="E381" t="s">
        <v>480</v>
      </c>
      <c r="G381" s="1" t="s">
        <v>2284</v>
      </c>
      <c r="H381" t="s">
        <v>542</v>
      </c>
      <c r="J381">
        <v>400015</v>
      </c>
      <c r="M381" t="s">
        <v>1426</v>
      </c>
      <c r="P381" t="s">
        <v>114</v>
      </c>
      <c r="R381" t="s">
        <v>743</v>
      </c>
      <c r="S381" t="s">
        <v>844</v>
      </c>
      <c r="T381" t="s">
        <v>845</v>
      </c>
      <c r="V381" t="s">
        <v>477</v>
      </c>
      <c r="W381" t="s">
        <v>73</v>
      </c>
      <c r="AE381" t="s">
        <v>478</v>
      </c>
      <c r="AF381" t="s">
        <v>479</v>
      </c>
      <c r="AL381">
        <v>198.79999999999998</v>
      </c>
      <c r="AM381" t="s">
        <v>818</v>
      </c>
      <c r="AO381" t="s">
        <v>480</v>
      </c>
      <c r="AP381" t="s">
        <v>481</v>
      </c>
      <c r="AQ381" t="s">
        <v>584</v>
      </c>
      <c r="AR381" t="s">
        <v>482</v>
      </c>
      <c r="AS381" t="s">
        <v>483</v>
      </c>
      <c r="AT381" t="s">
        <v>484</v>
      </c>
      <c r="AU381" t="s">
        <v>521</v>
      </c>
      <c r="AV381" t="s">
        <v>662</v>
      </c>
      <c r="AW381" t="s">
        <v>486</v>
      </c>
      <c r="BF381" s="1"/>
      <c r="BG381" t="s">
        <v>523</v>
      </c>
      <c r="BH381" t="s">
        <v>487</v>
      </c>
      <c r="BP381" t="s">
        <v>1489</v>
      </c>
      <c r="BQ381" t="s">
        <v>662</v>
      </c>
    </row>
    <row r="382" spans="1:69" x14ac:dyDescent="0.25">
      <c r="A382" t="s">
        <v>5713</v>
      </c>
      <c r="B382" t="s">
        <v>474</v>
      </c>
      <c r="C382" t="s">
        <v>2283</v>
      </c>
      <c r="E382" t="s">
        <v>480</v>
      </c>
      <c r="G382" s="1" t="s">
        <v>2284</v>
      </c>
      <c r="H382" t="s">
        <v>546</v>
      </c>
      <c r="J382">
        <v>400015</v>
      </c>
      <c r="M382" t="s">
        <v>1422</v>
      </c>
      <c r="P382" t="s">
        <v>77</v>
      </c>
      <c r="R382" t="s">
        <v>800</v>
      </c>
      <c r="S382" t="s">
        <v>2298</v>
      </c>
      <c r="T382" t="s">
        <v>2299</v>
      </c>
      <c r="V382" t="s">
        <v>477</v>
      </c>
      <c r="W382" t="s">
        <v>73</v>
      </c>
      <c r="AE382" t="s">
        <v>478</v>
      </c>
      <c r="AF382" t="s">
        <v>479</v>
      </c>
      <c r="AL382">
        <v>255.97</v>
      </c>
      <c r="AM382" t="s">
        <v>1896</v>
      </c>
      <c r="AO382" t="s">
        <v>480</v>
      </c>
      <c r="AP382" t="s">
        <v>481</v>
      </c>
      <c r="AQ382" t="s">
        <v>533</v>
      </c>
      <c r="AR382" t="s">
        <v>482</v>
      </c>
      <c r="AS382" t="s">
        <v>483</v>
      </c>
      <c r="AT382" t="s">
        <v>484</v>
      </c>
      <c r="AU382" t="s">
        <v>521</v>
      </c>
      <c r="AV382" t="s">
        <v>662</v>
      </c>
      <c r="AW382" t="s">
        <v>486</v>
      </c>
      <c r="BF382" s="1"/>
      <c r="BG382" t="s">
        <v>523</v>
      </c>
      <c r="BH382" t="s">
        <v>487</v>
      </c>
      <c r="BP382" t="s">
        <v>1489</v>
      </c>
      <c r="BQ382" t="s">
        <v>662</v>
      </c>
    </row>
    <row r="383" spans="1:69" x14ac:dyDescent="0.25">
      <c r="A383" t="s">
        <v>5713</v>
      </c>
      <c r="B383" t="s">
        <v>474</v>
      </c>
      <c r="C383" t="s">
        <v>2283</v>
      </c>
      <c r="E383" t="s">
        <v>480</v>
      </c>
      <c r="G383" s="1" t="s">
        <v>2284</v>
      </c>
      <c r="H383" t="s">
        <v>549</v>
      </c>
      <c r="J383">
        <v>400015</v>
      </c>
      <c r="M383" t="s">
        <v>1416</v>
      </c>
      <c r="P383" t="s">
        <v>98</v>
      </c>
      <c r="R383" t="s">
        <v>586</v>
      </c>
      <c r="S383" t="s">
        <v>1899</v>
      </c>
      <c r="T383" t="s">
        <v>1900</v>
      </c>
      <c r="V383" t="s">
        <v>477</v>
      </c>
      <c r="W383" t="s">
        <v>73</v>
      </c>
      <c r="AE383" t="s">
        <v>478</v>
      </c>
      <c r="AF383" t="s">
        <v>479</v>
      </c>
      <c r="AL383">
        <v>122.22</v>
      </c>
      <c r="AM383" t="s">
        <v>587</v>
      </c>
      <c r="AO383" t="s">
        <v>480</v>
      </c>
      <c r="AP383" t="s">
        <v>481</v>
      </c>
      <c r="AQ383" t="s">
        <v>580</v>
      </c>
      <c r="AR383" t="s">
        <v>482</v>
      </c>
      <c r="AS383" t="s">
        <v>483</v>
      </c>
      <c r="AT383" t="s">
        <v>484</v>
      </c>
      <c r="AU383" t="s">
        <v>521</v>
      </c>
      <c r="AV383" t="s">
        <v>662</v>
      </c>
      <c r="AW383" t="s">
        <v>486</v>
      </c>
      <c r="BF383" s="1"/>
      <c r="BG383" t="s">
        <v>523</v>
      </c>
      <c r="BH383" t="s">
        <v>487</v>
      </c>
      <c r="BP383" t="s">
        <v>1489</v>
      </c>
      <c r="BQ383" t="s">
        <v>662</v>
      </c>
    </row>
    <row r="384" spans="1:69" x14ac:dyDescent="0.25">
      <c r="A384" t="s">
        <v>5713</v>
      </c>
      <c r="B384" t="s">
        <v>474</v>
      </c>
      <c r="C384" t="s">
        <v>2283</v>
      </c>
      <c r="E384" t="s">
        <v>480</v>
      </c>
      <c r="G384" s="1" t="s">
        <v>2284</v>
      </c>
      <c r="H384" t="s">
        <v>553</v>
      </c>
      <c r="J384">
        <v>400015</v>
      </c>
      <c r="M384" t="s">
        <v>1422</v>
      </c>
      <c r="P384" t="s">
        <v>97</v>
      </c>
      <c r="R384" t="s">
        <v>743</v>
      </c>
      <c r="S384" t="s">
        <v>2300</v>
      </c>
      <c r="T384" t="s">
        <v>2301</v>
      </c>
      <c r="V384" t="s">
        <v>477</v>
      </c>
      <c r="W384" t="s">
        <v>73</v>
      </c>
      <c r="AE384" t="s">
        <v>478</v>
      </c>
      <c r="AF384" t="s">
        <v>479</v>
      </c>
      <c r="AL384">
        <v>171.16</v>
      </c>
      <c r="AM384" t="s">
        <v>893</v>
      </c>
      <c r="AO384" t="s">
        <v>480</v>
      </c>
      <c r="AP384" t="s">
        <v>481</v>
      </c>
      <c r="AQ384" t="s">
        <v>677</v>
      </c>
      <c r="AR384" t="s">
        <v>482</v>
      </c>
      <c r="AS384" t="s">
        <v>483</v>
      </c>
      <c r="AT384" t="s">
        <v>484</v>
      </c>
      <c r="AU384" t="s">
        <v>521</v>
      </c>
      <c r="AV384" t="s">
        <v>662</v>
      </c>
      <c r="AW384" t="s">
        <v>486</v>
      </c>
      <c r="BF384" s="1"/>
      <c r="BG384" t="s">
        <v>523</v>
      </c>
      <c r="BH384" t="s">
        <v>487</v>
      </c>
      <c r="BP384" t="s">
        <v>1489</v>
      </c>
      <c r="BQ384" t="s">
        <v>662</v>
      </c>
    </row>
    <row r="385" spans="1:69" x14ac:dyDescent="0.25">
      <c r="A385" t="s">
        <v>5713</v>
      </c>
      <c r="B385" t="s">
        <v>474</v>
      </c>
      <c r="C385" t="s">
        <v>2283</v>
      </c>
      <c r="E385" t="s">
        <v>480</v>
      </c>
      <c r="G385" s="1" t="s">
        <v>2284</v>
      </c>
      <c r="H385" t="s">
        <v>556</v>
      </c>
      <c r="J385">
        <v>400015</v>
      </c>
      <c r="M385" t="s">
        <v>1422</v>
      </c>
      <c r="P385" t="s">
        <v>75</v>
      </c>
      <c r="R385" t="s">
        <v>2302</v>
      </c>
      <c r="S385" t="s">
        <v>2303</v>
      </c>
      <c r="T385" t="s">
        <v>2304</v>
      </c>
      <c r="V385" t="s">
        <v>477</v>
      </c>
      <c r="W385" t="s">
        <v>73</v>
      </c>
      <c r="AE385" t="s">
        <v>478</v>
      </c>
      <c r="AF385" t="s">
        <v>479</v>
      </c>
      <c r="AL385">
        <v>1222.6400000000001</v>
      </c>
      <c r="AM385" t="s">
        <v>2305</v>
      </c>
      <c r="AO385" t="s">
        <v>480</v>
      </c>
      <c r="AP385" t="s">
        <v>481</v>
      </c>
      <c r="AQ385" t="s">
        <v>599</v>
      </c>
      <c r="AR385" t="s">
        <v>482</v>
      </c>
      <c r="AS385" t="s">
        <v>483</v>
      </c>
      <c r="AT385" t="s">
        <v>484</v>
      </c>
      <c r="AU385" t="s">
        <v>521</v>
      </c>
      <c r="AV385" t="s">
        <v>662</v>
      </c>
      <c r="AW385" t="s">
        <v>486</v>
      </c>
      <c r="BF385" s="1"/>
      <c r="BG385" t="s">
        <v>523</v>
      </c>
      <c r="BH385" t="s">
        <v>487</v>
      </c>
      <c r="BP385" t="s">
        <v>1489</v>
      </c>
      <c r="BQ385" t="s">
        <v>662</v>
      </c>
    </row>
    <row r="386" spans="1:69" x14ac:dyDescent="0.25">
      <c r="A386" t="s">
        <v>5713</v>
      </c>
      <c r="B386" t="s">
        <v>474</v>
      </c>
      <c r="C386" t="s">
        <v>1665</v>
      </c>
      <c r="E386" t="s">
        <v>475</v>
      </c>
      <c r="G386" s="1" t="s">
        <v>2306</v>
      </c>
      <c r="H386" t="s">
        <v>476</v>
      </c>
      <c r="J386">
        <v>400015</v>
      </c>
      <c r="M386" t="s">
        <v>1425</v>
      </c>
      <c r="P386" t="s">
        <v>92</v>
      </c>
      <c r="R386" t="s">
        <v>764</v>
      </c>
      <c r="S386" t="s">
        <v>2307</v>
      </c>
      <c r="T386" t="s">
        <v>2308</v>
      </c>
      <c r="V386" t="s">
        <v>477</v>
      </c>
      <c r="W386" t="s">
        <v>235</v>
      </c>
      <c r="AE386" t="s">
        <v>478</v>
      </c>
      <c r="AF386" t="s">
        <v>479</v>
      </c>
      <c r="AL386">
        <v>236.58</v>
      </c>
      <c r="AM386" t="s">
        <v>641</v>
      </c>
      <c r="AO386" t="s">
        <v>480</v>
      </c>
      <c r="AP386" t="s">
        <v>481</v>
      </c>
      <c r="AQ386" t="s">
        <v>713</v>
      </c>
      <c r="AR386" t="s">
        <v>482</v>
      </c>
      <c r="AS386" t="s">
        <v>483</v>
      </c>
      <c r="AT386" t="s">
        <v>484</v>
      </c>
      <c r="AU386" t="s">
        <v>130</v>
      </c>
      <c r="AV386" t="s">
        <v>485</v>
      </c>
      <c r="AW386" t="s">
        <v>486</v>
      </c>
      <c r="BF386" s="1"/>
      <c r="BG386" t="s">
        <v>266</v>
      </c>
      <c r="BH386" t="s">
        <v>487</v>
      </c>
      <c r="BP386" t="s">
        <v>1489</v>
      </c>
      <c r="BQ386" t="s">
        <v>485</v>
      </c>
    </row>
    <row r="387" spans="1:69" x14ac:dyDescent="0.25">
      <c r="A387" t="s">
        <v>5713</v>
      </c>
      <c r="B387" t="s">
        <v>474</v>
      </c>
      <c r="C387" t="s">
        <v>1665</v>
      </c>
      <c r="E387" t="s">
        <v>475</v>
      </c>
      <c r="G387" s="1" t="s">
        <v>2306</v>
      </c>
      <c r="H387" t="s">
        <v>492</v>
      </c>
      <c r="J387">
        <v>400015</v>
      </c>
      <c r="M387" t="s">
        <v>1414</v>
      </c>
      <c r="P387" t="s">
        <v>117</v>
      </c>
      <c r="R387" t="s">
        <v>668</v>
      </c>
      <c r="S387" t="s">
        <v>2309</v>
      </c>
      <c r="T387" t="s">
        <v>2310</v>
      </c>
      <c r="V387" t="s">
        <v>477</v>
      </c>
      <c r="W387" t="s">
        <v>235</v>
      </c>
      <c r="AE387" t="s">
        <v>478</v>
      </c>
      <c r="AF387" t="s">
        <v>479</v>
      </c>
      <c r="AL387">
        <v>684.71999999999991</v>
      </c>
      <c r="AM387" t="s">
        <v>669</v>
      </c>
      <c r="AO387" t="s">
        <v>480</v>
      </c>
      <c r="AP387" t="s">
        <v>481</v>
      </c>
      <c r="AQ387" t="s">
        <v>718</v>
      </c>
      <c r="AR387" t="s">
        <v>482</v>
      </c>
      <c r="AS387" t="s">
        <v>483</v>
      </c>
      <c r="AT387" t="s">
        <v>484</v>
      </c>
      <c r="AU387" t="s">
        <v>130</v>
      </c>
      <c r="AV387" t="s">
        <v>485</v>
      </c>
      <c r="AW387" t="s">
        <v>486</v>
      </c>
      <c r="BF387" s="1"/>
      <c r="BG387" t="s">
        <v>266</v>
      </c>
      <c r="BH387" t="s">
        <v>487</v>
      </c>
      <c r="BP387" t="s">
        <v>1489</v>
      </c>
      <c r="BQ387" t="s">
        <v>485</v>
      </c>
    </row>
    <row r="388" spans="1:69" x14ac:dyDescent="0.25">
      <c r="A388" t="s">
        <v>5713</v>
      </c>
      <c r="B388" t="s">
        <v>474</v>
      </c>
      <c r="C388" t="s">
        <v>1665</v>
      </c>
      <c r="E388" t="s">
        <v>475</v>
      </c>
      <c r="G388" s="1" t="s">
        <v>2306</v>
      </c>
      <c r="H388" t="s">
        <v>498</v>
      </c>
      <c r="J388">
        <v>400015</v>
      </c>
      <c r="M388" t="s">
        <v>1424</v>
      </c>
      <c r="P388" t="s">
        <v>100</v>
      </c>
      <c r="R388" t="s">
        <v>883</v>
      </c>
      <c r="S388" t="s">
        <v>2311</v>
      </c>
      <c r="T388" t="s">
        <v>2312</v>
      </c>
      <c r="V388" t="s">
        <v>477</v>
      </c>
      <c r="W388" t="s">
        <v>235</v>
      </c>
      <c r="AE388" t="s">
        <v>478</v>
      </c>
      <c r="AF388" t="s">
        <v>479</v>
      </c>
      <c r="AL388">
        <v>1697.76</v>
      </c>
      <c r="AM388" t="s">
        <v>917</v>
      </c>
      <c r="AO388" t="s">
        <v>480</v>
      </c>
      <c r="AP388" t="s">
        <v>481</v>
      </c>
      <c r="AQ388" t="s">
        <v>709</v>
      </c>
      <c r="AR388" t="s">
        <v>482</v>
      </c>
      <c r="AS388" t="s">
        <v>483</v>
      </c>
      <c r="AT388" t="s">
        <v>484</v>
      </c>
      <c r="AU388" t="s">
        <v>130</v>
      </c>
      <c r="AV388" t="s">
        <v>485</v>
      </c>
      <c r="AW388" t="s">
        <v>486</v>
      </c>
      <c r="BF388" s="1"/>
      <c r="BG388" t="s">
        <v>266</v>
      </c>
      <c r="BH388" t="s">
        <v>487</v>
      </c>
      <c r="BP388" t="s">
        <v>1489</v>
      </c>
      <c r="BQ388" t="s">
        <v>485</v>
      </c>
    </row>
    <row r="389" spans="1:69" x14ac:dyDescent="0.25">
      <c r="A389" t="s">
        <v>5713</v>
      </c>
      <c r="B389" t="s">
        <v>474</v>
      </c>
      <c r="C389" t="s">
        <v>1665</v>
      </c>
      <c r="E389" t="s">
        <v>475</v>
      </c>
      <c r="G389" s="1" t="s">
        <v>2306</v>
      </c>
      <c r="H389" t="s">
        <v>500</v>
      </c>
      <c r="J389">
        <v>400015</v>
      </c>
      <c r="M389" t="s">
        <v>1424</v>
      </c>
      <c r="P389" t="s">
        <v>122</v>
      </c>
      <c r="R389" t="s">
        <v>488</v>
      </c>
      <c r="S389" t="s">
        <v>2313</v>
      </c>
      <c r="T389" t="s">
        <v>2314</v>
      </c>
      <c r="V389" t="s">
        <v>477</v>
      </c>
      <c r="W389" t="s">
        <v>235</v>
      </c>
      <c r="AE389" t="s">
        <v>478</v>
      </c>
      <c r="AF389" t="s">
        <v>479</v>
      </c>
      <c r="AL389">
        <v>628.1</v>
      </c>
      <c r="AM389" t="s">
        <v>746</v>
      </c>
      <c r="AO389" t="s">
        <v>480</v>
      </c>
      <c r="AP389" t="s">
        <v>481</v>
      </c>
      <c r="AQ389" t="s">
        <v>721</v>
      </c>
      <c r="AR389" t="s">
        <v>482</v>
      </c>
      <c r="AS389" t="s">
        <v>483</v>
      </c>
      <c r="AT389" t="s">
        <v>484</v>
      </c>
      <c r="AU389" t="s">
        <v>130</v>
      </c>
      <c r="AV389" t="s">
        <v>485</v>
      </c>
      <c r="AW389" t="s">
        <v>486</v>
      </c>
      <c r="BF389" s="1"/>
      <c r="BG389" t="s">
        <v>266</v>
      </c>
      <c r="BH389" t="s">
        <v>487</v>
      </c>
      <c r="BP389" t="s">
        <v>1489</v>
      </c>
      <c r="BQ389" t="s">
        <v>485</v>
      </c>
    </row>
    <row r="390" spans="1:69" x14ac:dyDescent="0.25">
      <c r="A390" t="s">
        <v>5713</v>
      </c>
      <c r="B390" t="s">
        <v>474</v>
      </c>
      <c r="C390" t="s">
        <v>1665</v>
      </c>
      <c r="E390" t="s">
        <v>475</v>
      </c>
      <c r="G390" s="1" t="s">
        <v>2306</v>
      </c>
      <c r="H390" t="s">
        <v>517</v>
      </c>
      <c r="J390">
        <v>400015</v>
      </c>
      <c r="M390" t="s">
        <v>1424</v>
      </c>
      <c r="P390" t="s">
        <v>438</v>
      </c>
      <c r="R390" t="s">
        <v>2315</v>
      </c>
      <c r="S390" t="s">
        <v>2316</v>
      </c>
      <c r="T390" t="s">
        <v>2317</v>
      </c>
      <c r="V390" t="s">
        <v>477</v>
      </c>
      <c r="W390" t="s">
        <v>235</v>
      </c>
      <c r="AE390" t="s">
        <v>478</v>
      </c>
      <c r="AF390" t="s">
        <v>479</v>
      </c>
      <c r="AL390">
        <v>3001.9949999999999</v>
      </c>
      <c r="AM390" t="s">
        <v>2318</v>
      </c>
      <c r="AO390" t="s">
        <v>480</v>
      </c>
      <c r="AP390" t="s">
        <v>481</v>
      </c>
      <c r="AQ390" t="s">
        <v>1523</v>
      </c>
      <c r="AR390" t="s">
        <v>482</v>
      </c>
      <c r="AS390" t="s">
        <v>483</v>
      </c>
      <c r="AT390" t="s">
        <v>484</v>
      </c>
      <c r="AU390" t="s">
        <v>130</v>
      </c>
      <c r="AV390" t="s">
        <v>485</v>
      </c>
      <c r="AW390" t="s">
        <v>486</v>
      </c>
      <c r="BF390" s="1"/>
      <c r="BG390" t="s">
        <v>266</v>
      </c>
      <c r="BH390" t="s">
        <v>487</v>
      </c>
      <c r="BP390" t="s">
        <v>1489</v>
      </c>
      <c r="BQ390" t="s">
        <v>485</v>
      </c>
    </row>
    <row r="391" spans="1:69" x14ac:dyDescent="0.25">
      <c r="A391" t="s">
        <v>5713</v>
      </c>
      <c r="B391" t="s">
        <v>474</v>
      </c>
      <c r="C391" t="s">
        <v>2319</v>
      </c>
      <c r="E391" t="s">
        <v>480</v>
      </c>
      <c r="G391" s="1" t="s">
        <v>2320</v>
      </c>
      <c r="H391" t="s">
        <v>476</v>
      </c>
      <c r="J391">
        <v>400015</v>
      </c>
      <c r="M391" t="s">
        <v>1416</v>
      </c>
      <c r="P391" t="s">
        <v>83</v>
      </c>
      <c r="R391" t="s">
        <v>2321</v>
      </c>
      <c r="S391" t="s">
        <v>2322</v>
      </c>
      <c r="T391" t="s">
        <v>2323</v>
      </c>
      <c r="V391" t="s">
        <v>477</v>
      </c>
      <c r="W391" t="s">
        <v>70</v>
      </c>
      <c r="AE391" t="s">
        <v>478</v>
      </c>
      <c r="AF391" t="s">
        <v>479</v>
      </c>
      <c r="AL391">
        <v>739.62</v>
      </c>
      <c r="AM391" t="s">
        <v>842</v>
      </c>
      <c r="AO391" t="s">
        <v>480</v>
      </c>
      <c r="AP391" t="s">
        <v>481</v>
      </c>
      <c r="AQ391" t="s">
        <v>497</v>
      </c>
      <c r="AR391" t="s">
        <v>482</v>
      </c>
      <c r="AS391" t="s">
        <v>483</v>
      </c>
      <c r="AT391" t="s">
        <v>484</v>
      </c>
      <c r="AU391" t="s">
        <v>490</v>
      </c>
      <c r="AV391" t="s">
        <v>491</v>
      </c>
      <c r="AW391" t="s">
        <v>486</v>
      </c>
      <c r="BF391" s="1"/>
      <c r="BG391" t="s">
        <v>71</v>
      </c>
      <c r="BH391" t="s">
        <v>487</v>
      </c>
      <c r="BP391" t="s">
        <v>1489</v>
      </c>
      <c r="BQ391" t="s">
        <v>491</v>
      </c>
    </row>
    <row r="392" spans="1:69" x14ac:dyDescent="0.25">
      <c r="A392" t="s">
        <v>5713</v>
      </c>
      <c r="B392" t="s">
        <v>474</v>
      </c>
      <c r="C392" t="s">
        <v>2319</v>
      </c>
      <c r="E392" t="s">
        <v>480</v>
      </c>
      <c r="G392" s="1" t="s">
        <v>2320</v>
      </c>
      <c r="H392" t="s">
        <v>492</v>
      </c>
      <c r="J392">
        <v>400015</v>
      </c>
      <c r="M392" t="s">
        <v>1417</v>
      </c>
      <c r="P392" t="s">
        <v>121</v>
      </c>
      <c r="R392" t="s">
        <v>827</v>
      </c>
      <c r="S392" t="s">
        <v>2324</v>
      </c>
      <c r="T392" t="s">
        <v>2325</v>
      </c>
      <c r="V392" t="s">
        <v>477</v>
      </c>
      <c r="W392" t="s">
        <v>70</v>
      </c>
      <c r="AE392" t="s">
        <v>478</v>
      </c>
      <c r="AF392" t="s">
        <v>479</v>
      </c>
      <c r="AL392">
        <v>87.012</v>
      </c>
      <c r="AM392" t="s">
        <v>888</v>
      </c>
      <c r="AO392" t="s">
        <v>480</v>
      </c>
      <c r="AP392" t="s">
        <v>481</v>
      </c>
      <c r="AQ392" t="s">
        <v>499</v>
      </c>
      <c r="AR392" t="s">
        <v>482</v>
      </c>
      <c r="AS392" t="s">
        <v>483</v>
      </c>
      <c r="AT392" t="s">
        <v>484</v>
      </c>
      <c r="AU392" t="s">
        <v>490</v>
      </c>
      <c r="AV392" t="s">
        <v>491</v>
      </c>
      <c r="AW392" t="s">
        <v>486</v>
      </c>
      <c r="BF392" s="1"/>
      <c r="BG392" t="s">
        <v>71</v>
      </c>
      <c r="BH392" t="s">
        <v>487</v>
      </c>
      <c r="BP392" t="s">
        <v>1489</v>
      </c>
      <c r="BQ392" t="s">
        <v>491</v>
      </c>
    </row>
    <row r="393" spans="1:69" x14ac:dyDescent="0.25">
      <c r="A393" t="s">
        <v>5713</v>
      </c>
      <c r="B393" t="s">
        <v>474</v>
      </c>
      <c r="C393" t="s">
        <v>2319</v>
      </c>
      <c r="E393" t="s">
        <v>480</v>
      </c>
      <c r="G393" s="1" t="s">
        <v>2320</v>
      </c>
      <c r="H393" t="s">
        <v>498</v>
      </c>
      <c r="J393">
        <v>400015</v>
      </c>
      <c r="M393" t="s">
        <v>1417</v>
      </c>
      <c r="P393" t="s">
        <v>133</v>
      </c>
      <c r="R393" t="s">
        <v>2326</v>
      </c>
      <c r="S393" t="s">
        <v>2327</v>
      </c>
      <c r="T393" t="s">
        <v>2328</v>
      </c>
      <c r="V393" t="s">
        <v>477</v>
      </c>
      <c r="W393" t="s">
        <v>70</v>
      </c>
      <c r="AE393" t="s">
        <v>478</v>
      </c>
      <c r="AF393" t="s">
        <v>479</v>
      </c>
      <c r="AL393">
        <v>2630.7000000000003</v>
      </c>
      <c r="AM393" t="s">
        <v>2329</v>
      </c>
      <c r="AO393" t="s">
        <v>480</v>
      </c>
      <c r="AP393" t="s">
        <v>481</v>
      </c>
      <c r="AQ393" t="s">
        <v>505</v>
      </c>
      <c r="AR393" t="s">
        <v>482</v>
      </c>
      <c r="AS393" t="s">
        <v>483</v>
      </c>
      <c r="AT393" t="s">
        <v>484</v>
      </c>
      <c r="AU393" t="s">
        <v>490</v>
      </c>
      <c r="AV393" t="s">
        <v>491</v>
      </c>
      <c r="AW393" t="s">
        <v>486</v>
      </c>
      <c r="BF393" s="1"/>
      <c r="BG393" t="s">
        <v>71</v>
      </c>
      <c r="BH393" t="s">
        <v>487</v>
      </c>
      <c r="BP393" t="s">
        <v>1489</v>
      </c>
      <c r="BQ393" t="s">
        <v>491</v>
      </c>
    </row>
    <row r="394" spans="1:69" x14ac:dyDescent="0.25">
      <c r="A394" t="s">
        <v>5713</v>
      </c>
      <c r="B394" t="s">
        <v>474</v>
      </c>
      <c r="C394" t="s">
        <v>2319</v>
      </c>
      <c r="E394" t="s">
        <v>480</v>
      </c>
      <c r="G394" s="1" t="s">
        <v>2320</v>
      </c>
      <c r="H394" t="s">
        <v>500</v>
      </c>
      <c r="J394">
        <v>400015</v>
      </c>
      <c r="M394" t="s">
        <v>1417</v>
      </c>
      <c r="P394" t="s">
        <v>133</v>
      </c>
      <c r="R394" t="s">
        <v>501</v>
      </c>
      <c r="S394" t="s">
        <v>502</v>
      </c>
      <c r="T394" t="s">
        <v>503</v>
      </c>
      <c r="V394" t="s">
        <v>477</v>
      </c>
      <c r="W394" t="s">
        <v>70</v>
      </c>
      <c r="AE394" t="s">
        <v>478</v>
      </c>
      <c r="AF394" t="s">
        <v>479</v>
      </c>
      <c r="AL394">
        <v>3583.44</v>
      </c>
      <c r="AM394" t="s">
        <v>504</v>
      </c>
      <c r="AO394" t="s">
        <v>480</v>
      </c>
      <c r="AP394" t="s">
        <v>481</v>
      </c>
      <c r="AQ394" t="s">
        <v>505</v>
      </c>
      <c r="AR394" t="s">
        <v>482</v>
      </c>
      <c r="AS394" t="s">
        <v>483</v>
      </c>
      <c r="AT394" t="s">
        <v>484</v>
      </c>
      <c r="AU394" t="s">
        <v>490</v>
      </c>
      <c r="AV394" t="s">
        <v>491</v>
      </c>
      <c r="AW394" t="s">
        <v>486</v>
      </c>
      <c r="BF394" s="1"/>
      <c r="BG394" t="s">
        <v>71</v>
      </c>
      <c r="BH394" t="s">
        <v>487</v>
      </c>
      <c r="BP394" t="s">
        <v>1489</v>
      </c>
      <c r="BQ394" t="s">
        <v>491</v>
      </c>
    </row>
    <row r="395" spans="1:69" x14ac:dyDescent="0.25">
      <c r="A395" t="s">
        <v>5713</v>
      </c>
      <c r="B395" t="s">
        <v>474</v>
      </c>
      <c r="C395" t="s">
        <v>1665</v>
      </c>
      <c r="E395" t="s">
        <v>480</v>
      </c>
      <c r="G395" s="1" t="s">
        <v>2330</v>
      </c>
      <c r="H395" t="s">
        <v>476</v>
      </c>
      <c r="J395">
        <v>400015</v>
      </c>
      <c r="M395" t="s">
        <v>1419</v>
      </c>
      <c r="P395" t="s">
        <v>131</v>
      </c>
      <c r="R395" t="s">
        <v>2331</v>
      </c>
      <c r="S395" t="s">
        <v>2332</v>
      </c>
      <c r="T395" t="s">
        <v>2333</v>
      </c>
      <c r="V395" t="s">
        <v>477</v>
      </c>
      <c r="W395" t="s">
        <v>70</v>
      </c>
      <c r="AE395" t="s">
        <v>478</v>
      </c>
      <c r="AF395" t="s">
        <v>479</v>
      </c>
      <c r="AL395">
        <v>4087.1669999999999</v>
      </c>
      <c r="AM395" t="s">
        <v>2334</v>
      </c>
      <c r="AO395" t="s">
        <v>480</v>
      </c>
      <c r="AP395" t="s">
        <v>481</v>
      </c>
      <c r="AQ395" t="s">
        <v>516</v>
      </c>
      <c r="AR395" t="s">
        <v>482</v>
      </c>
      <c r="AS395" t="s">
        <v>483</v>
      </c>
      <c r="AT395" t="s">
        <v>484</v>
      </c>
      <c r="AU395" t="s">
        <v>490</v>
      </c>
      <c r="AV395" t="s">
        <v>511</v>
      </c>
      <c r="AW395" t="s">
        <v>486</v>
      </c>
      <c r="BF395" s="1"/>
      <c r="BG395" t="s">
        <v>71</v>
      </c>
      <c r="BH395" t="s">
        <v>487</v>
      </c>
      <c r="BP395" t="s">
        <v>1489</v>
      </c>
      <c r="BQ395" t="s">
        <v>511</v>
      </c>
    </row>
    <row r="396" spans="1:69" x14ac:dyDescent="0.25">
      <c r="A396" t="s">
        <v>5713</v>
      </c>
      <c r="B396" t="s">
        <v>474</v>
      </c>
      <c r="C396" t="s">
        <v>1665</v>
      </c>
      <c r="E396" t="s">
        <v>480</v>
      </c>
      <c r="G396" s="1" t="s">
        <v>2330</v>
      </c>
      <c r="H396" t="s">
        <v>492</v>
      </c>
      <c r="J396">
        <v>400015</v>
      </c>
      <c r="M396" t="s">
        <v>1419</v>
      </c>
      <c r="P396" t="s">
        <v>329</v>
      </c>
      <c r="R396" t="s">
        <v>543</v>
      </c>
      <c r="S396" t="s">
        <v>2335</v>
      </c>
      <c r="T396" t="s">
        <v>2336</v>
      </c>
      <c r="V396" t="s">
        <v>477</v>
      </c>
      <c r="W396" t="s">
        <v>70</v>
      </c>
      <c r="AE396" t="s">
        <v>478</v>
      </c>
      <c r="AF396" t="s">
        <v>479</v>
      </c>
      <c r="AL396">
        <v>4.5819999999999999</v>
      </c>
      <c r="AM396" t="s">
        <v>2337</v>
      </c>
      <c r="AO396" t="s">
        <v>480</v>
      </c>
      <c r="AP396" t="s">
        <v>481</v>
      </c>
      <c r="AQ396" t="s">
        <v>2338</v>
      </c>
      <c r="AR396" t="s">
        <v>482</v>
      </c>
      <c r="AS396" t="s">
        <v>483</v>
      </c>
      <c r="AT396" t="s">
        <v>484</v>
      </c>
      <c r="AU396" t="s">
        <v>490</v>
      </c>
      <c r="AV396" t="s">
        <v>511</v>
      </c>
      <c r="AW396" t="s">
        <v>486</v>
      </c>
      <c r="BF396" s="1"/>
      <c r="BG396" t="s">
        <v>71</v>
      </c>
      <c r="BH396" t="s">
        <v>487</v>
      </c>
      <c r="BP396" t="s">
        <v>1489</v>
      </c>
      <c r="BQ396" t="s">
        <v>511</v>
      </c>
    </row>
    <row r="397" spans="1:69" x14ac:dyDescent="0.25">
      <c r="A397" t="s">
        <v>5713</v>
      </c>
      <c r="B397" t="s">
        <v>474</v>
      </c>
      <c r="C397" t="s">
        <v>1665</v>
      </c>
      <c r="E397" t="s">
        <v>480</v>
      </c>
      <c r="G397" s="1" t="s">
        <v>2330</v>
      </c>
      <c r="H397" t="s">
        <v>498</v>
      </c>
      <c r="J397">
        <v>400015</v>
      </c>
      <c r="M397" t="s">
        <v>1429</v>
      </c>
      <c r="P397" t="s">
        <v>320</v>
      </c>
      <c r="R397" t="s">
        <v>739</v>
      </c>
      <c r="S397" t="s">
        <v>2339</v>
      </c>
      <c r="T397" t="s">
        <v>2340</v>
      </c>
      <c r="V397" t="s">
        <v>477</v>
      </c>
      <c r="W397" t="s">
        <v>70</v>
      </c>
      <c r="AE397" t="s">
        <v>478</v>
      </c>
      <c r="AF397" t="s">
        <v>479</v>
      </c>
      <c r="AL397">
        <v>6.8419999999999996</v>
      </c>
      <c r="AM397" t="s">
        <v>1624</v>
      </c>
      <c r="AO397" t="s">
        <v>480</v>
      </c>
      <c r="AP397" t="s">
        <v>481</v>
      </c>
      <c r="AQ397" t="s">
        <v>2341</v>
      </c>
      <c r="AR397" t="s">
        <v>482</v>
      </c>
      <c r="AS397" t="s">
        <v>483</v>
      </c>
      <c r="AT397" t="s">
        <v>484</v>
      </c>
      <c r="AU397" t="s">
        <v>490</v>
      </c>
      <c r="AV397" t="s">
        <v>511</v>
      </c>
      <c r="AW397" t="s">
        <v>486</v>
      </c>
      <c r="BF397" s="1"/>
      <c r="BG397" t="s">
        <v>71</v>
      </c>
      <c r="BH397" t="s">
        <v>487</v>
      </c>
      <c r="BP397" t="s">
        <v>1489</v>
      </c>
      <c r="BQ397" t="s">
        <v>511</v>
      </c>
    </row>
    <row r="398" spans="1:69" x14ac:dyDescent="0.25">
      <c r="A398" t="s">
        <v>5713</v>
      </c>
      <c r="B398" t="s">
        <v>474</v>
      </c>
      <c r="C398" t="s">
        <v>1665</v>
      </c>
      <c r="E398" t="s">
        <v>480</v>
      </c>
      <c r="G398" s="1" t="s">
        <v>2330</v>
      </c>
      <c r="H398" t="s">
        <v>500</v>
      </c>
      <c r="J398">
        <v>400015</v>
      </c>
      <c r="M398" t="s">
        <v>1418</v>
      </c>
      <c r="P398" t="s">
        <v>149</v>
      </c>
      <c r="R398" t="s">
        <v>506</v>
      </c>
      <c r="S398" t="s">
        <v>507</v>
      </c>
      <c r="T398" t="s">
        <v>508</v>
      </c>
      <c r="V398" t="s">
        <v>477</v>
      </c>
      <c r="W398" t="s">
        <v>70</v>
      </c>
      <c r="AE398" t="s">
        <v>478</v>
      </c>
      <c r="AF398" t="s">
        <v>479</v>
      </c>
      <c r="AL398">
        <v>4013.3879999999995</v>
      </c>
      <c r="AM398" t="s">
        <v>509</v>
      </c>
      <c r="AO398" t="s">
        <v>480</v>
      </c>
      <c r="AP398" t="s">
        <v>481</v>
      </c>
      <c r="AQ398" t="s">
        <v>510</v>
      </c>
      <c r="AR398" t="s">
        <v>482</v>
      </c>
      <c r="AS398" t="s">
        <v>483</v>
      </c>
      <c r="AT398" t="s">
        <v>484</v>
      </c>
      <c r="AU398" t="s">
        <v>490</v>
      </c>
      <c r="AV398" t="s">
        <v>511</v>
      </c>
      <c r="AW398" t="s">
        <v>486</v>
      </c>
      <c r="BF398" s="1"/>
      <c r="BG398" t="s">
        <v>71</v>
      </c>
      <c r="BH398" t="s">
        <v>487</v>
      </c>
      <c r="BP398" t="s">
        <v>1489</v>
      </c>
      <c r="BQ398" t="s">
        <v>511</v>
      </c>
    </row>
    <row r="399" spans="1:69" x14ac:dyDescent="0.25">
      <c r="A399" t="s">
        <v>5713</v>
      </c>
      <c r="B399" t="s">
        <v>474</v>
      </c>
      <c r="C399" t="s">
        <v>1665</v>
      </c>
      <c r="E399" t="s">
        <v>480</v>
      </c>
      <c r="G399" s="1" t="s">
        <v>2330</v>
      </c>
      <c r="H399" t="s">
        <v>517</v>
      </c>
      <c r="J399">
        <v>400015</v>
      </c>
      <c r="M399" t="s">
        <v>1429</v>
      </c>
      <c r="P399" t="s">
        <v>144</v>
      </c>
      <c r="R399" t="s">
        <v>722</v>
      </c>
      <c r="S399" t="s">
        <v>723</v>
      </c>
      <c r="T399" t="s">
        <v>724</v>
      </c>
      <c r="V399" t="s">
        <v>477</v>
      </c>
      <c r="W399" t="s">
        <v>70</v>
      </c>
      <c r="AE399" t="s">
        <v>478</v>
      </c>
      <c r="AF399" t="s">
        <v>479</v>
      </c>
      <c r="AL399">
        <v>4308.12</v>
      </c>
      <c r="AM399" t="s">
        <v>725</v>
      </c>
      <c r="AO399" t="s">
        <v>480</v>
      </c>
      <c r="AP399" t="s">
        <v>481</v>
      </c>
      <c r="AQ399" t="s">
        <v>726</v>
      </c>
      <c r="AR399" t="s">
        <v>482</v>
      </c>
      <c r="AS399" t="s">
        <v>483</v>
      </c>
      <c r="AT399" t="s">
        <v>484</v>
      </c>
      <c r="AU399" t="s">
        <v>490</v>
      </c>
      <c r="AV399" t="s">
        <v>511</v>
      </c>
      <c r="AW399" t="s">
        <v>486</v>
      </c>
      <c r="BF399" s="1"/>
      <c r="BG399" t="s">
        <v>71</v>
      </c>
      <c r="BH399" t="s">
        <v>487</v>
      </c>
      <c r="BP399" t="s">
        <v>1489</v>
      </c>
      <c r="BQ399" t="s">
        <v>511</v>
      </c>
    </row>
    <row r="400" spans="1:69" x14ac:dyDescent="0.25">
      <c r="A400" t="s">
        <v>5713</v>
      </c>
      <c r="B400" t="s">
        <v>474</v>
      </c>
      <c r="C400" t="s">
        <v>2342</v>
      </c>
      <c r="E400" t="s">
        <v>480</v>
      </c>
      <c r="G400" s="1" t="s">
        <v>2343</v>
      </c>
      <c r="H400" t="s">
        <v>476</v>
      </c>
      <c r="J400">
        <v>400015</v>
      </c>
      <c r="M400" t="s">
        <v>1429</v>
      </c>
      <c r="P400" t="s">
        <v>144</v>
      </c>
      <c r="R400" t="s">
        <v>722</v>
      </c>
      <c r="S400" t="s">
        <v>723</v>
      </c>
      <c r="T400" t="s">
        <v>724</v>
      </c>
      <c r="V400" t="s">
        <v>477</v>
      </c>
      <c r="W400" t="s">
        <v>70</v>
      </c>
      <c r="AE400" t="s">
        <v>478</v>
      </c>
      <c r="AF400" t="s">
        <v>479</v>
      </c>
      <c r="AL400">
        <v>4308.12</v>
      </c>
      <c r="AM400" t="s">
        <v>725</v>
      </c>
      <c r="AO400" t="s">
        <v>480</v>
      </c>
      <c r="AP400" t="s">
        <v>481</v>
      </c>
      <c r="AQ400" t="s">
        <v>726</v>
      </c>
      <c r="AR400" t="s">
        <v>482</v>
      </c>
      <c r="AS400" t="s">
        <v>483</v>
      </c>
      <c r="AT400" t="s">
        <v>484</v>
      </c>
      <c r="AU400" t="s">
        <v>490</v>
      </c>
      <c r="AV400" t="s">
        <v>511</v>
      </c>
      <c r="AW400" t="s">
        <v>486</v>
      </c>
      <c r="BF400" s="1"/>
      <c r="BG400" t="s">
        <v>71</v>
      </c>
      <c r="BH400" t="s">
        <v>487</v>
      </c>
      <c r="BP400" t="s">
        <v>1489</v>
      </c>
      <c r="BQ400" t="s">
        <v>511</v>
      </c>
    </row>
    <row r="401" spans="1:69" x14ac:dyDescent="0.25">
      <c r="A401" t="s">
        <v>5713</v>
      </c>
      <c r="B401" t="s">
        <v>474</v>
      </c>
      <c r="C401" t="s">
        <v>2342</v>
      </c>
      <c r="E401" t="s">
        <v>480</v>
      </c>
      <c r="G401" s="1" t="s">
        <v>2343</v>
      </c>
      <c r="H401" t="s">
        <v>492</v>
      </c>
      <c r="J401">
        <v>400015</v>
      </c>
      <c r="M401" t="s">
        <v>1418</v>
      </c>
      <c r="P401" t="s">
        <v>165</v>
      </c>
      <c r="R401" t="s">
        <v>748</v>
      </c>
      <c r="S401" t="s">
        <v>749</v>
      </c>
      <c r="T401" t="s">
        <v>750</v>
      </c>
      <c r="V401" t="s">
        <v>477</v>
      </c>
      <c r="W401" t="s">
        <v>70</v>
      </c>
      <c r="AE401" t="s">
        <v>478</v>
      </c>
      <c r="AF401" t="s">
        <v>479</v>
      </c>
      <c r="AL401">
        <v>4047.1559999999999</v>
      </c>
      <c r="AM401" t="s">
        <v>751</v>
      </c>
      <c r="AO401" t="s">
        <v>480</v>
      </c>
      <c r="AP401" t="s">
        <v>481</v>
      </c>
      <c r="AQ401" t="s">
        <v>752</v>
      </c>
      <c r="AR401" t="s">
        <v>482</v>
      </c>
      <c r="AS401" t="s">
        <v>483</v>
      </c>
      <c r="AT401" t="s">
        <v>484</v>
      </c>
      <c r="AU401" t="s">
        <v>490</v>
      </c>
      <c r="AV401" t="s">
        <v>511</v>
      </c>
      <c r="AW401" t="s">
        <v>486</v>
      </c>
      <c r="BF401" s="1"/>
      <c r="BG401" t="s">
        <v>71</v>
      </c>
      <c r="BH401" t="s">
        <v>487</v>
      </c>
      <c r="BP401" t="s">
        <v>1489</v>
      </c>
      <c r="BQ401" t="s">
        <v>511</v>
      </c>
    </row>
    <row r="402" spans="1:69" x14ac:dyDescent="0.25">
      <c r="A402" t="s">
        <v>5713</v>
      </c>
      <c r="B402" t="s">
        <v>474</v>
      </c>
      <c r="C402" t="s">
        <v>1486</v>
      </c>
      <c r="E402" t="s">
        <v>480</v>
      </c>
      <c r="G402" s="1" t="s">
        <v>2344</v>
      </c>
      <c r="H402" t="s">
        <v>959</v>
      </c>
      <c r="J402">
        <v>400016</v>
      </c>
      <c r="P402" t="s">
        <v>329</v>
      </c>
      <c r="R402" t="s">
        <v>918</v>
      </c>
      <c r="S402" t="s">
        <v>2345</v>
      </c>
      <c r="T402" t="s">
        <v>2346</v>
      </c>
      <c r="V402" t="s">
        <v>2347</v>
      </c>
      <c r="W402" t="s">
        <v>70</v>
      </c>
      <c r="AE402" t="s">
        <v>478</v>
      </c>
      <c r="AF402" t="s">
        <v>479</v>
      </c>
      <c r="AL402" t="s">
        <v>919</v>
      </c>
      <c r="AM402" t="s">
        <v>919</v>
      </c>
      <c r="AO402" t="s">
        <v>480</v>
      </c>
      <c r="AP402" t="s">
        <v>481</v>
      </c>
      <c r="AQ402" t="s">
        <v>2338</v>
      </c>
      <c r="AR402" t="s">
        <v>482</v>
      </c>
      <c r="AS402" t="s">
        <v>483</v>
      </c>
      <c r="AT402" t="s">
        <v>484</v>
      </c>
      <c r="AU402" t="s">
        <v>490</v>
      </c>
      <c r="AW402" t="s">
        <v>486</v>
      </c>
      <c r="BF402" s="1"/>
      <c r="BG402" t="s">
        <v>71</v>
      </c>
      <c r="BH402" t="s">
        <v>487</v>
      </c>
      <c r="BP402" t="s">
        <v>1489</v>
      </c>
    </row>
    <row r="403" spans="1:69" x14ac:dyDescent="0.25">
      <c r="A403" t="s">
        <v>5713</v>
      </c>
      <c r="B403" t="s">
        <v>474</v>
      </c>
      <c r="C403" t="s">
        <v>1486</v>
      </c>
      <c r="E403" t="s">
        <v>480</v>
      </c>
      <c r="G403" s="1" t="s">
        <v>2344</v>
      </c>
      <c r="H403" t="s">
        <v>492</v>
      </c>
      <c r="J403">
        <v>400016</v>
      </c>
      <c r="P403" t="s">
        <v>320</v>
      </c>
      <c r="R403" t="s">
        <v>918</v>
      </c>
      <c r="S403" t="s">
        <v>2348</v>
      </c>
      <c r="T403" t="s">
        <v>2349</v>
      </c>
      <c r="V403" t="s">
        <v>2350</v>
      </c>
      <c r="W403" t="s">
        <v>70</v>
      </c>
      <c r="AE403" t="s">
        <v>478</v>
      </c>
      <c r="AF403" t="s">
        <v>479</v>
      </c>
      <c r="AL403" t="s">
        <v>919</v>
      </c>
      <c r="AM403" t="s">
        <v>919</v>
      </c>
      <c r="AO403" t="s">
        <v>480</v>
      </c>
      <c r="AP403" t="s">
        <v>481</v>
      </c>
      <c r="AQ403" t="s">
        <v>2341</v>
      </c>
      <c r="AR403" t="s">
        <v>482</v>
      </c>
      <c r="AS403" t="s">
        <v>483</v>
      </c>
      <c r="AT403" t="s">
        <v>484</v>
      </c>
      <c r="AU403" t="s">
        <v>490</v>
      </c>
      <c r="AW403" t="s">
        <v>486</v>
      </c>
      <c r="BF403" s="1"/>
      <c r="BG403" t="s">
        <v>71</v>
      </c>
      <c r="BH403" t="s">
        <v>487</v>
      </c>
      <c r="BP403" t="s">
        <v>1489</v>
      </c>
    </row>
    <row r="404" spans="1:69" x14ac:dyDescent="0.25">
      <c r="A404" t="s">
        <v>5713</v>
      </c>
      <c r="B404" t="s">
        <v>474</v>
      </c>
      <c r="C404" t="s">
        <v>1486</v>
      </c>
      <c r="E404" t="s">
        <v>480</v>
      </c>
      <c r="G404" s="1" t="s">
        <v>2344</v>
      </c>
      <c r="H404" t="s">
        <v>500</v>
      </c>
      <c r="J404">
        <v>400016</v>
      </c>
      <c r="P404" t="s">
        <v>131</v>
      </c>
      <c r="R404" t="s">
        <v>918</v>
      </c>
      <c r="S404" t="s">
        <v>2351</v>
      </c>
      <c r="T404" t="s">
        <v>2352</v>
      </c>
      <c r="V404" t="s">
        <v>2353</v>
      </c>
      <c r="W404" t="s">
        <v>70</v>
      </c>
      <c r="AE404" t="s">
        <v>478</v>
      </c>
      <c r="AF404" t="s">
        <v>479</v>
      </c>
      <c r="AL404" t="s">
        <v>919</v>
      </c>
      <c r="AM404" t="s">
        <v>919</v>
      </c>
      <c r="AO404" t="s">
        <v>480</v>
      </c>
      <c r="AP404" t="s">
        <v>481</v>
      </c>
      <c r="AQ404" t="s">
        <v>516</v>
      </c>
      <c r="AR404" t="s">
        <v>482</v>
      </c>
      <c r="AS404" t="s">
        <v>483</v>
      </c>
      <c r="AT404" t="s">
        <v>484</v>
      </c>
      <c r="AU404" t="s">
        <v>490</v>
      </c>
      <c r="AW404" t="s">
        <v>486</v>
      </c>
      <c r="BF404" s="1"/>
      <c r="BG404" t="s">
        <v>71</v>
      </c>
      <c r="BH404" t="s">
        <v>487</v>
      </c>
      <c r="BP404" t="s">
        <v>1489</v>
      </c>
    </row>
    <row r="405" spans="1:69" x14ac:dyDescent="0.25">
      <c r="A405" t="s">
        <v>5713</v>
      </c>
      <c r="B405" t="s">
        <v>474</v>
      </c>
      <c r="C405" t="s">
        <v>1486</v>
      </c>
      <c r="E405" t="s">
        <v>480</v>
      </c>
      <c r="G405" s="1" t="s">
        <v>2344</v>
      </c>
      <c r="H405" t="s">
        <v>537</v>
      </c>
      <c r="J405">
        <v>400016</v>
      </c>
      <c r="P405" t="s">
        <v>172</v>
      </c>
      <c r="R405" t="s">
        <v>918</v>
      </c>
      <c r="S405" t="s">
        <v>2354</v>
      </c>
      <c r="T405" t="s">
        <v>2355</v>
      </c>
      <c r="V405" t="s">
        <v>2356</v>
      </c>
      <c r="W405" t="s">
        <v>70</v>
      </c>
      <c r="AE405" t="s">
        <v>478</v>
      </c>
      <c r="AF405" t="s">
        <v>479</v>
      </c>
      <c r="AL405" t="s">
        <v>919</v>
      </c>
      <c r="AM405" t="s">
        <v>919</v>
      </c>
      <c r="AO405" t="s">
        <v>480</v>
      </c>
      <c r="AP405" t="s">
        <v>481</v>
      </c>
      <c r="AQ405" t="s">
        <v>889</v>
      </c>
      <c r="AR405" t="s">
        <v>482</v>
      </c>
      <c r="AS405" t="s">
        <v>483</v>
      </c>
      <c r="AT405" t="s">
        <v>484</v>
      </c>
      <c r="AU405" t="s">
        <v>490</v>
      </c>
      <c r="AW405" t="s">
        <v>486</v>
      </c>
      <c r="BF405" s="1"/>
      <c r="BG405" t="s">
        <v>71</v>
      </c>
      <c r="BH405" t="s">
        <v>487</v>
      </c>
      <c r="BP405" t="s">
        <v>1489</v>
      </c>
    </row>
    <row r="406" spans="1:69" x14ac:dyDescent="0.25">
      <c r="A406" t="s">
        <v>5713</v>
      </c>
      <c r="B406" t="s">
        <v>474</v>
      </c>
      <c r="C406" t="s">
        <v>1486</v>
      </c>
      <c r="E406" t="s">
        <v>480</v>
      </c>
      <c r="G406" s="1" t="s">
        <v>2344</v>
      </c>
      <c r="H406" t="s">
        <v>549</v>
      </c>
      <c r="J406">
        <v>400016</v>
      </c>
      <c r="P406" t="s">
        <v>144</v>
      </c>
      <c r="R406" t="s">
        <v>918</v>
      </c>
      <c r="S406" t="s">
        <v>2357</v>
      </c>
      <c r="T406" t="s">
        <v>2358</v>
      </c>
      <c r="V406" t="s">
        <v>2359</v>
      </c>
      <c r="W406" t="s">
        <v>70</v>
      </c>
      <c r="AE406" t="s">
        <v>478</v>
      </c>
      <c r="AF406" t="s">
        <v>479</v>
      </c>
      <c r="AL406" t="s">
        <v>919</v>
      </c>
      <c r="AM406" t="s">
        <v>919</v>
      </c>
      <c r="AO406" t="s">
        <v>480</v>
      </c>
      <c r="AP406" t="s">
        <v>481</v>
      </c>
      <c r="AQ406" t="s">
        <v>726</v>
      </c>
      <c r="AR406" t="s">
        <v>482</v>
      </c>
      <c r="AS406" t="s">
        <v>483</v>
      </c>
      <c r="AT406" t="s">
        <v>484</v>
      </c>
      <c r="AU406" t="s">
        <v>490</v>
      </c>
      <c r="AW406" t="s">
        <v>486</v>
      </c>
      <c r="BF406" s="1"/>
      <c r="BG406" t="s">
        <v>71</v>
      </c>
      <c r="BH406" t="s">
        <v>487</v>
      </c>
      <c r="BP406" t="s">
        <v>1489</v>
      </c>
    </row>
    <row r="407" spans="1:69" x14ac:dyDescent="0.25">
      <c r="A407" t="s">
        <v>5713</v>
      </c>
      <c r="B407" t="s">
        <v>474</v>
      </c>
      <c r="C407" t="s">
        <v>1486</v>
      </c>
      <c r="E407" t="s">
        <v>480</v>
      </c>
      <c r="G407" s="1" t="s">
        <v>2344</v>
      </c>
      <c r="H407" t="s">
        <v>556</v>
      </c>
      <c r="J407">
        <v>400016</v>
      </c>
      <c r="P407" t="s">
        <v>149</v>
      </c>
      <c r="R407" t="s">
        <v>918</v>
      </c>
      <c r="S407" t="s">
        <v>2360</v>
      </c>
      <c r="T407" t="s">
        <v>2361</v>
      </c>
      <c r="V407" t="s">
        <v>2362</v>
      </c>
      <c r="W407" t="s">
        <v>70</v>
      </c>
      <c r="AE407" t="s">
        <v>478</v>
      </c>
      <c r="AF407" t="s">
        <v>479</v>
      </c>
      <c r="AL407" t="s">
        <v>919</v>
      </c>
      <c r="AM407" t="s">
        <v>919</v>
      </c>
      <c r="AO407" t="s">
        <v>480</v>
      </c>
      <c r="AP407" t="s">
        <v>481</v>
      </c>
      <c r="AQ407" t="s">
        <v>510</v>
      </c>
      <c r="AR407" t="s">
        <v>482</v>
      </c>
      <c r="AS407" t="s">
        <v>483</v>
      </c>
      <c r="AT407" t="s">
        <v>484</v>
      </c>
      <c r="AU407" t="s">
        <v>490</v>
      </c>
      <c r="AW407" t="s">
        <v>486</v>
      </c>
      <c r="BF407" s="1"/>
      <c r="BG407" t="s">
        <v>71</v>
      </c>
      <c r="BH407" t="s">
        <v>487</v>
      </c>
      <c r="BP407" t="s">
        <v>1489</v>
      </c>
    </row>
    <row r="408" spans="1:69" x14ac:dyDescent="0.25">
      <c r="A408" t="s">
        <v>5713</v>
      </c>
      <c r="B408" t="s">
        <v>474</v>
      </c>
      <c r="C408" t="s">
        <v>1486</v>
      </c>
      <c r="E408" t="s">
        <v>480</v>
      </c>
      <c r="G408" s="1" t="s">
        <v>2344</v>
      </c>
      <c r="H408" t="s">
        <v>562</v>
      </c>
      <c r="J408">
        <v>400016</v>
      </c>
      <c r="P408" t="s">
        <v>165</v>
      </c>
      <c r="R408" t="s">
        <v>918</v>
      </c>
      <c r="S408" t="s">
        <v>2363</v>
      </c>
      <c r="T408" t="s">
        <v>2364</v>
      </c>
      <c r="V408" t="s">
        <v>2365</v>
      </c>
      <c r="W408" t="s">
        <v>70</v>
      </c>
      <c r="AE408" t="s">
        <v>478</v>
      </c>
      <c r="AF408" t="s">
        <v>479</v>
      </c>
      <c r="AL408" t="s">
        <v>919</v>
      </c>
      <c r="AM408" t="s">
        <v>919</v>
      </c>
      <c r="AO408" t="s">
        <v>480</v>
      </c>
      <c r="AP408" t="s">
        <v>481</v>
      </c>
      <c r="AQ408" t="s">
        <v>752</v>
      </c>
      <c r="AR408" t="s">
        <v>482</v>
      </c>
      <c r="AS408" t="s">
        <v>483</v>
      </c>
      <c r="AT408" t="s">
        <v>484</v>
      </c>
      <c r="AU408" t="s">
        <v>490</v>
      </c>
      <c r="AW408" t="s">
        <v>486</v>
      </c>
      <c r="BF408" s="1"/>
      <c r="BG408" t="s">
        <v>71</v>
      </c>
      <c r="BH408" t="s">
        <v>487</v>
      </c>
      <c r="BP408" t="s">
        <v>1489</v>
      </c>
    </row>
    <row r="409" spans="1:69" x14ac:dyDescent="0.25">
      <c r="A409" t="s">
        <v>5713</v>
      </c>
      <c r="B409" t="s">
        <v>474</v>
      </c>
      <c r="C409" t="s">
        <v>1486</v>
      </c>
      <c r="E409" t="s">
        <v>480</v>
      </c>
      <c r="G409" s="1" t="s">
        <v>2344</v>
      </c>
      <c r="H409" t="s">
        <v>564</v>
      </c>
      <c r="J409">
        <v>400016</v>
      </c>
      <c r="P409" t="s">
        <v>146</v>
      </c>
      <c r="R409" t="s">
        <v>918</v>
      </c>
      <c r="S409" t="s">
        <v>2366</v>
      </c>
      <c r="T409" t="s">
        <v>2367</v>
      </c>
      <c r="V409" t="s">
        <v>2368</v>
      </c>
      <c r="W409" t="s">
        <v>70</v>
      </c>
      <c r="AE409" t="s">
        <v>478</v>
      </c>
      <c r="AF409" t="s">
        <v>479</v>
      </c>
      <c r="AL409" t="s">
        <v>919</v>
      </c>
      <c r="AM409" t="s">
        <v>919</v>
      </c>
      <c r="AO409" t="s">
        <v>480</v>
      </c>
      <c r="AP409" t="s">
        <v>481</v>
      </c>
      <c r="AQ409" t="s">
        <v>733</v>
      </c>
      <c r="AR409" t="s">
        <v>482</v>
      </c>
      <c r="AS409" t="s">
        <v>483</v>
      </c>
      <c r="AT409" t="s">
        <v>484</v>
      </c>
      <c r="AU409" t="s">
        <v>490</v>
      </c>
      <c r="AW409" t="s">
        <v>486</v>
      </c>
      <c r="BF409" s="1"/>
      <c r="BG409" t="s">
        <v>71</v>
      </c>
      <c r="BH409" t="s">
        <v>487</v>
      </c>
      <c r="BP409" t="s">
        <v>1489</v>
      </c>
    </row>
    <row r="410" spans="1:69" x14ac:dyDescent="0.25">
      <c r="A410" t="s">
        <v>5713</v>
      </c>
      <c r="B410" t="s">
        <v>474</v>
      </c>
      <c r="C410" t="s">
        <v>1486</v>
      </c>
      <c r="E410" t="s">
        <v>480</v>
      </c>
      <c r="G410" s="1" t="s">
        <v>2344</v>
      </c>
      <c r="H410" t="s">
        <v>571</v>
      </c>
      <c r="J410">
        <v>400016</v>
      </c>
      <c r="P410" t="s">
        <v>160</v>
      </c>
      <c r="R410" t="s">
        <v>918</v>
      </c>
      <c r="S410" t="s">
        <v>2369</v>
      </c>
      <c r="T410" t="s">
        <v>2370</v>
      </c>
      <c r="V410" t="s">
        <v>2371</v>
      </c>
      <c r="W410" t="s">
        <v>70</v>
      </c>
      <c r="AE410" t="s">
        <v>478</v>
      </c>
      <c r="AF410" t="s">
        <v>479</v>
      </c>
      <c r="AL410" t="s">
        <v>919</v>
      </c>
      <c r="AM410" t="s">
        <v>919</v>
      </c>
      <c r="AO410" t="s">
        <v>480</v>
      </c>
      <c r="AP410" t="s">
        <v>481</v>
      </c>
      <c r="AQ410" t="s">
        <v>730</v>
      </c>
      <c r="AR410" t="s">
        <v>482</v>
      </c>
      <c r="AS410" t="s">
        <v>483</v>
      </c>
      <c r="AT410" t="s">
        <v>484</v>
      </c>
      <c r="AU410" t="s">
        <v>490</v>
      </c>
      <c r="AW410" t="s">
        <v>486</v>
      </c>
      <c r="BF410" s="1"/>
      <c r="BG410" t="s">
        <v>71</v>
      </c>
      <c r="BH410" t="s">
        <v>487</v>
      </c>
      <c r="BP410" t="s">
        <v>1489</v>
      </c>
    </row>
    <row r="411" spans="1:69" x14ac:dyDescent="0.25">
      <c r="A411" t="s">
        <v>5713</v>
      </c>
      <c r="B411" t="s">
        <v>474</v>
      </c>
      <c r="C411" t="s">
        <v>1486</v>
      </c>
      <c r="E411" t="s">
        <v>480</v>
      </c>
      <c r="G411" s="1" t="s">
        <v>2344</v>
      </c>
      <c r="H411" t="s">
        <v>581</v>
      </c>
      <c r="J411">
        <v>400016</v>
      </c>
      <c r="P411" t="s">
        <v>83</v>
      </c>
      <c r="R411" t="s">
        <v>918</v>
      </c>
      <c r="S411" t="s">
        <v>2372</v>
      </c>
      <c r="T411" t="s">
        <v>2373</v>
      </c>
      <c r="V411" t="s">
        <v>2374</v>
      </c>
      <c r="W411" t="s">
        <v>70</v>
      </c>
      <c r="AE411" t="s">
        <v>478</v>
      </c>
      <c r="AF411" t="s">
        <v>479</v>
      </c>
      <c r="AL411" t="s">
        <v>919</v>
      </c>
      <c r="AM411" t="s">
        <v>919</v>
      </c>
      <c r="AO411" t="s">
        <v>480</v>
      </c>
      <c r="AP411" t="s">
        <v>481</v>
      </c>
      <c r="AQ411" t="s">
        <v>497</v>
      </c>
      <c r="AR411" t="s">
        <v>482</v>
      </c>
      <c r="AS411" t="s">
        <v>483</v>
      </c>
      <c r="AT411" t="s">
        <v>484</v>
      </c>
      <c r="AU411" t="s">
        <v>490</v>
      </c>
      <c r="AW411" t="s">
        <v>486</v>
      </c>
      <c r="BF411" s="1"/>
      <c r="BG411" t="s">
        <v>71</v>
      </c>
      <c r="BH411" t="s">
        <v>487</v>
      </c>
      <c r="BP411" t="s">
        <v>1489</v>
      </c>
    </row>
    <row r="412" spans="1:69" x14ac:dyDescent="0.25">
      <c r="A412" t="s">
        <v>5713</v>
      </c>
      <c r="B412" t="s">
        <v>474</v>
      </c>
      <c r="C412" t="s">
        <v>1486</v>
      </c>
      <c r="E412" t="s">
        <v>480</v>
      </c>
      <c r="G412" s="1" t="s">
        <v>2344</v>
      </c>
      <c r="H412" t="s">
        <v>589</v>
      </c>
      <c r="J412">
        <v>400016</v>
      </c>
      <c r="P412" t="s">
        <v>121</v>
      </c>
      <c r="R412" t="s">
        <v>918</v>
      </c>
      <c r="S412" t="s">
        <v>2375</v>
      </c>
      <c r="T412" t="s">
        <v>2376</v>
      </c>
      <c r="V412" t="s">
        <v>2377</v>
      </c>
      <c r="W412" t="s">
        <v>70</v>
      </c>
      <c r="AE412" t="s">
        <v>478</v>
      </c>
      <c r="AF412" t="s">
        <v>479</v>
      </c>
      <c r="AL412" t="s">
        <v>919</v>
      </c>
      <c r="AM412" t="s">
        <v>919</v>
      </c>
      <c r="AO412" t="s">
        <v>480</v>
      </c>
      <c r="AP412" t="s">
        <v>481</v>
      </c>
      <c r="AQ412" t="s">
        <v>499</v>
      </c>
      <c r="AR412" t="s">
        <v>482</v>
      </c>
      <c r="AS412" t="s">
        <v>483</v>
      </c>
      <c r="AT412" t="s">
        <v>484</v>
      </c>
      <c r="AU412" t="s">
        <v>490</v>
      </c>
      <c r="AW412" t="s">
        <v>486</v>
      </c>
      <c r="BF412" s="1"/>
      <c r="BG412" t="s">
        <v>71</v>
      </c>
      <c r="BH412" t="s">
        <v>487</v>
      </c>
      <c r="BP412" t="s">
        <v>1489</v>
      </c>
    </row>
    <row r="413" spans="1:69" x14ac:dyDescent="0.25">
      <c r="A413" t="s">
        <v>5713</v>
      </c>
      <c r="B413" t="s">
        <v>474</v>
      </c>
      <c r="C413" t="s">
        <v>1486</v>
      </c>
      <c r="E413" t="s">
        <v>480</v>
      </c>
      <c r="G413" s="1" t="s">
        <v>2344</v>
      </c>
      <c r="H413" t="s">
        <v>598</v>
      </c>
      <c r="J413">
        <v>400016</v>
      </c>
      <c r="P413" t="s">
        <v>133</v>
      </c>
      <c r="R413" t="s">
        <v>918</v>
      </c>
      <c r="S413" t="s">
        <v>2378</v>
      </c>
      <c r="T413" t="s">
        <v>2379</v>
      </c>
      <c r="V413" t="s">
        <v>2380</v>
      </c>
      <c r="W413" t="s">
        <v>70</v>
      </c>
      <c r="AE413" t="s">
        <v>478</v>
      </c>
      <c r="AF413" t="s">
        <v>479</v>
      </c>
      <c r="AL413" t="s">
        <v>919</v>
      </c>
      <c r="AM413" t="s">
        <v>919</v>
      </c>
      <c r="AO413" t="s">
        <v>480</v>
      </c>
      <c r="AP413" t="s">
        <v>481</v>
      </c>
      <c r="AQ413" t="s">
        <v>505</v>
      </c>
      <c r="AR413" t="s">
        <v>482</v>
      </c>
      <c r="AS413" t="s">
        <v>483</v>
      </c>
      <c r="AT413" t="s">
        <v>484</v>
      </c>
      <c r="AU413" t="s">
        <v>490</v>
      </c>
      <c r="AW413" t="s">
        <v>486</v>
      </c>
      <c r="BF413" s="1"/>
      <c r="BG413" t="s">
        <v>71</v>
      </c>
      <c r="BH413" t="s">
        <v>487</v>
      </c>
      <c r="BP413" t="s">
        <v>1489</v>
      </c>
    </row>
    <row r="414" spans="1:69" x14ac:dyDescent="0.25">
      <c r="A414" t="s">
        <v>5713</v>
      </c>
      <c r="B414" t="s">
        <v>474</v>
      </c>
      <c r="C414" t="s">
        <v>1486</v>
      </c>
      <c r="E414" t="s">
        <v>480</v>
      </c>
      <c r="G414" s="1" t="s">
        <v>2344</v>
      </c>
      <c r="H414" t="s">
        <v>604</v>
      </c>
      <c r="J414">
        <v>400016</v>
      </c>
      <c r="P414" t="s">
        <v>134</v>
      </c>
      <c r="R414" t="s">
        <v>918</v>
      </c>
      <c r="S414" t="s">
        <v>2381</v>
      </c>
      <c r="T414" t="s">
        <v>2382</v>
      </c>
      <c r="V414" t="s">
        <v>2383</v>
      </c>
      <c r="W414" t="s">
        <v>70</v>
      </c>
      <c r="AE414" t="s">
        <v>478</v>
      </c>
      <c r="AF414" t="s">
        <v>479</v>
      </c>
      <c r="AL414" t="s">
        <v>919</v>
      </c>
      <c r="AM414" t="s">
        <v>919</v>
      </c>
      <c r="AO414" t="s">
        <v>480</v>
      </c>
      <c r="AP414" t="s">
        <v>481</v>
      </c>
      <c r="AQ414" t="s">
        <v>747</v>
      </c>
      <c r="AR414" t="s">
        <v>482</v>
      </c>
      <c r="AS414" t="s">
        <v>483</v>
      </c>
      <c r="AT414" t="s">
        <v>484</v>
      </c>
      <c r="AU414" t="s">
        <v>490</v>
      </c>
      <c r="AW414" t="s">
        <v>486</v>
      </c>
      <c r="BF414" s="1"/>
      <c r="BG414" t="s">
        <v>71</v>
      </c>
      <c r="BH414" t="s">
        <v>487</v>
      </c>
      <c r="BP414" t="s">
        <v>1489</v>
      </c>
    </row>
    <row r="415" spans="1:69" x14ac:dyDescent="0.25">
      <c r="A415" t="s">
        <v>5713</v>
      </c>
      <c r="B415" t="s">
        <v>474</v>
      </c>
      <c r="C415" t="s">
        <v>1486</v>
      </c>
      <c r="E415" t="s">
        <v>480</v>
      </c>
      <c r="G415" s="1" t="s">
        <v>2344</v>
      </c>
      <c r="H415" t="s">
        <v>611</v>
      </c>
      <c r="J415">
        <v>400016</v>
      </c>
      <c r="P415" t="s">
        <v>127</v>
      </c>
      <c r="R415" t="s">
        <v>918</v>
      </c>
      <c r="S415" t="s">
        <v>2384</v>
      </c>
      <c r="T415" t="s">
        <v>2385</v>
      </c>
      <c r="V415" t="s">
        <v>2386</v>
      </c>
      <c r="W415" t="s">
        <v>70</v>
      </c>
      <c r="AE415" t="s">
        <v>478</v>
      </c>
      <c r="AF415" t="s">
        <v>479</v>
      </c>
      <c r="AL415" t="s">
        <v>919</v>
      </c>
      <c r="AM415" t="s">
        <v>919</v>
      </c>
      <c r="AO415" t="s">
        <v>480</v>
      </c>
      <c r="AP415" t="s">
        <v>481</v>
      </c>
      <c r="AQ415" t="s">
        <v>489</v>
      </c>
      <c r="AR415" t="s">
        <v>482</v>
      </c>
      <c r="AS415" t="s">
        <v>483</v>
      </c>
      <c r="AT415" t="s">
        <v>484</v>
      </c>
      <c r="AU415" t="s">
        <v>490</v>
      </c>
      <c r="AW415" t="s">
        <v>486</v>
      </c>
      <c r="BF415" s="1"/>
      <c r="BG415" t="s">
        <v>71</v>
      </c>
      <c r="BH415" t="s">
        <v>487</v>
      </c>
      <c r="BP415" t="s">
        <v>1489</v>
      </c>
    </row>
    <row r="416" spans="1:69" x14ac:dyDescent="0.25">
      <c r="A416" t="s">
        <v>5713</v>
      </c>
      <c r="B416" t="s">
        <v>474</v>
      </c>
      <c r="C416" t="s">
        <v>1486</v>
      </c>
      <c r="E416" t="s">
        <v>480</v>
      </c>
      <c r="G416" s="1" t="s">
        <v>2344</v>
      </c>
      <c r="H416" t="s">
        <v>616</v>
      </c>
      <c r="J416">
        <v>400016</v>
      </c>
      <c r="P416" t="s">
        <v>153</v>
      </c>
      <c r="R416" t="s">
        <v>918</v>
      </c>
      <c r="S416" t="s">
        <v>2387</v>
      </c>
      <c r="T416" t="s">
        <v>2388</v>
      </c>
      <c r="V416" t="s">
        <v>2389</v>
      </c>
      <c r="W416" t="s">
        <v>70</v>
      </c>
      <c r="AE416" t="s">
        <v>478</v>
      </c>
      <c r="AF416" t="s">
        <v>479</v>
      </c>
      <c r="AL416" t="s">
        <v>919</v>
      </c>
      <c r="AM416" t="s">
        <v>919</v>
      </c>
      <c r="AO416" t="s">
        <v>480</v>
      </c>
      <c r="AP416" t="s">
        <v>481</v>
      </c>
      <c r="AQ416" t="s">
        <v>762</v>
      </c>
      <c r="AR416" t="s">
        <v>482</v>
      </c>
      <c r="AS416" t="s">
        <v>483</v>
      </c>
      <c r="AT416" t="s">
        <v>484</v>
      </c>
      <c r="AU416" t="s">
        <v>490</v>
      </c>
      <c r="AW416" t="s">
        <v>486</v>
      </c>
      <c r="BF416" s="1"/>
      <c r="BG416" t="s">
        <v>71</v>
      </c>
      <c r="BH416" t="s">
        <v>487</v>
      </c>
      <c r="BP416" t="s">
        <v>1489</v>
      </c>
    </row>
    <row r="417" spans="1:68" x14ac:dyDescent="0.25">
      <c r="A417" t="s">
        <v>5713</v>
      </c>
      <c r="B417" t="s">
        <v>474</v>
      </c>
      <c r="C417" t="s">
        <v>1486</v>
      </c>
      <c r="E417" t="s">
        <v>480</v>
      </c>
      <c r="G417" s="1" t="s">
        <v>2344</v>
      </c>
      <c r="H417" t="s">
        <v>619</v>
      </c>
      <c r="J417">
        <v>400016</v>
      </c>
      <c r="P417" t="s">
        <v>151</v>
      </c>
      <c r="R417" t="s">
        <v>918</v>
      </c>
      <c r="S417" t="s">
        <v>2390</v>
      </c>
      <c r="T417" t="s">
        <v>2391</v>
      </c>
      <c r="V417" t="s">
        <v>2392</v>
      </c>
      <c r="W417" t="s">
        <v>70</v>
      </c>
      <c r="AE417" t="s">
        <v>478</v>
      </c>
      <c r="AF417" t="s">
        <v>479</v>
      </c>
      <c r="AL417" t="s">
        <v>919</v>
      </c>
      <c r="AM417" t="s">
        <v>919</v>
      </c>
      <c r="AO417" t="s">
        <v>480</v>
      </c>
      <c r="AP417" t="s">
        <v>481</v>
      </c>
      <c r="AQ417" t="s">
        <v>773</v>
      </c>
      <c r="AR417" t="s">
        <v>482</v>
      </c>
      <c r="AS417" t="s">
        <v>483</v>
      </c>
      <c r="AT417" t="s">
        <v>484</v>
      </c>
      <c r="AU417" t="s">
        <v>490</v>
      </c>
      <c r="AW417" t="s">
        <v>486</v>
      </c>
      <c r="BF417" s="1"/>
      <c r="BG417" t="s">
        <v>71</v>
      </c>
      <c r="BH417" t="s">
        <v>487</v>
      </c>
      <c r="BP417" t="s">
        <v>1489</v>
      </c>
    </row>
    <row r="418" spans="1:68" x14ac:dyDescent="0.25">
      <c r="A418" t="s">
        <v>5713</v>
      </c>
      <c r="B418" t="s">
        <v>474</v>
      </c>
      <c r="C418" t="s">
        <v>1486</v>
      </c>
      <c r="E418" t="s">
        <v>480</v>
      </c>
      <c r="G418" s="1" t="s">
        <v>2344</v>
      </c>
      <c r="H418" t="s">
        <v>813</v>
      </c>
      <c r="J418">
        <v>400016</v>
      </c>
      <c r="P418" t="s">
        <v>167</v>
      </c>
      <c r="R418" t="s">
        <v>918</v>
      </c>
      <c r="S418" t="s">
        <v>2393</v>
      </c>
      <c r="T418" t="s">
        <v>2394</v>
      </c>
      <c r="V418" t="s">
        <v>2395</v>
      </c>
      <c r="W418" t="s">
        <v>70</v>
      </c>
      <c r="AE418" t="s">
        <v>478</v>
      </c>
      <c r="AF418" t="s">
        <v>479</v>
      </c>
      <c r="AL418" t="s">
        <v>919</v>
      </c>
      <c r="AM418" t="s">
        <v>919</v>
      </c>
      <c r="AO418" t="s">
        <v>480</v>
      </c>
      <c r="AP418" t="s">
        <v>481</v>
      </c>
      <c r="AQ418" t="s">
        <v>759</v>
      </c>
      <c r="AR418" t="s">
        <v>482</v>
      </c>
      <c r="AS418" t="s">
        <v>483</v>
      </c>
      <c r="AT418" t="s">
        <v>484</v>
      </c>
      <c r="AU418" t="s">
        <v>490</v>
      </c>
      <c r="AW418" t="s">
        <v>486</v>
      </c>
      <c r="BF418" s="1"/>
      <c r="BG418" t="s">
        <v>71</v>
      </c>
      <c r="BH418" t="s">
        <v>487</v>
      </c>
      <c r="BP418" t="s">
        <v>1489</v>
      </c>
    </row>
    <row r="419" spans="1:68" x14ac:dyDescent="0.25">
      <c r="A419" t="s">
        <v>5713</v>
      </c>
      <c r="B419" t="s">
        <v>474</v>
      </c>
      <c r="C419" t="s">
        <v>1486</v>
      </c>
      <c r="E419" t="s">
        <v>480</v>
      </c>
      <c r="G419" s="1" t="s">
        <v>2396</v>
      </c>
      <c r="H419" t="s">
        <v>476</v>
      </c>
      <c r="J419">
        <v>400016</v>
      </c>
      <c r="P419" t="s">
        <v>129</v>
      </c>
      <c r="R419" t="s">
        <v>918</v>
      </c>
      <c r="S419" t="s">
        <v>2397</v>
      </c>
      <c r="T419" t="s">
        <v>2398</v>
      </c>
      <c r="V419" t="s">
        <v>2399</v>
      </c>
      <c r="W419" t="s">
        <v>73</v>
      </c>
      <c r="AE419" t="s">
        <v>478</v>
      </c>
      <c r="AF419" t="s">
        <v>479</v>
      </c>
      <c r="AL419" t="s">
        <v>919</v>
      </c>
      <c r="AM419" t="s">
        <v>919</v>
      </c>
      <c r="AO419" t="s">
        <v>480</v>
      </c>
      <c r="AP419" t="s">
        <v>481</v>
      </c>
      <c r="AQ419" t="s">
        <v>691</v>
      </c>
      <c r="AR419" t="s">
        <v>482</v>
      </c>
      <c r="AS419" t="s">
        <v>483</v>
      </c>
      <c r="AT419" t="s">
        <v>484</v>
      </c>
      <c r="AU419" t="s">
        <v>521</v>
      </c>
      <c r="AW419" t="s">
        <v>486</v>
      </c>
      <c r="BF419" s="1"/>
      <c r="BG419" t="s">
        <v>523</v>
      </c>
      <c r="BH419" t="s">
        <v>487</v>
      </c>
      <c r="BP419" t="s">
        <v>1489</v>
      </c>
    </row>
    <row r="420" spans="1:68" x14ac:dyDescent="0.25">
      <c r="A420" t="s">
        <v>5713</v>
      </c>
      <c r="B420" t="s">
        <v>474</v>
      </c>
      <c r="C420" t="s">
        <v>1486</v>
      </c>
      <c r="E420" t="s">
        <v>480</v>
      </c>
      <c r="G420" s="1" t="s">
        <v>2396</v>
      </c>
      <c r="H420" t="s">
        <v>498</v>
      </c>
      <c r="J420">
        <v>400016</v>
      </c>
      <c r="P420" t="s">
        <v>82</v>
      </c>
      <c r="R420" t="s">
        <v>918</v>
      </c>
      <c r="S420" t="s">
        <v>2400</v>
      </c>
      <c r="T420" t="s">
        <v>2401</v>
      </c>
      <c r="V420" t="s">
        <v>2402</v>
      </c>
      <c r="W420" t="s">
        <v>73</v>
      </c>
      <c r="AE420" t="s">
        <v>478</v>
      </c>
      <c r="AF420" t="s">
        <v>479</v>
      </c>
      <c r="AL420" t="s">
        <v>919</v>
      </c>
      <c r="AM420" t="s">
        <v>919</v>
      </c>
      <c r="AO420" t="s">
        <v>480</v>
      </c>
      <c r="AP420" t="s">
        <v>481</v>
      </c>
      <c r="AQ420" t="s">
        <v>541</v>
      </c>
      <c r="AR420" t="s">
        <v>482</v>
      </c>
      <c r="AS420" t="s">
        <v>483</v>
      </c>
      <c r="AT420" t="s">
        <v>484</v>
      </c>
      <c r="AU420" t="s">
        <v>521</v>
      </c>
      <c r="AW420" t="s">
        <v>486</v>
      </c>
      <c r="BF420" s="1"/>
      <c r="BG420" t="s">
        <v>523</v>
      </c>
      <c r="BH420" t="s">
        <v>487</v>
      </c>
      <c r="BP420" t="s">
        <v>1489</v>
      </c>
    </row>
    <row r="421" spans="1:68" x14ac:dyDescent="0.25">
      <c r="A421" t="s">
        <v>5713</v>
      </c>
      <c r="B421" t="s">
        <v>474</v>
      </c>
      <c r="C421" t="s">
        <v>1486</v>
      </c>
      <c r="E421" t="s">
        <v>480</v>
      </c>
      <c r="G421" s="1" t="s">
        <v>2396</v>
      </c>
      <c r="H421" t="s">
        <v>517</v>
      </c>
      <c r="J421">
        <v>400016</v>
      </c>
      <c r="P421" t="s">
        <v>150</v>
      </c>
      <c r="R421" t="s">
        <v>918</v>
      </c>
      <c r="S421" t="s">
        <v>2403</v>
      </c>
      <c r="T421" t="s">
        <v>2404</v>
      </c>
      <c r="V421" t="s">
        <v>2405</v>
      </c>
      <c r="W421" t="s">
        <v>73</v>
      </c>
      <c r="AE421" t="s">
        <v>478</v>
      </c>
      <c r="AF421" t="s">
        <v>479</v>
      </c>
      <c r="AL421" t="s">
        <v>919</v>
      </c>
      <c r="AM421" t="s">
        <v>919</v>
      </c>
      <c r="AO421" t="s">
        <v>480</v>
      </c>
      <c r="AP421" t="s">
        <v>481</v>
      </c>
      <c r="AQ421" t="s">
        <v>570</v>
      </c>
      <c r="AR421" t="s">
        <v>482</v>
      </c>
      <c r="AS421" t="s">
        <v>483</v>
      </c>
      <c r="AT421" t="s">
        <v>484</v>
      </c>
      <c r="AU421" t="s">
        <v>521</v>
      </c>
      <c r="AW421" t="s">
        <v>486</v>
      </c>
      <c r="BF421" s="1"/>
      <c r="BG421" t="s">
        <v>523</v>
      </c>
      <c r="BH421" t="s">
        <v>487</v>
      </c>
      <c r="BP421" t="s">
        <v>1489</v>
      </c>
    </row>
    <row r="422" spans="1:68" x14ac:dyDescent="0.25">
      <c r="A422" t="s">
        <v>5713</v>
      </c>
      <c r="B422" t="s">
        <v>474</v>
      </c>
      <c r="C422" t="s">
        <v>1486</v>
      </c>
      <c r="E422" t="s">
        <v>480</v>
      </c>
      <c r="G422" s="1" t="s">
        <v>2396</v>
      </c>
      <c r="H422" t="s">
        <v>542</v>
      </c>
      <c r="J422">
        <v>400016</v>
      </c>
      <c r="P422" t="s">
        <v>154</v>
      </c>
      <c r="R422" t="s">
        <v>918</v>
      </c>
      <c r="S422" t="s">
        <v>2406</v>
      </c>
      <c r="T422" t="s">
        <v>2407</v>
      </c>
      <c r="V422" t="s">
        <v>2408</v>
      </c>
      <c r="W422" t="s">
        <v>73</v>
      </c>
      <c r="AE422" t="s">
        <v>478</v>
      </c>
      <c r="AF422" t="s">
        <v>479</v>
      </c>
      <c r="AL422" t="s">
        <v>919</v>
      </c>
      <c r="AM422" t="s">
        <v>919</v>
      </c>
      <c r="AO422" t="s">
        <v>480</v>
      </c>
      <c r="AP422" t="s">
        <v>481</v>
      </c>
      <c r="AQ422" t="s">
        <v>531</v>
      </c>
      <c r="AR422" t="s">
        <v>482</v>
      </c>
      <c r="AS422" t="s">
        <v>483</v>
      </c>
      <c r="AT422" t="s">
        <v>484</v>
      </c>
      <c r="AU422" t="s">
        <v>521</v>
      </c>
      <c r="AW422" t="s">
        <v>486</v>
      </c>
      <c r="BF422" s="1"/>
      <c r="BG422" t="s">
        <v>523</v>
      </c>
      <c r="BH422" t="s">
        <v>487</v>
      </c>
      <c r="BP422" t="s">
        <v>1489</v>
      </c>
    </row>
    <row r="423" spans="1:68" x14ac:dyDescent="0.25">
      <c r="A423" t="s">
        <v>5713</v>
      </c>
      <c r="B423" t="s">
        <v>474</v>
      </c>
      <c r="C423" t="s">
        <v>1486</v>
      </c>
      <c r="E423" t="s">
        <v>480</v>
      </c>
      <c r="G423" s="1" t="s">
        <v>2396</v>
      </c>
      <c r="H423" t="s">
        <v>549</v>
      </c>
      <c r="J423">
        <v>400016</v>
      </c>
      <c r="P423" t="s">
        <v>102</v>
      </c>
      <c r="R423" t="s">
        <v>918</v>
      </c>
      <c r="S423" t="s">
        <v>2409</v>
      </c>
      <c r="T423" t="s">
        <v>2410</v>
      </c>
      <c r="V423" t="s">
        <v>2411</v>
      </c>
      <c r="W423" t="s">
        <v>73</v>
      </c>
      <c r="AE423" t="s">
        <v>478</v>
      </c>
      <c r="AF423" t="s">
        <v>479</v>
      </c>
      <c r="AL423" t="s">
        <v>919</v>
      </c>
      <c r="AM423" t="s">
        <v>919</v>
      </c>
      <c r="AO423" t="s">
        <v>480</v>
      </c>
      <c r="AP423" t="s">
        <v>481</v>
      </c>
      <c r="AQ423" t="s">
        <v>646</v>
      </c>
      <c r="AR423" t="s">
        <v>482</v>
      </c>
      <c r="AS423" t="s">
        <v>483</v>
      </c>
      <c r="AT423" t="s">
        <v>484</v>
      </c>
      <c r="AU423" t="s">
        <v>521</v>
      </c>
      <c r="AW423" t="s">
        <v>486</v>
      </c>
      <c r="BF423" s="1"/>
      <c r="BG423" t="s">
        <v>523</v>
      </c>
      <c r="BH423" t="s">
        <v>487</v>
      </c>
      <c r="BP423" t="s">
        <v>1489</v>
      </c>
    </row>
    <row r="424" spans="1:68" x14ac:dyDescent="0.25">
      <c r="A424" t="s">
        <v>5713</v>
      </c>
      <c r="B424" t="s">
        <v>474</v>
      </c>
      <c r="C424" t="s">
        <v>1486</v>
      </c>
      <c r="E424" t="s">
        <v>480</v>
      </c>
      <c r="G424" s="1" t="s">
        <v>2396</v>
      </c>
      <c r="H424" t="s">
        <v>556</v>
      </c>
      <c r="J424">
        <v>400016</v>
      </c>
      <c r="P424" t="s">
        <v>81</v>
      </c>
      <c r="R424" t="s">
        <v>918</v>
      </c>
      <c r="S424" t="s">
        <v>2412</v>
      </c>
      <c r="T424" t="s">
        <v>2413</v>
      </c>
      <c r="V424" t="s">
        <v>2414</v>
      </c>
      <c r="W424" t="s">
        <v>73</v>
      </c>
      <c r="AE424" t="s">
        <v>478</v>
      </c>
      <c r="AF424" t="s">
        <v>479</v>
      </c>
      <c r="AL424" t="s">
        <v>919</v>
      </c>
      <c r="AM424" t="s">
        <v>919</v>
      </c>
      <c r="AO424" t="s">
        <v>480</v>
      </c>
      <c r="AP424" t="s">
        <v>481</v>
      </c>
      <c r="AQ424" t="s">
        <v>805</v>
      </c>
      <c r="AR424" t="s">
        <v>482</v>
      </c>
      <c r="AS424" t="s">
        <v>483</v>
      </c>
      <c r="AT424" t="s">
        <v>484</v>
      </c>
      <c r="AU424" t="s">
        <v>521</v>
      </c>
      <c r="AW424" t="s">
        <v>486</v>
      </c>
      <c r="BF424" s="1"/>
      <c r="BG424" t="s">
        <v>523</v>
      </c>
      <c r="BH424" t="s">
        <v>487</v>
      </c>
      <c r="BP424" t="s">
        <v>1489</v>
      </c>
    </row>
    <row r="425" spans="1:68" x14ac:dyDescent="0.25">
      <c r="A425" t="s">
        <v>5713</v>
      </c>
      <c r="B425" t="s">
        <v>474</v>
      </c>
      <c r="C425" t="s">
        <v>1486</v>
      </c>
      <c r="E425" t="s">
        <v>480</v>
      </c>
      <c r="G425" s="1" t="s">
        <v>2396</v>
      </c>
      <c r="H425" t="s">
        <v>562</v>
      </c>
      <c r="J425">
        <v>400016</v>
      </c>
      <c r="P425" t="s">
        <v>128</v>
      </c>
      <c r="R425" t="s">
        <v>918</v>
      </c>
      <c r="S425" t="s">
        <v>2415</v>
      </c>
      <c r="T425" t="s">
        <v>2416</v>
      </c>
      <c r="V425" t="s">
        <v>2417</v>
      </c>
      <c r="W425" t="s">
        <v>73</v>
      </c>
      <c r="AE425" t="s">
        <v>478</v>
      </c>
      <c r="AF425" t="s">
        <v>479</v>
      </c>
      <c r="AL425" t="s">
        <v>919</v>
      </c>
      <c r="AM425" t="s">
        <v>919</v>
      </c>
      <c r="AO425" t="s">
        <v>480</v>
      </c>
      <c r="AP425" t="s">
        <v>481</v>
      </c>
      <c r="AQ425" t="s">
        <v>528</v>
      </c>
      <c r="AR425" t="s">
        <v>482</v>
      </c>
      <c r="AS425" t="s">
        <v>483</v>
      </c>
      <c r="AT425" t="s">
        <v>484</v>
      </c>
      <c r="AU425" t="s">
        <v>521</v>
      </c>
      <c r="AW425" t="s">
        <v>486</v>
      </c>
      <c r="BF425" s="1"/>
      <c r="BG425" t="s">
        <v>523</v>
      </c>
      <c r="BH425" t="s">
        <v>487</v>
      </c>
      <c r="BP425" t="s">
        <v>1489</v>
      </c>
    </row>
    <row r="426" spans="1:68" x14ac:dyDescent="0.25">
      <c r="A426" t="s">
        <v>5713</v>
      </c>
      <c r="B426" t="s">
        <v>474</v>
      </c>
      <c r="C426" t="s">
        <v>1486</v>
      </c>
      <c r="E426" t="s">
        <v>480</v>
      </c>
      <c r="G426" s="1" t="s">
        <v>2396</v>
      </c>
      <c r="H426" t="s">
        <v>567</v>
      </c>
      <c r="J426">
        <v>400016</v>
      </c>
      <c r="P426" t="s">
        <v>94</v>
      </c>
      <c r="R426" t="s">
        <v>918</v>
      </c>
      <c r="S426" t="s">
        <v>2418</v>
      </c>
      <c r="T426" t="s">
        <v>2419</v>
      </c>
      <c r="V426" t="s">
        <v>2420</v>
      </c>
      <c r="W426" t="s">
        <v>73</v>
      </c>
      <c r="AE426" t="s">
        <v>478</v>
      </c>
      <c r="AF426" t="s">
        <v>479</v>
      </c>
      <c r="AL426" t="s">
        <v>919</v>
      </c>
      <c r="AM426" t="s">
        <v>919</v>
      </c>
      <c r="AO426" t="s">
        <v>480</v>
      </c>
      <c r="AP426" t="s">
        <v>481</v>
      </c>
      <c r="AQ426" t="s">
        <v>555</v>
      </c>
      <c r="AR426" t="s">
        <v>482</v>
      </c>
      <c r="AS426" t="s">
        <v>483</v>
      </c>
      <c r="AT426" t="s">
        <v>484</v>
      </c>
      <c r="AU426" t="s">
        <v>521</v>
      </c>
      <c r="AW426" t="s">
        <v>486</v>
      </c>
      <c r="BF426" s="1"/>
      <c r="BG426" t="s">
        <v>523</v>
      </c>
      <c r="BH426" t="s">
        <v>487</v>
      </c>
      <c r="BP426" t="s">
        <v>1489</v>
      </c>
    </row>
    <row r="427" spans="1:68" x14ac:dyDescent="0.25">
      <c r="A427" t="s">
        <v>5713</v>
      </c>
      <c r="B427" t="s">
        <v>474</v>
      </c>
      <c r="C427" t="s">
        <v>1486</v>
      </c>
      <c r="E427" t="s">
        <v>480</v>
      </c>
      <c r="G427" s="1" t="s">
        <v>2396</v>
      </c>
      <c r="H427" t="s">
        <v>575</v>
      </c>
      <c r="J427">
        <v>400016</v>
      </c>
      <c r="P427" t="s">
        <v>135</v>
      </c>
      <c r="R427" t="s">
        <v>918</v>
      </c>
      <c r="S427" t="s">
        <v>2421</v>
      </c>
      <c r="T427" t="s">
        <v>2422</v>
      </c>
      <c r="V427" t="s">
        <v>2423</v>
      </c>
      <c r="W427" t="s">
        <v>73</v>
      </c>
      <c r="AE427" t="s">
        <v>478</v>
      </c>
      <c r="AF427" t="s">
        <v>479</v>
      </c>
      <c r="AL427" t="s">
        <v>919</v>
      </c>
      <c r="AM427" t="s">
        <v>919</v>
      </c>
      <c r="AO427" t="s">
        <v>480</v>
      </c>
      <c r="AP427" t="s">
        <v>481</v>
      </c>
      <c r="AQ427" t="s">
        <v>574</v>
      </c>
      <c r="AR427" t="s">
        <v>482</v>
      </c>
      <c r="AS427" t="s">
        <v>483</v>
      </c>
      <c r="AT427" t="s">
        <v>484</v>
      </c>
      <c r="AU427" t="s">
        <v>521</v>
      </c>
      <c r="AW427" t="s">
        <v>486</v>
      </c>
      <c r="BF427" s="1"/>
      <c r="BG427" t="s">
        <v>523</v>
      </c>
      <c r="BH427" t="s">
        <v>487</v>
      </c>
      <c r="BP427" t="s">
        <v>1489</v>
      </c>
    </row>
    <row r="428" spans="1:68" x14ac:dyDescent="0.25">
      <c r="A428" t="s">
        <v>5713</v>
      </c>
      <c r="B428" t="s">
        <v>474</v>
      </c>
      <c r="C428" t="s">
        <v>1486</v>
      </c>
      <c r="E428" t="s">
        <v>480</v>
      </c>
      <c r="G428" s="1" t="s">
        <v>2396</v>
      </c>
      <c r="H428" t="s">
        <v>581</v>
      </c>
      <c r="J428">
        <v>400016</v>
      </c>
      <c r="P428" t="s">
        <v>126</v>
      </c>
      <c r="R428" t="s">
        <v>918</v>
      </c>
      <c r="S428" t="s">
        <v>2424</v>
      </c>
      <c r="T428" t="s">
        <v>2425</v>
      </c>
      <c r="V428" t="s">
        <v>2426</v>
      </c>
      <c r="W428" t="s">
        <v>73</v>
      </c>
      <c r="AE428" t="s">
        <v>478</v>
      </c>
      <c r="AF428" t="s">
        <v>479</v>
      </c>
      <c r="AL428" t="s">
        <v>919</v>
      </c>
      <c r="AM428" t="s">
        <v>919</v>
      </c>
      <c r="AO428" t="s">
        <v>480</v>
      </c>
      <c r="AP428" t="s">
        <v>481</v>
      </c>
      <c r="AQ428" t="s">
        <v>639</v>
      </c>
      <c r="AR428" t="s">
        <v>482</v>
      </c>
      <c r="AS428" t="s">
        <v>483</v>
      </c>
      <c r="AT428" t="s">
        <v>484</v>
      </c>
      <c r="AU428" t="s">
        <v>521</v>
      </c>
      <c r="AW428" t="s">
        <v>486</v>
      </c>
      <c r="BF428" s="1"/>
      <c r="BG428" t="s">
        <v>523</v>
      </c>
      <c r="BH428" t="s">
        <v>487</v>
      </c>
      <c r="BP428" t="s">
        <v>1489</v>
      </c>
    </row>
    <row r="429" spans="1:68" x14ac:dyDescent="0.25">
      <c r="A429" t="s">
        <v>5713</v>
      </c>
      <c r="B429" t="s">
        <v>474</v>
      </c>
      <c r="C429" t="s">
        <v>1486</v>
      </c>
      <c r="E429" t="s">
        <v>480</v>
      </c>
      <c r="G429" s="1" t="s">
        <v>2396</v>
      </c>
      <c r="H429" t="s">
        <v>589</v>
      </c>
      <c r="J429">
        <v>400016</v>
      </c>
      <c r="P429" t="s">
        <v>155</v>
      </c>
      <c r="R429" t="s">
        <v>918</v>
      </c>
      <c r="S429" t="s">
        <v>2427</v>
      </c>
      <c r="T429" t="s">
        <v>2428</v>
      </c>
      <c r="V429" t="s">
        <v>2429</v>
      </c>
      <c r="W429" t="s">
        <v>73</v>
      </c>
      <c r="AE429" t="s">
        <v>478</v>
      </c>
      <c r="AF429" t="s">
        <v>479</v>
      </c>
      <c r="AL429" t="s">
        <v>919</v>
      </c>
      <c r="AM429" t="s">
        <v>919</v>
      </c>
      <c r="AO429" t="s">
        <v>480</v>
      </c>
      <c r="AP429" t="s">
        <v>481</v>
      </c>
      <c r="AQ429" t="s">
        <v>610</v>
      </c>
      <c r="AR429" t="s">
        <v>482</v>
      </c>
      <c r="AS429" t="s">
        <v>483</v>
      </c>
      <c r="AT429" t="s">
        <v>484</v>
      </c>
      <c r="AU429" t="s">
        <v>521</v>
      </c>
      <c r="AW429" t="s">
        <v>486</v>
      </c>
      <c r="BF429" s="1"/>
      <c r="BG429" t="s">
        <v>523</v>
      </c>
      <c r="BH429" t="s">
        <v>487</v>
      </c>
      <c r="BP429" t="s">
        <v>1489</v>
      </c>
    </row>
    <row r="430" spans="1:68" x14ac:dyDescent="0.25">
      <c r="A430" t="s">
        <v>5713</v>
      </c>
      <c r="B430" t="s">
        <v>474</v>
      </c>
      <c r="C430" t="s">
        <v>1486</v>
      </c>
      <c r="E430" t="s">
        <v>480</v>
      </c>
      <c r="G430" s="1" t="s">
        <v>2396</v>
      </c>
      <c r="H430" t="s">
        <v>598</v>
      </c>
      <c r="J430">
        <v>400016</v>
      </c>
      <c r="P430" t="s">
        <v>98</v>
      </c>
      <c r="R430" t="s">
        <v>918</v>
      </c>
      <c r="S430" t="s">
        <v>2430</v>
      </c>
      <c r="T430" t="s">
        <v>2431</v>
      </c>
      <c r="V430" t="s">
        <v>2432</v>
      </c>
      <c r="W430" t="s">
        <v>73</v>
      </c>
      <c r="AE430" t="s">
        <v>478</v>
      </c>
      <c r="AF430" t="s">
        <v>479</v>
      </c>
      <c r="AL430" t="s">
        <v>919</v>
      </c>
      <c r="AM430" t="s">
        <v>919</v>
      </c>
      <c r="AO430" t="s">
        <v>480</v>
      </c>
      <c r="AP430" t="s">
        <v>481</v>
      </c>
      <c r="AQ430" t="s">
        <v>580</v>
      </c>
      <c r="AR430" t="s">
        <v>482</v>
      </c>
      <c r="AS430" t="s">
        <v>483</v>
      </c>
      <c r="AT430" t="s">
        <v>484</v>
      </c>
      <c r="AU430" t="s">
        <v>521</v>
      </c>
      <c r="AW430" t="s">
        <v>486</v>
      </c>
      <c r="BF430" s="1"/>
      <c r="BG430" t="s">
        <v>523</v>
      </c>
      <c r="BH430" t="s">
        <v>487</v>
      </c>
      <c r="BP430" t="s">
        <v>1489</v>
      </c>
    </row>
    <row r="431" spans="1:68" x14ac:dyDescent="0.25">
      <c r="A431" t="s">
        <v>5713</v>
      </c>
      <c r="B431" t="s">
        <v>474</v>
      </c>
      <c r="C431" t="s">
        <v>1486</v>
      </c>
      <c r="E431" t="s">
        <v>480</v>
      </c>
      <c r="G431" s="1" t="s">
        <v>2396</v>
      </c>
      <c r="H431" t="s">
        <v>604</v>
      </c>
      <c r="J431">
        <v>400016</v>
      </c>
      <c r="P431" t="s">
        <v>114</v>
      </c>
      <c r="R431" t="s">
        <v>918</v>
      </c>
      <c r="S431" t="s">
        <v>2433</v>
      </c>
      <c r="T431" t="s">
        <v>2434</v>
      </c>
      <c r="V431" t="s">
        <v>2435</v>
      </c>
      <c r="W431" t="s">
        <v>73</v>
      </c>
      <c r="AE431" t="s">
        <v>478</v>
      </c>
      <c r="AF431" t="s">
        <v>479</v>
      </c>
      <c r="AL431" t="s">
        <v>919</v>
      </c>
      <c r="AM431" t="s">
        <v>919</v>
      </c>
      <c r="AO431" t="s">
        <v>480</v>
      </c>
      <c r="AP431" t="s">
        <v>481</v>
      </c>
      <c r="AQ431" t="s">
        <v>584</v>
      </c>
      <c r="AR431" t="s">
        <v>482</v>
      </c>
      <c r="AS431" t="s">
        <v>483</v>
      </c>
      <c r="AT431" t="s">
        <v>484</v>
      </c>
      <c r="AU431" t="s">
        <v>521</v>
      </c>
      <c r="AW431" t="s">
        <v>486</v>
      </c>
      <c r="BF431" s="1"/>
      <c r="BG431" t="s">
        <v>523</v>
      </c>
      <c r="BH431" t="s">
        <v>487</v>
      </c>
      <c r="BP431" t="s">
        <v>1489</v>
      </c>
    </row>
    <row r="432" spans="1:68" x14ac:dyDescent="0.25">
      <c r="A432" t="s">
        <v>5713</v>
      </c>
      <c r="B432" t="s">
        <v>474</v>
      </c>
      <c r="C432" t="s">
        <v>1486</v>
      </c>
      <c r="E432" t="s">
        <v>480</v>
      </c>
      <c r="G432" s="1" t="s">
        <v>2396</v>
      </c>
      <c r="H432" t="s">
        <v>611</v>
      </c>
      <c r="J432">
        <v>400016</v>
      </c>
      <c r="P432" t="s">
        <v>78</v>
      </c>
      <c r="R432" t="s">
        <v>918</v>
      </c>
      <c r="S432" t="s">
        <v>2436</v>
      </c>
      <c r="T432" t="s">
        <v>2437</v>
      </c>
      <c r="V432" t="s">
        <v>2438</v>
      </c>
      <c r="W432" t="s">
        <v>73</v>
      </c>
      <c r="AE432" t="s">
        <v>478</v>
      </c>
      <c r="AF432" t="s">
        <v>479</v>
      </c>
      <c r="AL432" t="s">
        <v>919</v>
      </c>
      <c r="AM432" t="s">
        <v>919</v>
      </c>
      <c r="AO432" t="s">
        <v>480</v>
      </c>
      <c r="AP432" t="s">
        <v>481</v>
      </c>
      <c r="AQ432" t="s">
        <v>631</v>
      </c>
      <c r="AR432" t="s">
        <v>482</v>
      </c>
      <c r="AS432" t="s">
        <v>483</v>
      </c>
      <c r="AT432" t="s">
        <v>484</v>
      </c>
      <c r="AU432" t="s">
        <v>521</v>
      </c>
      <c r="AW432" t="s">
        <v>486</v>
      </c>
      <c r="BF432" s="1"/>
      <c r="BG432" t="s">
        <v>523</v>
      </c>
      <c r="BH432" t="s">
        <v>487</v>
      </c>
      <c r="BP432" t="s">
        <v>1489</v>
      </c>
    </row>
    <row r="433" spans="1:68" x14ac:dyDescent="0.25">
      <c r="A433" t="s">
        <v>5713</v>
      </c>
      <c r="B433" t="s">
        <v>474</v>
      </c>
      <c r="C433" t="s">
        <v>1486</v>
      </c>
      <c r="E433" t="s">
        <v>480</v>
      </c>
      <c r="G433" s="1" t="s">
        <v>2396</v>
      </c>
      <c r="H433" t="s">
        <v>612</v>
      </c>
      <c r="J433">
        <v>400016</v>
      </c>
      <c r="P433" t="s">
        <v>148</v>
      </c>
      <c r="R433" t="s">
        <v>918</v>
      </c>
      <c r="S433" t="s">
        <v>2439</v>
      </c>
      <c r="T433" t="s">
        <v>2440</v>
      </c>
      <c r="V433" t="s">
        <v>2441</v>
      </c>
      <c r="W433" t="s">
        <v>73</v>
      </c>
      <c r="AE433" t="s">
        <v>478</v>
      </c>
      <c r="AF433" t="s">
        <v>479</v>
      </c>
      <c r="AL433" t="s">
        <v>919</v>
      </c>
      <c r="AM433" t="s">
        <v>919</v>
      </c>
      <c r="AO433" t="s">
        <v>480</v>
      </c>
      <c r="AP433" t="s">
        <v>481</v>
      </c>
      <c r="AQ433" t="s">
        <v>591</v>
      </c>
      <c r="AR433" t="s">
        <v>482</v>
      </c>
      <c r="AS433" t="s">
        <v>483</v>
      </c>
      <c r="AT433" t="s">
        <v>484</v>
      </c>
      <c r="AU433" t="s">
        <v>521</v>
      </c>
      <c r="AW433" t="s">
        <v>486</v>
      </c>
      <c r="BF433" s="1"/>
      <c r="BG433" t="s">
        <v>523</v>
      </c>
      <c r="BH433" t="s">
        <v>487</v>
      </c>
      <c r="BP433" t="s">
        <v>1489</v>
      </c>
    </row>
    <row r="434" spans="1:68" x14ac:dyDescent="0.25">
      <c r="A434" t="s">
        <v>5713</v>
      </c>
      <c r="B434" t="s">
        <v>474</v>
      </c>
      <c r="C434" t="s">
        <v>1486</v>
      </c>
      <c r="E434" t="s">
        <v>480</v>
      </c>
      <c r="G434" s="1" t="s">
        <v>2396</v>
      </c>
      <c r="H434" t="s">
        <v>810</v>
      </c>
      <c r="J434">
        <v>400016</v>
      </c>
      <c r="P434" t="s">
        <v>136</v>
      </c>
      <c r="R434" t="s">
        <v>918</v>
      </c>
      <c r="S434" t="s">
        <v>2442</v>
      </c>
      <c r="T434" t="s">
        <v>1190</v>
      </c>
      <c r="V434" t="s">
        <v>2443</v>
      </c>
      <c r="W434" t="s">
        <v>73</v>
      </c>
      <c r="AE434" t="s">
        <v>478</v>
      </c>
      <c r="AF434" t="s">
        <v>479</v>
      </c>
      <c r="AL434" t="s">
        <v>919</v>
      </c>
      <c r="AM434" t="s">
        <v>919</v>
      </c>
      <c r="AO434" t="s">
        <v>480</v>
      </c>
      <c r="AP434" t="s">
        <v>481</v>
      </c>
      <c r="AQ434" t="s">
        <v>790</v>
      </c>
      <c r="AR434" t="s">
        <v>482</v>
      </c>
      <c r="AS434" t="s">
        <v>483</v>
      </c>
      <c r="AT434" t="s">
        <v>484</v>
      </c>
      <c r="AU434" t="s">
        <v>521</v>
      </c>
      <c r="AW434" t="s">
        <v>486</v>
      </c>
      <c r="BF434" s="1"/>
      <c r="BG434" t="s">
        <v>523</v>
      </c>
      <c r="BH434" t="s">
        <v>487</v>
      </c>
      <c r="BP434" t="s">
        <v>1489</v>
      </c>
    </row>
    <row r="435" spans="1:68" x14ac:dyDescent="0.25">
      <c r="A435" t="s">
        <v>5713</v>
      </c>
      <c r="B435" t="s">
        <v>474</v>
      </c>
      <c r="C435" t="s">
        <v>1486</v>
      </c>
      <c r="E435" t="s">
        <v>480</v>
      </c>
      <c r="G435" s="1" t="s">
        <v>2396</v>
      </c>
      <c r="H435" t="s">
        <v>813</v>
      </c>
      <c r="J435">
        <v>400016</v>
      </c>
      <c r="P435" t="s">
        <v>103</v>
      </c>
      <c r="R435" t="s">
        <v>918</v>
      </c>
      <c r="S435" t="s">
        <v>2444</v>
      </c>
      <c r="T435" t="s">
        <v>2445</v>
      </c>
      <c r="V435" t="s">
        <v>2446</v>
      </c>
      <c r="W435" t="s">
        <v>73</v>
      </c>
      <c r="AE435" t="s">
        <v>478</v>
      </c>
      <c r="AF435" t="s">
        <v>479</v>
      </c>
      <c r="AL435" t="s">
        <v>919</v>
      </c>
      <c r="AM435" t="s">
        <v>919</v>
      </c>
      <c r="AO435" t="s">
        <v>480</v>
      </c>
      <c r="AP435" t="s">
        <v>481</v>
      </c>
      <c r="AQ435" t="s">
        <v>545</v>
      </c>
      <c r="AR435" t="s">
        <v>482</v>
      </c>
      <c r="AS435" t="s">
        <v>483</v>
      </c>
      <c r="AT435" t="s">
        <v>484</v>
      </c>
      <c r="AU435" t="s">
        <v>521</v>
      </c>
      <c r="AW435" t="s">
        <v>486</v>
      </c>
      <c r="BF435" s="1"/>
      <c r="BG435" t="s">
        <v>523</v>
      </c>
      <c r="BH435" t="s">
        <v>487</v>
      </c>
      <c r="BP435" t="s">
        <v>1489</v>
      </c>
    </row>
    <row r="436" spans="1:68" x14ac:dyDescent="0.25">
      <c r="A436" t="s">
        <v>5713</v>
      </c>
      <c r="B436" t="s">
        <v>474</v>
      </c>
      <c r="C436" t="s">
        <v>1486</v>
      </c>
      <c r="E436" t="s">
        <v>480</v>
      </c>
      <c r="G436" s="1" t="s">
        <v>2396</v>
      </c>
      <c r="H436" t="s">
        <v>817</v>
      </c>
      <c r="J436">
        <v>400016</v>
      </c>
      <c r="P436" t="s">
        <v>147</v>
      </c>
      <c r="R436" t="s">
        <v>918</v>
      </c>
      <c r="S436" t="s">
        <v>2447</v>
      </c>
      <c r="T436" t="s">
        <v>2448</v>
      </c>
      <c r="V436" t="s">
        <v>2449</v>
      </c>
      <c r="W436" t="s">
        <v>73</v>
      </c>
      <c r="AE436" t="s">
        <v>478</v>
      </c>
      <c r="AF436" t="s">
        <v>479</v>
      </c>
      <c r="AL436" t="s">
        <v>919</v>
      </c>
      <c r="AM436" t="s">
        <v>919</v>
      </c>
      <c r="AO436" t="s">
        <v>480</v>
      </c>
      <c r="AP436" t="s">
        <v>481</v>
      </c>
      <c r="AQ436" t="s">
        <v>688</v>
      </c>
      <c r="AR436" t="s">
        <v>482</v>
      </c>
      <c r="AS436" t="s">
        <v>483</v>
      </c>
      <c r="AT436" t="s">
        <v>484</v>
      </c>
      <c r="AU436" t="s">
        <v>521</v>
      </c>
      <c r="AW436" t="s">
        <v>486</v>
      </c>
      <c r="BF436" s="1"/>
      <c r="BG436" t="s">
        <v>523</v>
      </c>
      <c r="BH436" t="s">
        <v>487</v>
      </c>
      <c r="BP436" t="s">
        <v>1489</v>
      </c>
    </row>
    <row r="437" spans="1:68" x14ac:dyDescent="0.25">
      <c r="A437" t="s">
        <v>5713</v>
      </c>
      <c r="B437" t="s">
        <v>474</v>
      </c>
      <c r="C437" t="s">
        <v>1486</v>
      </c>
      <c r="E437" t="s">
        <v>480</v>
      </c>
      <c r="G437" s="1" t="s">
        <v>2396</v>
      </c>
      <c r="H437" t="s">
        <v>922</v>
      </c>
      <c r="J437">
        <v>400016</v>
      </c>
      <c r="P437" t="s">
        <v>110</v>
      </c>
      <c r="R437" t="s">
        <v>918</v>
      </c>
      <c r="S437" t="s">
        <v>2450</v>
      </c>
      <c r="T437" t="s">
        <v>2451</v>
      </c>
      <c r="V437" t="s">
        <v>2452</v>
      </c>
      <c r="W437" t="s">
        <v>73</v>
      </c>
      <c r="AE437" t="s">
        <v>478</v>
      </c>
      <c r="AF437" t="s">
        <v>479</v>
      </c>
      <c r="AL437" t="s">
        <v>919</v>
      </c>
      <c r="AM437" t="s">
        <v>919</v>
      </c>
      <c r="AO437" t="s">
        <v>480</v>
      </c>
      <c r="AP437" t="s">
        <v>481</v>
      </c>
      <c r="AQ437" t="s">
        <v>624</v>
      </c>
      <c r="AR437" t="s">
        <v>482</v>
      </c>
      <c r="AS437" t="s">
        <v>483</v>
      </c>
      <c r="AT437" t="s">
        <v>484</v>
      </c>
      <c r="AU437" t="s">
        <v>521</v>
      </c>
      <c r="AW437" t="s">
        <v>486</v>
      </c>
      <c r="BF437" s="1"/>
      <c r="BG437" t="s">
        <v>523</v>
      </c>
      <c r="BH437" t="s">
        <v>487</v>
      </c>
      <c r="BP437" t="s">
        <v>1489</v>
      </c>
    </row>
    <row r="438" spans="1:68" x14ac:dyDescent="0.25">
      <c r="A438" t="s">
        <v>5713</v>
      </c>
      <c r="B438" t="s">
        <v>474</v>
      </c>
      <c r="C438" t="s">
        <v>1486</v>
      </c>
      <c r="E438" t="s">
        <v>480</v>
      </c>
      <c r="G438" s="1" t="s">
        <v>2396</v>
      </c>
      <c r="H438" t="s">
        <v>923</v>
      </c>
      <c r="J438">
        <v>400016</v>
      </c>
      <c r="P438" t="s">
        <v>116</v>
      </c>
      <c r="R438" t="s">
        <v>918</v>
      </c>
      <c r="S438" t="s">
        <v>2453</v>
      </c>
      <c r="T438" t="s">
        <v>2454</v>
      </c>
      <c r="V438" t="s">
        <v>2455</v>
      </c>
      <c r="W438" t="s">
        <v>73</v>
      </c>
      <c r="AE438" t="s">
        <v>478</v>
      </c>
      <c r="AF438" t="s">
        <v>479</v>
      </c>
      <c r="AL438" t="s">
        <v>919</v>
      </c>
      <c r="AM438" t="s">
        <v>919</v>
      </c>
      <c r="AO438" t="s">
        <v>480</v>
      </c>
      <c r="AP438" t="s">
        <v>481</v>
      </c>
      <c r="AQ438" t="s">
        <v>645</v>
      </c>
      <c r="AR438" t="s">
        <v>482</v>
      </c>
      <c r="AS438" t="s">
        <v>483</v>
      </c>
      <c r="AT438" t="s">
        <v>484</v>
      </c>
      <c r="AU438" t="s">
        <v>521</v>
      </c>
      <c r="AW438" t="s">
        <v>486</v>
      </c>
      <c r="BF438" s="1"/>
      <c r="BG438" t="s">
        <v>523</v>
      </c>
      <c r="BH438" t="s">
        <v>487</v>
      </c>
      <c r="BP438" t="s">
        <v>1489</v>
      </c>
    </row>
    <row r="439" spans="1:68" x14ac:dyDescent="0.25">
      <c r="A439" t="s">
        <v>5713</v>
      </c>
      <c r="B439" t="s">
        <v>474</v>
      </c>
      <c r="C439" t="s">
        <v>1486</v>
      </c>
      <c r="E439" t="s">
        <v>480</v>
      </c>
      <c r="G439" s="1" t="s">
        <v>2396</v>
      </c>
      <c r="H439" t="s">
        <v>924</v>
      </c>
      <c r="J439">
        <v>400016</v>
      </c>
      <c r="P439" t="s">
        <v>115</v>
      </c>
      <c r="R439" t="s">
        <v>918</v>
      </c>
      <c r="S439" t="s">
        <v>2456</v>
      </c>
      <c r="T439" t="s">
        <v>2457</v>
      </c>
      <c r="V439" t="s">
        <v>2458</v>
      </c>
      <c r="W439" t="s">
        <v>73</v>
      </c>
      <c r="AE439" t="s">
        <v>478</v>
      </c>
      <c r="AF439" t="s">
        <v>479</v>
      </c>
      <c r="AL439" t="s">
        <v>919</v>
      </c>
      <c r="AM439" t="s">
        <v>919</v>
      </c>
      <c r="AO439" t="s">
        <v>480</v>
      </c>
      <c r="AP439" t="s">
        <v>481</v>
      </c>
      <c r="AQ439" t="s">
        <v>626</v>
      </c>
      <c r="AR439" t="s">
        <v>482</v>
      </c>
      <c r="AS439" t="s">
        <v>483</v>
      </c>
      <c r="AT439" t="s">
        <v>484</v>
      </c>
      <c r="AU439" t="s">
        <v>521</v>
      </c>
      <c r="AW439" t="s">
        <v>486</v>
      </c>
      <c r="BF439" s="1"/>
      <c r="BG439" t="s">
        <v>523</v>
      </c>
      <c r="BH439" t="s">
        <v>487</v>
      </c>
      <c r="BP439" t="s">
        <v>1489</v>
      </c>
    </row>
    <row r="440" spans="1:68" x14ac:dyDescent="0.25">
      <c r="A440" t="s">
        <v>5713</v>
      </c>
      <c r="B440" t="s">
        <v>474</v>
      </c>
      <c r="C440" t="s">
        <v>1486</v>
      </c>
      <c r="E440" t="s">
        <v>480</v>
      </c>
      <c r="G440" s="1" t="s">
        <v>2396</v>
      </c>
      <c r="H440" t="s">
        <v>925</v>
      </c>
      <c r="J440">
        <v>400016</v>
      </c>
      <c r="P440" t="s">
        <v>124</v>
      </c>
      <c r="R440" t="s">
        <v>918</v>
      </c>
      <c r="S440" t="s">
        <v>2459</v>
      </c>
      <c r="T440" t="s">
        <v>2460</v>
      </c>
      <c r="V440" t="s">
        <v>2461</v>
      </c>
      <c r="W440" t="s">
        <v>73</v>
      </c>
      <c r="AE440" t="s">
        <v>478</v>
      </c>
      <c r="AF440" t="s">
        <v>479</v>
      </c>
      <c r="AL440" t="s">
        <v>919</v>
      </c>
      <c r="AM440" t="s">
        <v>919</v>
      </c>
      <c r="AO440" t="s">
        <v>480</v>
      </c>
      <c r="AP440" t="s">
        <v>481</v>
      </c>
      <c r="AQ440" t="s">
        <v>588</v>
      </c>
      <c r="AR440" t="s">
        <v>482</v>
      </c>
      <c r="AS440" t="s">
        <v>483</v>
      </c>
      <c r="AT440" t="s">
        <v>484</v>
      </c>
      <c r="AU440" t="s">
        <v>521</v>
      </c>
      <c r="AW440" t="s">
        <v>486</v>
      </c>
      <c r="BF440" s="1"/>
      <c r="BG440" t="s">
        <v>523</v>
      </c>
      <c r="BH440" t="s">
        <v>487</v>
      </c>
      <c r="BP440" t="s">
        <v>1489</v>
      </c>
    </row>
    <row r="441" spans="1:68" x14ac:dyDescent="0.25">
      <c r="A441" t="s">
        <v>5713</v>
      </c>
      <c r="B441" t="s">
        <v>474</v>
      </c>
      <c r="C441" t="s">
        <v>1486</v>
      </c>
      <c r="E441" t="s">
        <v>480</v>
      </c>
      <c r="G441" s="1" t="s">
        <v>2396</v>
      </c>
      <c r="H441" t="s">
        <v>926</v>
      </c>
      <c r="J441">
        <v>400016</v>
      </c>
      <c r="P441" t="s">
        <v>88</v>
      </c>
      <c r="R441" t="s">
        <v>918</v>
      </c>
      <c r="S441" t="s">
        <v>2462</v>
      </c>
      <c r="T441" t="s">
        <v>2463</v>
      </c>
      <c r="V441" t="s">
        <v>2464</v>
      </c>
      <c r="W441" t="s">
        <v>73</v>
      </c>
      <c r="AE441" t="s">
        <v>478</v>
      </c>
      <c r="AF441" t="s">
        <v>479</v>
      </c>
      <c r="AL441" t="s">
        <v>919</v>
      </c>
      <c r="AM441" t="s">
        <v>919</v>
      </c>
      <c r="AO441" t="s">
        <v>480</v>
      </c>
      <c r="AP441" t="s">
        <v>481</v>
      </c>
      <c r="AQ441" t="s">
        <v>597</v>
      </c>
      <c r="AR441" t="s">
        <v>482</v>
      </c>
      <c r="AS441" t="s">
        <v>483</v>
      </c>
      <c r="AT441" t="s">
        <v>484</v>
      </c>
      <c r="AU441" t="s">
        <v>521</v>
      </c>
      <c r="AW441" t="s">
        <v>486</v>
      </c>
      <c r="BF441" s="1"/>
      <c r="BG441" t="s">
        <v>523</v>
      </c>
      <c r="BH441" t="s">
        <v>487</v>
      </c>
      <c r="BP441" t="s">
        <v>1489</v>
      </c>
    </row>
    <row r="442" spans="1:68" x14ac:dyDescent="0.25">
      <c r="A442" t="s">
        <v>5713</v>
      </c>
      <c r="B442" t="s">
        <v>474</v>
      </c>
      <c r="C442" t="s">
        <v>1486</v>
      </c>
      <c r="E442" t="s">
        <v>480</v>
      </c>
      <c r="G442" s="1" t="s">
        <v>2396</v>
      </c>
      <c r="H442" t="s">
        <v>967</v>
      </c>
      <c r="J442">
        <v>400016</v>
      </c>
      <c r="P442" t="s">
        <v>101</v>
      </c>
      <c r="R442" t="s">
        <v>918</v>
      </c>
      <c r="S442" t="s">
        <v>2465</v>
      </c>
      <c r="T442" t="s">
        <v>2466</v>
      </c>
      <c r="V442" t="s">
        <v>2467</v>
      </c>
      <c r="W442" t="s">
        <v>73</v>
      </c>
      <c r="AE442" t="s">
        <v>478</v>
      </c>
      <c r="AF442" t="s">
        <v>479</v>
      </c>
      <c r="AL442" t="s">
        <v>919</v>
      </c>
      <c r="AM442" t="s">
        <v>919</v>
      </c>
      <c r="AO442" t="s">
        <v>480</v>
      </c>
      <c r="AP442" t="s">
        <v>481</v>
      </c>
      <c r="AQ442" t="s">
        <v>699</v>
      </c>
      <c r="AR442" t="s">
        <v>482</v>
      </c>
      <c r="AS442" t="s">
        <v>483</v>
      </c>
      <c r="AT442" t="s">
        <v>484</v>
      </c>
      <c r="AU442" t="s">
        <v>521</v>
      </c>
      <c r="AW442" t="s">
        <v>486</v>
      </c>
      <c r="BF442" s="1"/>
      <c r="BG442" t="s">
        <v>523</v>
      </c>
      <c r="BH442" t="s">
        <v>487</v>
      </c>
      <c r="BP442" t="s">
        <v>1489</v>
      </c>
    </row>
    <row r="443" spans="1:68" x14ac:dyDescent="0.25">
      <c r="A443" t="s">
        <v>5713</v>
      </c>
      <c r="B443" t="s">
        <v>474</v>
      </c>
      <c r="C443" t="s">
        <v>1486</v>
      </c>
      <c r="E443" t="s">
        <v>480</v>
      </c>
      <c r="G443" s="1" t="s">
        <v>2396</v>
      </c>
      <c r="H443" t="s">
        <v>928</v>
      </c>
      <c r="J443">
        <v>400016</v>
      </c>
      <c r="P443" t="s">
        <v>79</v>
      </c>
      <c r="R443" t="s">
        <v>918</v>
      </c>
      <c r="S443" t="s">
        <v>2468</v>
      </c>
      <c r="T443" t="s">
        <v>2469</v>
      </c>
      <c r="V443" t="s">
        <v>2470</v>
      </c>
      <c r="W443" t="s">
        <v>73</v>
      </c>
      <c r="AE443" t="s">
        <v>478</v>
      </c>
      <c r="AF443" t="s">
        <v>479</v>
      </c>
      <c r="AL443" t="s">
        <v>919</v>
      </c>
      <c r="AM443" t="s">
        <v>919</v>
      </c>
      <c r="AO443" t="s">
        <v>480</v>
      </c>
      <c r="AP443" t="s">
        <v>481</v>
      </c>
      <c r="AQ443" t="s">
        <v>932</v>
      </c>
      <c r="AR443" t="s">
        <v>482</v>
      </c>
      <c r="AS443" t="s">
        <v>483</v>
      </c>
      <c r="AT443" t="s">
        <v>484</v>
      </c>
      <c r="AU443" t="s">
        <v>521</v>
      </c>
      <c r="AW443" t="s">
        <v>486</v>
      </c>
      <c r="BF443" s="1"/>
      <c r="BG443" t="s">
        <v>523</v>
      </c>
      <c r="BH443" t="s">
        <v>487</v>
      </c>
      <c r="BP443" t="s">
        <v>1489</v>
      </c>
    </row>
    <row r="444" spans="1:68" x14ac:dyDescent="0.25">
      <c r="A444" t="s">
        <v>5713</v>
      </c>
      <c r="B444" t="s">
        <v>474</v>
      </c>
      <c r="C444" t="s">
        <v>1486</v>
      </c>
      <c r="E444" t="s">
        <v>480</v>
      </c>
      <c r="G444" s="1" t="s">
        <v>2396</v>
      </c>
      <c r="H444" t="s">
        <v>968</v>
      </c>
      <c r="J444">
        <v>400016</v>
      </c>
      <c r="P444" t="s">
        <v>85</v>
      </c>
      <c r="R444" t="s">
        <v>918</v>
      </c>
      <c r="S444" t="s">
        <v>2471</v>
      </c>
      <c r="T444" t="s">
        <v>2472</v>
      </c>
      <c r="V444" t="s">
        <v>2473</v>
      </c>
      <c r="W444" t="s">
        <v>73</v>
      </c>
      <c r="AE444" t="s">
        <v>478</v>
      </c>
      <c r="AF444" t="s">
        <v>479</v>
      </c>
      <c r="AL444" t="s">
        <v>919</v>
      </c>
      <c r="AM444" t="s">
        <v>919</v>
      </c>
      <c r="AO444" t="s">
        <v>480</v>
      </c>
      <c r="AP444" t="s">
        <v>481</v>
      </c>
      <c r="AQ444" t="s">
        <v>630</v>
      </c>
      <c r="AR444" t="s">
        <v>482</v>
      </c>
      <c r="AS444" t="s">
        <v>483</v>
      </c>
      <c r="AT444" t="s">
        <v>484</v>
      </c>
      <c r="AU444" t="s">
        <v>521</v>
      </c>
      <c r="AW444" t="s">
        <v>486</v>
      </c>
      <c r="BF444" s="1"/>
      <c r="BG444" t="s">
        <v>523</v>
      </c>
      <c r="BH444" t="s">
        <v>487</v>
      </c>
      <c r="BP444" t="s">
        <v>1489</v>
      </c>
    </row>
    <row r="445" spans="1:68" x14ac:dyDescent="0.25">
      <c r="A445" t="s">
        <v>5713</v>
      </c>
      <c r="B445" t="s">
        <v>474</v>
      </c>
      <c r="C445" t="s">
        <v>1486</v>
      </c>
      <c r="E445" t="s">
        <v>480</v>
      </c>
      <c r="G445" s="1" t="s">
        <v>2396</v>
      </c>
      <c r="H445" t="s">
        <v>969</v>
      </c>
      <c r="J445">
        <v>400016</v>
      </c>
      <c r="P445" t="s">
        <v>108</v>
      </c>
      <c r="R445" t="s">
        <v>918</v>
      </c>
      <c r="S445" t="s">
        <v>2474</v>
      </c>
      <c r="T445" t="s">
        <v>2475</v>
      </c>
      <c r="V445" t="s">
        <v>2476</v>
      </c>
      <c r="W445" t="s">
        <v>73</v>
      </c>
      <c r="AE445" t="s">
        <v>478</v>
      </c>
      <c r="AF445" t="s">
        <v>479</v>
      </c>
      <c r="AL445" t="s">
        <v>919</v>
      </c>
      <c r="AM445" t="s">
        <v>919</v>
      </c>
      <c r="AO445" t="s">
        <v>480</v>
      </c>
      <c r="AP445" t="s">
        <v>481</v>
      </c>
      <c r="AQ445" t="s">
        <v>520</v>
      </c>
      <c r="AR445" t="s">
        <v>482</v>
      </c>
      <c r="AS445" t="s">
        <v>483</v>
      </c>
      <c r="AT445" t="s">
        <v>484</v>
      </c>
      <c r="AU445" t="s">
        <v>521</v>
      </c>
      <c r="AW445" t="s">
        <v>486</v>
      </c>
      <c r="BF445" s="1"/>
      <c r="BG445" t="s">
        <v>523</v>
      </c>
      <c r="BH445" t="s">
        <v>487</v>
      </c>
      <c r="BP445" t="s">
        <v>1489</v>
      </c>
    </row>
    <row r="446" spans="1:68" x14ac:dyDescent="0.25">
      <c r="A446" t="s">
        <v>5713</v>
      </c>
      <c r="B446" t="s">
        <v>474</v>
      </c>
      <c r="C446" t="s">
        <v>1486</v>
      </c>
      <c r="E446" t="s">
        <v>480</v>
      </c>
      <c r="G446" s="1" t="s">
        <v>2396</v>
      </c>
      <c r="H446" t="s">
        <v>933</v>
      </c>
      <c r="J446">
        <v>400016</v>
      </c>
      <c r="P446" t="s">
        <v>80</v>
      </c>
      <c r="R446" t="s">
        <v>918</v>
      </c>
      <c r="S446" t="s">
        <v>2477</v>
      </c>
      <c r="T446" t="s">
        <v>2478</v>
      </c>
      <c r="V446" t="s">
        <v>2479</v>
      </c>
      <c r="W446" t="s">
        <v>73</v>
      </c>
      <c r="AE446" t="s">
        <v>478</v>
      </c>
      <c r="AF446" t="s">
        <v>479</v>
      </c>
      <c r="AL446" t="s">
        <v>919</v>
      </c>
      <c r="AM446" t="s">
        <v>919</v>
      </c>
      <c r="AO446" t="s">
        <v>480</v>
      </c>
      <c r="AP446" t="s">
        <v>481</v>
      </c>
      <c r="AQ446" t="s">
        <v>603</v>
      </c>
      <c r="AR446" t="s">
        <v>482</v>
      </c>
      <c r="AS446" t="s">
        <v>483</v>
      </c>
      <c r="AT446" t="s">
        <v>484</v>
      </c>
      <c r="AU446" t="s">
        <v>521</v>
      </c>
      <c r="AW446" t="s">
        <v>486</v>
      </c>
      <c r="BF446" s="1"/>
      <c r="BG446" t="s">
        <v>523</v>
      </c>
      <c r="BH446" t="s">
        <v>487</v>
      </c>
      <c r="BP446" t="s">
        <v>1489</v>
      </c>
    </row>
    <row r="447" spans="1:68" x14ac:dyDescent="0.25">
      <c r="A447" t="s">
        <v>5713</v>
      </c>
      <c r="B447" t="s">
        <v>474</v>
      </c>
      <c r="C447" t="s">
        <v>1486</v>
      </c>
      <c r="E447" t="s">
        <v>480</v>
      </c>
      <c r="G447" s="1" t="s">
        <v>2396</v>
      </c>
      <c r="H447" t="s">
        <v>934</v>
      </c>
      <c r="J447">
        <v>400016</v>
      </c>
      <c r="P447" t="s">
        <v>74</v>
      </c>
      <c r="R447" t="s">
        <v>918</v>
      </c>
      <c r="S447" t="s">
        <v>2480</v>
      </c>
      <c r="T447" t="s">
        <v>2481</v>
      </c>
      <c r="V447" t="s">
        <v>2482</v>
      </c>
      <c r="W447" t="s">
        <v>73</v>
      </c>
      <c r="AE447" t="s">
        <v>478</v>
      </c>
      <c r="AF447" t="s">
        <v>479</v>
      </c>
      <c r="AL447" t="s">
        <v>919</v>
      </c>
      <c r="AM447" t="s">
        <v>919</v>
      </c>
      <c r="AO447" t="s">
        <v>480</v>
      </c>
      <c r="AP447" t="s">
        <v>481</v>
      </c>
      <c r="AQ447" t="s">
        <v>678</v>
      </c>
      <c r="AR447" t="s">
        <v>482</v>
      </c>
      <c r="AS447" t="s">
        <v>483</v>
      </c>
      <c r="AT447" t="s">
        <v>484</v>
      </c>
      <c r="AU447" t="s">
        <v>521</v>
      </c>
      <c r="AW447" t="s">
        <v>486</v>
      </c>
      <c r="BF447" s="1"/>
      <c r="BG447" t="s">
        <v>523</v>
      </c>
      <c r="BH447" t="s">
        <v>487</v>
      </c>
      <c r="BP447" t="s">
        <v>1489</v>
      </c>
    </row>
    <row r="448" spans="1:68" x14ac:dyDescent="0.25">
      <c r="A448" t="s">
        <v>5713</v>
      </c>
      <c r="B448" t="s">
        <v>474</v>
      </c>
      <c r="C448" t="s">
        <v>1486</v>
      </c>
      <c r="E448" t="s">
        <v>480</v>
      </c>
      <c r="G448" s="1" t="s">
        <v>2396</v>
      </c>
      <c r="H448" t="s">
        <v>935</v>
      </c>
      <c r="J448">
        <v>400016</v>
      </c>
      <c r="P448" t="s">
        <v>109</v>
      </c>
      <c r="R448" t="s">
        <v>918</v>
      </c>
      <c r="S448" t="s">
        <v>2483</v>
      </c>
      <c r="T448" t="s">
        <v>2484</v>
      </c>
      <c r="V448" t="s">
        <v>2485</v>
      </c>
      <c r="W448" t="s">
        <v>73</v>
      </c>
      <c r="AE448" t="s">
        <v>478</v>
      </c>
      <c r="AF448" t="s">
        <v>479</v>
      </c>
      <c r="AL448" t="s">
        <v>919</v>
      </c>
      <c r="AM448" t="s">
        <v>919</v>
      </c>
      <c r="AO448" t="s">
        <v>480</v>
      </c>
      <c r="AP448" t="s">
        <v>481</v>
      </c>
      <c r="AQ448" t="s">
        <v>536</v>
      </c>
      <c r="AR448" t="s">
        <v>482</v>
      </c>
      <c r="AS448" t="s">
        <v>483</v>
      </c>
      <c r="AT448" t="s">
        <v>484</v>
      </c>
      <c r="AU448" t="s">
        <v>521</v>
      </c>
      <c r="AW448" t="s">
        <v>486</v>
      </c>
      <c r="BF448" s="1"/>
      <c r="BG448" t="s">
        <v>523</v>
      </c>
      <c r="BH448" t="s">
        <v>487</v>
      </c>
      <c r="BP448" t="s">
        <v>1489</v>
      </c>
    </row>
    <row r="449" spans="1:68" x14ac:dyDescent="0.25">
      <c r="A449" t="s">
        <v>5713</v>
      </c>
      <c r="B449" t="s">
        <v>474</v>
      </c>
      <c r="C449" t="s">
        <v>1486</v>
      </c>
      <c r="E449" t="s">
        <v>480</v>
      </c>
      <c r="G449" s="1" t="s">
        <v>2396</v>
      </c>
      <c r="H449" t="s">
        <v>936</v>
      </c>
      <c r="J449">
        <v>400016</v>
      </c>
      <c r="P449" t="s">
        <v>111</v>
      </c>
      <c r="R449" t="s">
        <v>918</v>
      </c>
      <c r="S449" t="s">
        <v>2486</v>
      </c>
      <c r="T449" t="s">
        <v>2487</v>
      </c>
      <c r="V449" t="s">
        <v>2488</v>
      </c>
      <c r="W449" t="s">
        <v>73</v>
      </c>
      <c r="AE449" t="s">
        <v>478</v>
      </c>
      <c r="AF449" t="s">
        <v>479</v>
      </c>
      <c r="AL449" t="s">
        <v>919</v>
      </c>
      <c r="AM449" t="s">
        <v>919</v>
      </c>
      <c r="AO449" t="s">
        <v>480</v>
      </c>
      <c r="AP449" t="s">
        <v>481</v>
      </c>
      <c r="AQ449" t="s">
        <v>548</v>
      </c>
      <c r="AR449" t="s">
        <v>482</v>
      </c>
      <c r="AS449" t="s">
        <v>483</v>
      </c>
      <c r="AT449" t="s">
        <v>484</v>
      </c>
      <c r="AU449" t="s">
        <v>521</v>
      </c>
      <c r="AW449" t="s">
        <v>486</v>
      </c>
      <c r="BF449" s="1"/>
      <c r="BG449" t="s">
        <v>523</v>
      </c>
      <c r="BH449" t="s">
        <v>487</v>
      </c>
      <c r="BP449" t="s">
        <v>1489</v>
      </c>
    </row>
    <row r="450" spans="1:68" x14ac:dyDescent="0.25">
      <c r="A450" t="s">
        <v>5713</v>
      </c>
      <c r="B450" t="s">
        <v>474</v>
      </c>
      <c r="C450" t="s">
        <v>1486</v>
      </c>
      <c r="E450" t="s">
        <v>480</v>
      </c>
      <c r="G450" s="1" t="s">
        <v>2396</v>
      </c>
      <c r="H450" t="s">
        <v>937</v>
      </c>
      <c r="J450">
        <v>400016</v>
      </c>
      <c r="P450" t="s">
        <v>89</v>
      </c>
      <c r="R450" t="s">
        <v>918</v>
      </c>
      <c r="S450" t="s">
        <v>2489</v>
      </c>
      <c r="T450" t="s">
        <v>2490</v>
      </c>
      <c r="V450" t="s">
        <v>2491</v>
      </c>
      <c r="W450" t="s">
        <v>73</v>
      </c>
      <c r="AE450" t="s">
        <v>478</v>
      </c>
      <c r="AF450" t="s">
        <v>479</v>
      </c>
      <c r="AL450" t="s">
        <v>919</v>
      </c>
      <c r="AM450" t="s">
        <v>919</v>
      </c>
      <c r="AO450" t="s">
        <v>480</v>
      </c>
      <c r="AP450" t="s">
        <v>481</v>
      </c>
      <c r="AQ450" t="s">
        <v>561</v>
      </c>
      <c r="AR450" t="s">
        <v>482</v>
      </c>
      <c r="AS450" t="s">
        <v>483</v>
      </c>
      <c r="AT450" t="s">
        <v>484</v>
      </c>
      <c r="AU450" t="s">
        <v>521</v>
      </c>
      <c r="AW450" t="s">
        <v>486</v>
      </c>
      <c r="BF450" s="1"/>
      <c r="BG450" t="s">
        <v>523</v>
      </c>
      <c r="BH450" t="s">
        <v>487</v>
      </c>
      <c r="BP450" t="s">
        <v>1489</v>
      </c>
    </row>
    <row r="451" spans="1:68" x14ac:dyDescent="0.25">
      <c r="A451" t="s">
        <v>5713</v>
      </c>
      <c r="B451" t="s">
        <v>474</v>
      </c>
      <c r="C451" t="s">
        <v>1486</v>
      </c>
      <c r="E451" t="s">
        <v>480</v>
      </c>
      <c r="G451" s="1" t="s">
        <v>2396</v>
      </c>
      <c r="H451" t="s">
        <v>938</v>
      </c>
      <c r="J451">
        <v>400016</v>
      </c>
      <c r="P451" t="s">
        <v>157</v>
      </c>
      <c r="R451" t="s">
        <v>918</v>
      </c>
      <c r="S451" t="s">
        <v>2492</v>
      </c>
      <c r="T451" t="s">
        <v>2493</v>
      </c>
      <c r="V451" t="s">
        <v>2494</v>
      </c>
      <c r="W451" t="s">
        <v>73</v>
      </c>
      <c r="AE451" t="s">
        <v>478</v>
      </c>
      <c r="AF451" t="s">
        <v>479</v>
      </c>
      <c r="AL451" t="s">
        <v>919</v>
      </c>
      <c r="AM451" t="s">
        <v>919</v>
      </c>
      <c r="AO451" t="s">
        <v>480</v>
      </c>
      <c r="AP451" t="s">
        <v>481</v>
      </c>
      <c r="AQ451" t="s">
        <v>667</v>
      </c>
      <c r="AR451" t="s">
        <v>482</v>
      </c>
      <c r="AS451" t="s">
        <v>483</v>
      </c>
      <c r="AT451" t="s">
        <v>484</v>
      </c>
      <c r="AU451" t="s">
        <v>521</v>
      </c>
      <c r="AW451" t="s">
        <v>486</v>
      </c>
      <c r="BF451" s="1"/>
      <c r="BG451" t="s">
        <v>523</v>
      </c>
      <c r="BH451" t="s">
        <v>487</v>
      </c>
      <c r="BP451" t="s">
        <v>1489</v>
      </c>
    </row>
    <row r="452" spans="1:68" x14ac:dyDescent="0.25">
      <c r="A452" t="s">
        <v>5713</v>
      </c>
      <c r="B452" t="s">
        <v>474</v>
      </c>
      <c r="C452" t="s">
        <v>1486</v>
      </c>
      <c r="E452" t="s">
        <v>480</v>
      </c>
      <c r="G452" s="1" t="s">
        <v>2396</v>
      </c>
      <c r="H452" t="s">
        <v>939</v>
      </c>
      <c r="J452">
        <v>400016</v>
      </c>
      <c r="P452" t="s">
        <v>119</v>
      </c>
      <c r="R452" t="s">
        <v>918</v>
      </c>
      <c r="S452" t="s">
        <v>2495</v>
      </c>
      <c r="T452" t="s">
        <v>2496</v>
      </c>
      <c r="V452" t="s">
        <v>2497</v>
      </c>
      <c r="W452" t="s">
        <v>73</v>
      </c>
      <c r="AE452" t="s">
        <v>478</v>
      </c>
      <c r="AF452" t="s">
        <v>479</v>
      </c>
      <c r="AL452" t="s">
        <v>919</v>
      </c>
      <c r="AM452" t="s">
        <v>919</v>
      </c>
      <c r="AO452" t="s">
        <v>480</v>
      </c>
      <c r="AP452" t="s">
        <v>481</v>
      </c>
      <c r="AQ452" t="s">
        <v>756</v>
      </c>
      <c r="AR452" t="s">
        <v>482</v>
      </c>
      <c r="AS452" t="s">
        <v>483</v>
      </c>
      <c r="AT452" t="s">
        <v>484</v>
      </c>
      <c r="AU452" t="s">
        <v>521</v>
      </c>
      <c r="AW452" t="s">
        <v>486</v>
      </c>
      <c r="BF452" s="1"/>
      <c r="BG452" t="s">
        <v>523</v>
      </c>
      <c r="BH452" t="s">
        <v>487</v>
      </c>
      <c r="BP452" t="s">
        <v>1489</v>
      </c>
    </row>
    <row r="453" spans="1:68" x14ac:dyDescent="0.25">
      <c r="A453" t="s">
        <v>5713</v>
      </c>
      <c r="B453" t="s">
        <v>474</v>
      </c>
      <c r="C453" t="s">
        <v>1486</v>
      </c>
      <c r="E453" t="s">
        <v>480</v>
      </c>
      <c r="G453" s="1" t="s">
        <v>2396</v>
      </c>
      <c r="H453" t="s">
        <v>940</v>
      </c>
      <c r="J453">
        <v>400016</v>
      </c>
      <c r="P453" t="s">
        <v>76</v>
      </c>
      <c r="R453" t="s">
        <v>918</v>
      </c>
      <c r="S453" t="s">
        <v>2498</v>
      </c>
      <c r="T453" t="s">
        <v>2499</v>
      </c>
      <c r="V453" t="s">
        <v>2500</v>
      </c>
      <c r="W453" t="s">
        <v>73</v>
      </c>
      <c r="AE453" t="s">
        <v>478</v>
      </c>
      <c r="AF453" t="s">
        <v>479</v>
      </c>
      <c r="AL453" t="s">
        <v>919</v>
      </c>
      <c r="AM453" t="s">
        <v>919</v>
      </c>
      <c r="AO453" t="s">
        <v>480</v>
      </c>
      <c r="AP453" t="s">
        <v>481</v>
      </c>
      <c r="AQ453" t="s">
        <v>558</v>
      </c>
      <c r="AR453" t="s">
        <v>482</v>
      </c>
      <c r="AS453" t="s">
        <v>483</v>
      </c>
      <c r="AT453" t="s">
        <v>484</v>
      </c>
      <c r="AU453" t="s">
        <v>521</v>
      </c>
      <c r="AW453" t="s">
        <v>486</v>
      </c>
      <c r="BF453" s="1"/>
      <c r="BG453" t="s">
        <v>523</v>
      </c>
      <c r="BH453" t="s">
        <v>487</v>
      </c>
      <c r="BP453" t="s">
        <v>1489</v>
      </c>
    </row>
    <row r="454" spans="1:68" x14ac:dyDescent="0.25">
      <c r="A454" t="s">
        <v>5713</v>
      </c>
      <c r="B454" t="s">
        <v>474</v>
      </c>
      <c r="C454" t="s">
        <v>1486</v>
      </c>
      <c r="E454" t="s">
        <v>480</v>
      </c>
      <c r="G454" s="1" t="s">
        <v>2396</v>
      </c>
      <c r="H454" t="s">
        <v>941</v>
      </c>
      <c r="J454">
        <v>400016</v>
      </c>
      <c r="P454" t="s">
        <v>139</v>
      </c>
      <c r="R454" t="s">
        <v>918</v>
      </c>
      <c r="S454" t="s">
        <v>2501</v>
      </c>
      <c r="T454" t="s">
        <v>2502</v>
      </c>
      <c r="V454" t="s">
        <v>2503</v>
      </c>
      <c r="W454" t="s">
        <v>73</v>
      </c>
      <c r="AE454" t="s">
        <v>478</v>
      </c>
      <c r="AF454" t="s">
        <v>479</v>
      </c>
      <c r="AL454" t="s">
        <v>919</v>
      </c>
      <c r="AM454" t="s">
        <v>919</v>
      </c>
      <c r="AO454" t="s">
        <v>480</v>
      </c>
      <c r="AP454" t="s">
        <v>481</v>
      </c>
      <c r="AQ454" t="s">
        <v>618</v>
      </c>
      <c r="AR454" t="s">
        <v>482</v>
      </c>
      <c r="AS454" t="s">
        <v>483</v>
      </c>
      <c r="AT454" t="s">
        <v>484</v>
      </c>
      <c r="AU454" t="s">
        <v>521</v>
      </c>
      <c r="AW454" t="s">
        <v>486</v>
      </c>
      <c r="BF454" s="1"/>
      <c r="BG454" t="s">
        <v>523</v>
      </c>
      <c r="BH454" t="s">
        <v>487</v>
      </c>
      <c r="BP454" t="s">
        <v>1489</v>
      </c>
    </row>
    <row r="455" spans="1:68" x14ac:dyDescent="0.25">
      <c r="A455" t="s">
        <v>5713</v>
      </c>
      <c r="B455" t="s">
        <v>474</v>
      </c>
      <c r="C455" t="s">
        <v>1486</v>
      </c>
      <c r="E455" t="s">
        <v>480</v>
      </c>
      <c r="G455" s="1" t="s">
        <v>2396</v>
      </c>
      <c r="H455" t="s">
        <v>942</v>
      </c>
      <c r="J455">
        <v>400016</v>
      </c>
      <c r="P455" t="s">
        <v>95</v>
      </c>
      <c r="R455" t="s">
        <v>918</v>
      </c>
      <c r="S455" t="s">
        <v>2504</v>
      </c>
      <c r="T455" t="s">
        <v>2505</v>
      </c>
      <c r="V455" t="s">
        <v>2506</v>
      </c>
      <c r="W455" t="s">
        <v>73</v>
      </c>
      <c r="AE455" t="s">
        <v>478</v>
      </c>
      <c r="AF455" t="s">
        <v>479</v>
      </c>
      <c r="AL455" t="s">
        <v>919</v>
      </c>
      <c r="AM455" t="s">
        <v>919</v>
      </c>
      <c r="AO455" t="s">
        <v>480</v>
      </c>
      <c r="AP455" t="s">
        <v>481</v>
      </c>
      <c r="AQ455" t="s">
        <v>563</v>
      </c>
      <c r="AR455" t="s">
        <v>482</v>
      </c>
      <c r="AS455" t="s">
        <v>483</v>
      </c>
      <c r="AT455" t="s">
        <v>484</v>
      </c>
      <c r="AU455" t="s">
        <v>521</v>
      </c>
      <c r="AW455" t="s">
        <v>486</v>
      </c>
      <c r="BF455" s="1"/>
      <c r="BG455" t="s">
        <v>523</v>
      </c>
      <c r="BH455" t="s">
        <v>487</v>
      </c>
      <c r="BP455" t="s">
        <v>1489</v>
      </c>
    </row>
    <row r="456" spans="1:68" x14ac:dyDescent="0.25">
      <c r="A456" t="s">
        <v>5713</v>
      </c>
      <c r="B456" t="s">
        <v>474</v>
      </c>
      <c r="C456" t="s">
        <v>1486</v>
      </c>
      <c r="E456" t="s">
        <v>480</v>
      </c>
      <c r="G456" s="1" t="s">
        <v>2396</v>
      </c>
      <c r="H456" t="s">
        <v>943</v>
      </c>
      <c r="J456">
        <v>400016</v>
      </c>
      <c r="P456" t="s">
        <v>125</v>
      </c>
      <c r="R456" t="s">
        <v>918</v>
      </c>
      <c r="S456" t="s">
        <v>2507</v>
      </c>
      <c r="T456" t="s">
        <v>2508</v>
      </c>
      <c r="V456" t="s">
        <v>2509</v>
      </c>
      <c r="W456" t="s">
        <v>73</v>
      </c>
      <c r="AE456" t="s">
        <v>478</v>
      </c>
      <c r="AF456" t="s">
        <v>479</v>
      </c>
      <c r="AL456" t="s">
        <v>919</v>
      </c>
      <c r="AM456" t="s">
        <v>919</v>
      </c>
      <c r="AO456" t="s">
        <v>480</v>
      </c>
      <c r="AP456" t="s">
        <v>481</v>
      </c>
      <c r="AQ456" t="s">
        <v>642</v>
      </c>
      <c r="AR456" t="s">
        <v>482</v>
      </c>
      <c r="AS456" t="s">
        <v>483</v>
      </c>
      <c r="AT456" t="s">
        <v>484</v>
      </c>
      <c r="AU456" t="s">
        <v>521</v>
      </c>
      <c r="AW456" t="s">
        <v>486</v>
      </c>
      <c r="BF456" s="1"/>
      <c r="BG456" t="s">
        <v>523</v>
      </c>
      <c r="BH456" t="s">
        <v>487</v>
      </c>
      <c r="BP456" t="s">
        <v>1489</v>
      </c>
    </row>
    <row r="457" spans="1:68" x14ac:dyDescent="0.25">
      <c r="A457" t="s">
        <v>5713</v>
      </c>
      <c r="B457" t="s">
        <v>474</v>
      </c>
      <c r="C457" t="s">
        <v>1486</v>
      </c>
      <c r="E457" t="s">
        <v>480</v>
      </c>
      <c r="G457" s="1" t="s">
        <v>2396</v>
      </c>
      <c r="H457" t="s">
        <v>944</v>
      </c>
      <c r="J457">
        <v>400016</v>
      </c>
      <c r="P457" t="s">
        <v>140</v>
      </c>
      <c r="R457" t="s">
        <v>918</v>
      </c>
      <c r="S457" t="s">
        <v>2510</v>
      </c>
      <c r="T457" t="s">
        <v>2511</v>
      </c>
      <c r="V457" t="s">
        <v>2512</v>
      </c>
      <c r="W457" t="s">
        <v>73</v>
      </c>
      <c r="AE457" t="s">
        <v>478</v>
      </c>
      <c r="AF457" t="s">
        <v>479</v>
      </c>
      <c r="AL457" t="s">
        <v>919</v>
      </c>
      <c r="AM457" t="s">
        <v>919</v>
      </c>
      <c r="AO457" t="s">
        <v>480</v>
      </c>
      <c r="AP457" t="s">
        <v>481</v>
      </c>
      <c r="AQ457" t="s">
        <v>681</v>
      </c>
      <c r="AR457" t="s">
        <v>482</v>
      </c>
      <c r="AS457" t="s">
        <v>483</v>
      </c>
      <c r="AT457" t="s">
        <v>484</v>
      </c>
      <c r="AU457" t="s">
        <v>521</v>
      </c>
      <c r="AW457" t="s">
        <v>486</v>
      </c>
      <c r="BF457" s="1"/>
      <c r="BG457" t="s">
        <v>523</v>
      </c>
      <c r="BH457" t="s">
        <v>487</v>
      </c>
      <c r="BP457" t="s">
        <v>1489</v>
      </c>
    </row>
    <row r="458" spans="1:68" x14ac:dyDescent="0.25">
      <c r="A458" t="s">
        <v>5713</v>
      </c>
      <c r="B458" t="s">
        <v>474</v>
      </c>
      <c r="C458" t="s">
        <v>1486</v>
      </c>
      <c r="E458" t="s">
        <v>480</v>
      </c>
      <c r="G458" s="1" t="s">
        <v>2396</v>
      </c>
      <c r="H458" t="s">
        <v>945</v>
      </c>
      <c r="J458">
        <v>400016</v>
      </c>
      <c r="P458" t="s">
        <v>87</v>
      </c>
      <c r="R458" t="s">
        <v>918</v>
      </c>
      <c r="S458" t="s">
        <v>2513</v>
      </c>
      <c r="T458" t="s">
        <v>2514</v>
      </c>
      <c r="V458" t="s">
        <v>2515</v>
      </c>
      <c r="W458" t="s">
        <v>73</v>
      </c>
      <c r="AE458" t="s">
        <v>478</v>
      </c>
      <c r="AF458" t="s">
        <v>479</v>
      </c>
      <c r="AL458" t="s">
        <v>919</v>
      </c>
      <c r="AM458" t="s">
        <v>919</v>
      </c>
      <c r="AO458" t="s">
        <v>480</v>
      </c>
      <c r="AP458" t="s">
        <v>481</v>
      </c>
      <c r="AQ458" t="s">
        <v>552</v>
      </c>
      <c r="AR458" t="s">
        <v>482</v>
      </c>
      <c r="AS458" t="s">
        <v>483</v>
      </c>
      <c r="AT458" t="s">
        <v>484</v>
      </c>
      <c r="AU458" t="s">
        <v>521</v>
      </c>
      <c r="AW458" t="s">
        <v>486</v>
      </c>
      <c r="BF458" s="1"/>
      <c r="BG458" t="s">
        <v>523</v>
      </c>
      <c r="BH458" t="s">
        <v>487</v>
      </c>
      <c r="BP458" t="s">
        <v>1489</v>
      </c>
    </row>
    <row r="459" spans="1:68" x14ac:dyDescent="0.25">
      <c r="A459" t="s">
        <v>5713</v>
      </c>
      <c r="B459" t="s">
        <v>474</v>
      </c>
      <c r="C459" t="s">
        <v>1486</v>
      </c>
      <c r="E459" t="s">
        <v>480</v>
      </c>
      <c r="G459" s="1" t="s">
        <v>2396</v>
      </c>
      <c r="H459" t="s">
        <v>946</v>
      </c>
      <c r="J459">
        <v>400016</v>
      </c>
      <c r="P459" t="s">
        <v>169</v>
      </c>
      <c r="R459" t="s">
        <v>918</v>
      </c>
      <c r="S459" t="s">
        <v>2516</v>
      </c>
      <c r="T459" t="s">
        <v>2517</v>
      </c>
      <c r="V459" t="s">
        <v>2518</v>
      </c>
      <c r="W459" t="s">
        <v>73</v>
      </c>
      <c r="AE459" t="s">
        <v>478</v>
      </c>
      <c r="AF459" t="s">
        <v>479</v>
      </c>
      <c r="AL459" t="s">
        <v>919</v>
      </c>
      <c r="AM459" t="s">
        <v>919</v>
      </c>
      <c r="AO459" t="s">
        <v>480</v>
      </c>
      <c r="AP459" t="s">
        <v>481</v>
      </c>
      <c r="AQ459" t="s">
        <v>852</v>
      </c>
      <c r="AR459" t="s">
        <v>482</v>
      </c>
      <c r="AS459" t="s">
        <v>483</v>
      </c>
      <c r="AT459" t="s">
        <v>484</v>
      </c>
      <c r="AU459" t="s">
        <v>521</v>
      </c>
      <c r="AW459" t="s">
        <v>486</v>
      </c>
      <c r="BF459" s="1"/>
      <c r="BG459" t="s">
        <v>523</v>
      </c>
      <c r="BH459" t="s">
        <v>487</v>
      </c>
      <c r="BP459" t="s">
        <v>1489</v>
      </c>
    </row>
    <row r="460" spans="1:68" x14ac:dyDescent="0.25">
      <c r="A460" t="s">
        <v>5713</v>
      </c>
      <c r="B460" t="s">
        <v>474</v>
      </c>
      <c r="C460" t="s">
        <v>1486</v>
      </c>
      <c r="E460" t="s">
        <v>480</v>
      </c>
      <c r="G460" s="1" t="s">
        <v>2396</v>
      </c>
      <c r="H460" t="s">
        <v>947</v>
      </c>
      <c r="J460">
        <v>400016</v>
      </c>
      <c r="P460" t="s">
        <v>170</v>
      </c>
      <c r="R460" t="s">
        <v>918</v>
      </c>
      <c r="S460" t="s">
        <v>2519</v>
      </c>
      <c r="T460" t="s">
        <v>2520</v>
      </c>
      <c r="V460" t="s">
        <v>2521</v>
      </c>
      <c r="W460" t="s">
        <v>73</v>
      </c>
      <c r="AE460" t="s">
        <v>478</v>
      </c>
      <c r="AF460" t="s">
        <v>479</v>
      </c>
      <c r="AL460" t="s">
        <v>919</v>
      </c>
      <c r="AM460" t="s">
        <v>919</v>
      </c>
      <c r="AO460" t="s">
        <v>480</v>
      </c>
      <c r="AP460" t="s">
        <v>481</v>
      </c>
      <c r="AQ460" t="s">
        <v>854</v>
      </c>
      <c r="AR460" t="s">
        <v>482</v>
      </c>
      <c r="AS460" t="s">
        <v>483</v>
      </c>
      <c r="AT460" t="s">
        <v>484</v>
      </c>
      <c r="AU460" t="s">
        <v>521</v>
      </c>
      <c r="AW460" t="s">
        <v>486</v>
      </c>
      <c r="BF460" s="1"/>
      <c r="BG460" t="s">
        <v>523</v>
      </c>
      <c r="BH460" t="s">
        <v>487</v>
      </c>
      <c r="BP460" t="s">
        <v>1489</v>
      </c>
    </row>
    <row r="461" spans="1:68" x14ac:dyDescent="0.25">
      <c r="A461" t="s">
        <v>5713</v>
      </c>
      <c r="B461" t="s">
        <v>474</v>
      </c>
      <c r="C461" t="s">
        <v>1486</v>
      </c>
      <c r="E461" t="s">
        <v>480</v>
      </c>
      <c r="G461" s="1" t="s">
        <v>2396</v>
      </c>
      <c r="H461" t="s">
        <v>948</v>
      </c>
      <c r="J461">
        <v>400016</v>
      </c>
      <c r="P461" t="s">
        <v>156</v>
      </c>
      <c r="R461" t="s">
        <v>918</v>
      </c>
      <c r="S461" t="s">
        <v>2522</v>
      </c>
      <c r="T461" t="s">
        <v>2523</v>
      </c>
      <c r="V461" t="s">
        <v>2524</v>
      </c>
      <c r="W461" t="s">
        <v>73</v>
      </c>
      <c r="AE461" t="s">
        <v>478</v>
      </c>
      <c r="AF461" t="s">
        <v>479</v>
      </c>
      <c r="AL461" t="s">
        <v>919</v>
      </c>
      <c r="AM461" t="s">
        <v>919</v>
      </c>
      <c r="AO461" t="s">
        <v>480</v>
      </c>
      <c r="AP461" t="s">
        <v>481</v>
      </c>
      <c r="AQ461" t="s">
        <v>615</v>
      </c>
      <c r="AR461" t="s">
        <v>482</v>
      </c>
      <c r="AS461" t="s">
        <v>483</v>
      </c>
      <c r="AT461" t="s">
        <v>484</v>
      </c>
      <c r="AU461" t="s">
        <v>521</v>
      </c>
      <c r="AW461" t="s">
        <v>486</v>
      </c>
      <c r="BF461" s="1"/>
      <c r="BG461" t="s">
        <v>523</v>
      </c>
      <c r="BH461" t="s">
        <v>487</v>
      </c>
      <c r="BP461" t="s">
        <v>1489</v>
      </c>
    </row>
    <row r="462" spans="1:68" x14ac:dyDescent="0.25">
      <c r="A462" t="s">
        <v>5713</v>
      </c>
      <c r="B462" t="s">
        <v>474</v>
      </c>
      <c r="C462" t="s">
        <v>1486</v>
      </c>
      <c r="E462" t="s">
        <v>480</v>
      </c>
      <c r="G462" s="1" t="s">
        <v>2396</v>
      </c>
      <c r="H462" t="s">
        <v>949</v>
      </c>
      <c r="J462">
        <v>400016</v>
      </c>
      <c r="P462" t="s">
        <v>105</v>
      </c>
      <c r="R462" t="s">
        <v>918</v>
      </c>
      <c r="S462" t="s">
        <v>2525</v>
      </c>
      <c r="T462" t="s">
        <v>2526</v>
      </c>
      <c r="V462" t="s">
        <v>2527</v>
      </c>
      <c r="W462" t="s">
        <v>73</v>
      </c>
      <c r="AE462" t="s">
        <v>478</v>
      </c>
      <c r="AF462" t="s">
        <v>479</v>
      </c>
      <c r="AL462" t="s">
        <v>919</v>
      </c>
      <c r="AM462" t="s">
        <v>919</v>
      </c>
      <c r="AO462" t="s">
        <v>480</v>
      </c>
      <c r="AP462" t="s">
        <v>481</v>
      </c>
      <c r="AQ462" t="s">
        <v>607</v>
      </c>
      <c r="AR462" t="s">
        <v>482</v>
      </c>
      <c r="AS462" t="s">
        <v>483</v>
      </c>
      <c r="AT462" t="s">
        <v>484</v>
      </c>
      <c r="AU462" t="s">
        <v>521</v>
      </c>
      <c r="AW462" t="s">
        <v>486</v>
      </c>
      <c r="BF462" s="1"/>
      <c r="BG462" t="s">
        <v>523</v>
      </c>
      <c r="BH462" t="s">
        <v>487</v>
      </c>
      <c r="BP462" t="s">
        <v>1489</v>
      </c>
    </row>
    <row r="463" spans="1:68" x14ac:dyDescent="0.25">
      <c r="A463" t="s">
        <v>5713</v>
      </c>
      <c r="B463" t="s">
        <v>474</v>
      </c>
      <c r="C463" t="s">
        <v>1486</v>
      </c>
      <c r="E463" t="s">
        <v>480</v>
      </c>
      <c r="G463" s="1" t="s">
        <v>2396</v>
      </c>
      <c r="H463" t="s">
        <v>950</v>
      </c>
      <c r="J463">
        <v>400016</v>
      </c>
      <c r="P463" t="s">
        <v>158</v>
      </c>
      <c r="R463" t="s">
        <v>918</v>
      </c>
      <c r="S463" t="s">
        <v>2528</v>
      </c>
      <c r="T463" t="s">
        <v>2529</v>
      </c>
      <c r="V463" t="s">
        <v>2530</v>
      </c>
      <c r="W463" t="s">
        <v>73</v>
      </c>
      <c r="AE463" t="s">
        <v>478</v>
      </c>
      <c r="AF463" t="s">
        <v>479</v>
      </c>
      <c r="AL463" t="s">
        <v>919</v>
      </c>
      <c r="AM463" t="s">
        <v>919</v>
      </c>
      <c r="AO463" t="s">
        <v>480</v>
      </c>
      <c r="AP463" t="s">
        <v>481</v>
      </c>
      <c r="AQ463" t="s">
        <v>690</v>
      </c>
      <c r="AR463" t="s">
        <v>482</v>
      </c>
      <c r="AS463" t="s">
        <v>483</v>
      </c>
      <c r="AT463" t="s">
        <v>484</v>
      </c>
      <c r="AU463" t="s">
        <v>521</v>
      </c>
      <c r="AW463" t="s">
        <v>486</v>
      </c>
      <c r="BF463" s="1"/>
      <c r="BG463" t="s">
        <v>523</v>
      </c>
      <c r="BH463" t="s">
        <v>487</v>
      </c>
      <c r="BP463" t="s">
        <v>1489</v>
      </c>
    </row>
    <row r="464" spans="1:68" x14ac:dyDescent="0.25">
      <c r="A464" t="s">
        <v>5713</v>
      </c>
      <c r="B464" t="s">
        <v>474</v>
      </c>
      <c r="C464" t="s">
        <v>1486</v>
      </c>
      <c r="E464" t="s">
        <v>480</v>
      </c>
      <c r="G464" s="1" t="s">
        <v>2396</v>
      </c>
      <c r="H464" t="s">
        <v>951</v>
      </c>
      <c r="J464">
        <v>400016</v>
      </c>
      <c r="P464" t="s">
        <v>104</v>
      </c>
      <c r="R464" t="s">
        <v>918</v>
      </c>
      <c r="S464" t="s">
        <v>2531</v>
      </c>
      <c r="T464" t="s">
        <v>2532</v>
      </c>
      <c r="V464" t="s">
        <v>2533</v>
      </c>
      <c r="W464" t="s">
        <v>73</v>
      </c>
      <c r="AE464" t="s">
        <v>478</v>
      </c>
      <c r="AF464" t="s">
        <v>479</v>
      </c>
      <c r="AL464" t="s">
        <v>919</v>
      </c>
      <c r="AM464" t="s">
        <v>919</v>
      </c>
      <c r="AO464" t="s">
        <v>480</v>
      </c>
      <c r="AP464" t="s">
        <v>481</v>
      </c>
      <c r="AQ464" t="s">
        <v>637</v>
      </c>
      <c r="AR464" t="s">
        <v>482</v>
      </c>
      <c r="AS464" t="s">
        <v>483</v>
      </c>
      <c r="AT464" t="s">
        <v>484</v>
      </c>
      <c r="AU464" t="s">
        <v>521</v>
      </c>
      <c r="AW464" t="s">
        <v>486</v>
      </c>
      <c r="BF464" s="1"/>
      <c r="BG464" t="s">
        <v>523</v>
      </c>
      <c r="BH464" t="s">
        <v>487</v>
      </c>
      <c r="BP464" t="s">
        <v>1489</v>
      </c>
    </row>
    <row r="465" spans="1:68" x14ac:dyDescent="0.25">
      <c r="A465" t="s">
        <v>5713</v>
      </c>
      <c r="B465" t="s">
        <v>474</v>
      </c>
      <c r="C465" t="s">
        <v>1486</v>
      </c>
      <c r="E465" t="s">
        <v>480</v>
      </c>
      <c r="G465" s="1" t="s">
        <v>2396</v>
      </c>
      <c r="H465" t="s">
        <v>952</v>
      </c>
      <c r="J465">
        <v>400016</v>
      </c>
      <c r="P465" t="s">
        <v>113</v>
      </c>
      <c r="R465" t="s">
        <v>918</v>
      </c>
      <c r="S465" t="s">
        <v>2534</v>
      </c>
      <c r="T465" t="s">
        <v>2535</v>
      </c>
      <c r="V465" t="s">
        <v>2536</v>
      </c>
      <c r="W465" t="s">
        <v>73</v>
      </c>
      <c r="AE465" t="s">
        <v>478</v>
      </c>
      <c r="AF465" t="s">
        <v>479</v>
      </c>
      <c r="AL465" t="s">
        <v>919</v>
      </c>
      <c r="AM465" t="s">
        <v>919</v>
      </c>
      <c r="AO465" t="s">
        <v>480</v>
      </c>
      <c r="AP465" t="s">
        <v>481</v>
      </c>
      <c r="AQ465" t="s">
        <v>657</v>
      </c>
      <c r="AR465" t="s">
        <v>482</v>
      </c>
      <c r="AS465" t="s">
        <v>483</v>
      </c>
      <c r="AT465" t="s">
        <v>484</v>
      </c>
      <c r="AU465" t="s">
        <v>521</v>
      </c>
      <c r="AW465" t="s">
        <v>486</v>
      </c>
      <c r="BF465" s="1"/>
      <c r="BG465" t="s">
        <v>523</v>
      </c>
      <c r="BH465" t="s">
        <v>487</v>
      </c>
      <c r="BP465" t="s">
        <v>1489</v>
      </c>
    </row>
    <row r="466" spans="1:68" x14ac:dyDescent="0.25">
      <c r="A466" t="s">
        <v>5713</v>
      </c>
      <c r="B466" t="s">
        <v>474</v>
      </c>
      <c r="C466" t="s">
        <v>1486</v>
      </c>
      <c r="E466" t="s">
        <v>480</v>
      </c>
      <c r="G466" s="1" t="s">
        <v>2396</v>
      </c>
      <c r="H466" t="s">
        <v>953</v>
      </c>
      <c r="J466">
        <v>400016</v>
      </c>
      <c r="P466" t="s">
        <v>72</v>
      </c>
      <c r="R466" t="s">
        <v>918</v>
      </c>
      <c r="S466" t="s">
        <v>2537</v>
      </c>
      <c r="T466" t="s">
        <v>2538</v>
      </c>
      <c r="V466" t="s">
        <v>2539</v>
      </c>
      <c r="W466" t="s">
        <v>73</v>
      </c>
      <c r="AE466" t="s">
        <v>478</v>
      </c>
      <c r="AF466" t="s">
        <v>479</v>
      </c>
      <c r="AL466" t="s">
        <v>919</v>
      </c>
      <c r="AM466" t="s">
        <v>919</v>
      </c>
      <c r="AO466" t="s">
        <v>480</v>
      </c>
      <c r="AP466" t="s">
        <v>481</v>
      </c>
      <c r="AQ466" t="s">
        <v>757</v>
      </c>
      <c r="AR466" t="s">
        <v>482</v>
      </c>
      <c r="AS466" t="s">
        <v>483</v>
      </c>
      <c r="AT466" t="s">
        <v>484</v>
      </c>
      <c r="AU466" t="s">
        <v>521</v>
      </c>
      <c r="AW466" t="s">
        <v>486</v>
      </c>
      <c r="BF466" s="1"/>
      <c r="BG466" t="s">
        <v>523</v>
      </c>
      <c r="BH466" t="s">
        <v>487</v>
      </c>
      <c r="BP466" t="s">
        <v>1489</v>
      </c>
    </row>
    <row r="467" spans="1:68" x14ac:dyDescent="0.25">
      <c r="A467" t="s">
        <v>5713</v>
      </c>
      <c r="B467" t="s">
        <v>474</v>
      </c>
      <c r="C467" t="s">
        <v>1486</v>
      </c>
      <c r="E467" t="s">
        <v>480</v>
      </c>
      <c r="G467" s="1" t="s">
        <v>2396</v>
      </c>
      <c r="H467" t="s">
        <v>954</v>
      </c>
      <c r="J467">
        <v>400016</v>
      </c>
      <c r="P467" t="s">
        <v>77</v>
      </c>
      <c r="R467" t="s">
        <v>918</v>
      </c>
      <c r="S467" t="s">
        <v>2540</v>
      </c>
      <c r="T467" t="s">
        <v>2541</v>
      </c>
      <c r="V467" t="s">
        <v>2542</v>
      </c>
      <c r="W467" t="s">
        <v>73</v>
      </c>
      <c r="AE467" t="s">
        <v>478</v>
      </c>
      <c r="AF467" t="s">
        <v>479</v>
      </c>
      <c r="AL467" t="s">
        <v>919</v>
      </c>
      <c r="AM467" t="s">
        <v>919</v>
      </c>
      <c r="AO467" t="s">
        <v>480</v>
      </c>
      <c r="AP467" t="s">
        <v>481</v>
      </c>
      <c r="AQ467" t="s">
        <v>533</v>
      </c>
      <c r="AR467" t="s">
        <v>482</v>
      </c>
      <c r="AS467" t="s">
        <v>483</v>
      </c>
      <c r="AT467" t="s">
        <v>484</v>
      </c>
      <c r="AU467" t="s">
        <v>521</v>
      </c>
      <c r="AW467" t="s">
        <v>486</v>
      </c>
      <c r="BF467" s="1"/>
      <c r="BG467" t="s">
        <v>523</v>
      </c>
      <c r="BH467" t="s">
        <v>487</v>
      </c>
      <c r="BP467" t="s">
        <v>1489</v>
      </c>
    </row>
    <row r="468" spans="1:68" x14ac:dyDescent="0.25">
      <c r="A468" t="s">
        <v>5713</v>
      </c>
      <c r="B468" t="s">
        <v>474</v>
      </c>
      <c r="C468" t="s">
        <v>1486</v>
      </c>
      <c r="E468" t="s">
        <v>480</v>
      </c>
      <c r="G468" s="1" t="s">
        <v>2396</v>
      </c>
      <c r="H468" t="s">
        <v>955</v>
      </c>
      <c r="J468">
        <v>400016</v>
      </c>
      <c r="P468" t="s">
        <v>97</v>
      </c>
      <c r="R468" t="s">
        <v>918</v>
      </c>
      <c r="S468" t="s">
        <v>2543</v>
      </c>
      <c r="T468" t="s">
        <v>2544</v>
      </c>
      <c r="V468" t="s">
        <v>2545</v>
      </c>
      <c r="W468" t="s">
        <v>73</v>
      </c>
      <c r="AE468" t="s">
        <v>478</v>
      </c>
      <c r="AF468" t="s">
        <v>479</v>
      </c>
      <c r="AL468" t="s">
        <v>919</v>
      </c>
      <c r="AM468" t="s">
        <v>919</v>
      </c>
      <c r="AO468" t="s">
        <v>480</v>
      </c>
      <c r="AP468" t="s">
        <v>481</v>
      </c>
      <c r="AQ468" t="s">
        <v>677</v>
      </c>
      <c r="AR468" t="s">
        <v>482</v>
      </c>
      <c r="AS468" t="s">
        <v>483</v>
      </c>
      <c r="AT468" t="s">
        <v>484</v>
      </c>
      <c r="AU468" t="s">
        <v>521</v>
      </c>
      <c r="AW468" t="s">
        <v>486</v>
      </c>
      <c r="BF468" s="1"/>
      <c r="BG468" t="s">
        <v>523</v>
      </c>
      <c r="BH468" t="s">
        <v>487</v>
      </c>
      <c r="BP468" t="s">
        <v>1489</v>
      </c>
    </row>
    <row r="469" spans="1:68" x14ac:dyDescent="0.25">
      <c r="A469" t="s">
        <v>5713</v>
      </c>
      <c r="B469" t="s">
        <v>474</v>
      </c>
      <c r="C469" t="s">
        <v>1486</v>
      </c>
      <c r="E469" t="s">
        <v>480</v>
      </c>
      <c r="G469" s="1" t="s">
        <v>2396</v>
      </c>
      <c r="H469" t="s">
        <v>956</v>
      </c>
      <c r="J469">
        <v>400016</v>
      </c>
      <c r="P469" t="s">
        <v>75</v>
      </c>
      <c r="R469" t="s">
        <v>918</v>
      </c>
      <c r="S469" t="s">
        <v>2546</v>
      </c>
      <c r="T469" t="s">
        <v>2547</v>
      </c>
      <c r="V469" t="s">
        <v>2548</v>
      </c>
      <c r="W469" t="s">
        <v>73</v>
      </c>
      <c r="AE469" t="s">
        <v>478</v>
      </c>
      <c r="AF469" t="s">
        <v>479</v>
      </c>
      <c r="AL469" t="s">
        <v>919</v>
      </c>
      <c r="AM469" t="s">
        <v>919</v>
      </c>
      <c r="AO469" t="s">
        <v>480</v>
      </c>
      <c r="AP469" t="s">
        <v>481</v>
      </c>
      <c r="AQ469" t="s">
        <v>599</v>
      </c>
      <c r="AR469" t="s">
        <v>482</v>
      </c>
      <c r="AS469" t="s">
        <v>483</v>
      </c>
      <c r="AT469" t="s">
        <v>484</v>
      </c>
      <c r="AU469" t="s">
        <v>521</v>
      </c>
      <c r="AW469" t="s">
        <v>486</v>
      </c>
      <c r="BF469" s="1"/>
      <c r="BG469" t="s">
        <v>523</v>
      </c>
      <c r="BH469" t="s">
        <v>487</v>
      </c>
      <c r="BP469" t="s">
        <v>1489</v>
      </c>
    </row>
    <row r="470" spans="1:68" x14ac:dyDescent="0.25">
      <c r="A470" t="s">
        <v>5713</v>
      </c>
      <c r="B470" t="s">
        <v>474</v>
      </c>
      <c r="C470" t="s">
        <v>1486</v>
      </c>
      <c r="E470" t="s">
        <v>480</v>
      </c>
      <c r="G470" s="1" t="s">
        <v>2396</v>
      </c>
      <c r="H470" t="s">
        <v>958</v>
      </c>
      <c r="J470">
        <v>400016</v>
      </c>
      <c r="P470" t="s">
        <v>112</v>
      </c>
      <c r="R470" t="s">
        <v>918</v>
      </c>
      <c r="S470" t="s">
        <v>2549</v>
      </c>
      <c r="T470" t="s">
        <v>2550</v>
      </c>
      <c r="V470" t="s">
        <v>2551</v>
      </c>
      <c r="W470" t="s">
        <v>73</v>
      </c>
      <c r="AE470" t="s">
        <v>478</v>
      </c>
      <c r="AF470" t="s">
        <v>479</v>
      </c>
      <c r="AL470" t="s">
        <v>919</v>
      </c>
      <c r="AM470" t="s">
        <v>919</v>
      </c>
      <c r="AO470" t="s">
        <v>480</v>
      </c>
      <c r="AP470" t="s">
        <v>481</v>
      </c>
      <c r="AQ470" t="s">
        <v>577</v>
      </c>
      <c r="AR470" t="s">
        <v>482</v>
      </c>
      <c r="AS470" t="s">
        <v>483</v>
      </c>
      <c r="AT470" t="s">
        <v>484</v>
      </c>
      <c r="AU470" t="s">
        <v>521</v>
      </c>
      <c r="AW470" t="s">
        <v>486</v>
      </c>
      <c r="BF470" s="1"/>
      <c r="BG470" t="s">
        <v>523</v>
      </c>
      <c r="BH470" t="s">
        <v>487</v>
      </c>
      <c r="BP470" t="s">
        <v>1489</v>
      </c>
    </row>
    <row r="471" spans="1:68" x14ac:dyDescent="0.25">
      <c r="A471" t="s">
        <v>5713</v>
      </c>
      <c r="B471" t="s">
        <v>474</v>
      </c>
      <c r="C471" t="s">
        <v>1486</v>
      </c>
      <c r="E471" t="s">
        <v>480</v>
      </c>
      <c r="G471" s="1" t="s">
        <v>2396</v>
      </c>
      <c r="H471" t="s">
        <v>983</v>
      </c>
      <c r="J471">
        <v>400016</v>
      </c>
      <c r="P471" t="s">
        <v>120</v>
      </c>
      <c r="R471" t="s">
        <v>918</v>
      </c>
      <c r="S471" t="s">
        <v>2552</v>
      </c>
      <c r="T471" t="s">
        <v>2553</v>
      </c>
      <c r="V471" t="s">
        <v>2554</v>
      </c>
      <c r="W471" t="s">
        <v>73</v>
      </c>
      <c r="AE471" t="s">
        <v>478</v>
      </c>
      <c r="AF471" t="s">
        <v>479</v>
      </c>
      <c r="AL471" t="s">
        <v>919</v>
      </c>
      <c r="AM471" t="s">
        <v>919</v>
      </c>
      <c r="AO471" t="s">
        <v>480</v>
      </c>
      <c r="AP471" t="s">
        <v>481</v>
      </c>
      <c r="AQ471" t="s">
        <v>632</v>
      </c>
      <c r="AR471" t="s">
        <v>482</v>
      </c>
      <c r="AS471" t="s">
        <v>483</v>
      </c>
      <c r="AT471" t="s">
        <v>484</v>
      </c>
      <c r="AU471" t="s">
        <v>521</v>
      </c>
      <c r="AW471" t="s">
        <v>486</v>
      </c>
      <c r="BF471" s="1"/>
      <c r="BG471" t="s">
        <v>523</v>
      </c>
      <c r="BH471" t="s">
        <v>487</v>
      </c>
      <c r="BP471" t="s">
        <v>1489</v>
      </c>
    </row>
    <row r="472" spans="1:68" x14ac:dyDescent="0.25">
      <c r="A472" t="s">
        <v>5713</v>
      </c>
      <c r="B472" t="s">
        <v>474</v>
      </c>
      <c r="C472" t="s">
        <v>1972</v>
      </c>
      <c r="E472" t="s">
        <v>480</v>
      </c>
      <c r="G472" s="1" t="s">
        <v>2555</v>
      </c>
      <c r="H472" t="s">
        <v>959</v>
      </c>
      <c r="J472">
        <v>668011</v>
      </c>
      <c r="M472">
        <v>1511</v>
      </c>
      <c r="R472" t="s">
        <v>918</v>
      </c>
      <c r="S472" t="s">
        <v>2556</v>
      </c>
      <c r="T472" t="s">
        <v>2557</v>
      </c>
      <c r="V472" t="s">
        <v>2558</v>
      </c>
      <c r="AE472" t="s">
        <v>478</v>
      </c>
      <c r="AL472" t="s">
        <v>919</v>
      </c>
      <c r="AM472" t="s">
        <v>919</v>
      </c>
      <c r="AO472" t="s">
        <v>480</v>
      </c>
      <c r="AP472" t="s">
        <v>481</v>
      </c>
      <c r="BF472" s="1" t="s">
        <v>2559</v>
      </c>
      <c r="BH472" t="s">
        <v>987</v>
      </c>
      <c r="BP472" t="s">
        <v>1489</v>
      </c>
    </row>
    <row r="473" spans="1:68" x14ac:dyDescent="0.25">
      <c r="A473" t="s">
        <v>5713</v>
      </c>
      <c r="B473" t="s">
        <v>474</v>
      </c>
      <c r="C473" t="s">
        <v>1972</v>
      </c>
      <c r="E473" t="s">
        <v>480</v>
      </c>
      <c r="G473" s="1" t="s">
        <v>2555</v>
      </c>
      <c r="H473" t="s">
        <v>476</v>
      </c>
      <c r="J473">
        <v>668010</v>
      </c>
      <c r="M473">
        <v>1511</v>
      </c>
      <c r="R473" t="s">
        <v>918</v>
      </c>
      <c r="S473" t="s">
        <v>2560</v>
      </c>
      <c r="T473" t="s">
        <v>2561</v>
      </c>
      <c r="V473" t="s">
        <v>2558</v>
      </c>
      <c r="AE473" t="s">
        <v>478</v>
      </c>
      <c r="AL473" t="s">
        <v>919</v>
      </c>
      <c r="AM473" t="s">
        <v>919</v>
      </c>
      <c r="AO473" t="s">
        <v>480</v>
      </c>
      <c r="AP473" t="s">
        <v>481</v>
      </c>
      <c r="BF473" s="1" t="s">
        <v>1034</v>
      </c>
      <c r="BH473" t="s">
        <v>987</v>
      </c>
      <c r="BP473" t="s">
        <v>1489</v>
      </c>
    </row>
    <row r="474" spans="1:68" x14ac:dyDescent="0.25">
      <c r="A474" t="s">
        <v>5713</v>
      </c>
      <c r="B474" t="s">
        <v>474</v>
      </c>
      <c r="C474" t="s">
        <v>1506</v>
      </c>
      <c r="E474" t="s">
        <v>480</v>
      </c>
      <c r="G474" s="1" t="s">
        <v>2562</v>
      </c>
      <c r="H474" t="s">
        <v>492</v>
      </c>
      <c r="J474">
        <v>744100</v>
      </c>
      <c r="R474" t="s">
        <v>918</v>
      </c>
      <c r="S474" t="s">
        <v>2563</v>
      </c>
      <c r="T474" t="s">
        <v>2564</v>
      </c>
      <c r="V474" t="s">
        <v>2565</v>
      </c>
      <c r="AE474" t="s">
        <v>478</v>
      </c>
      <c r="AL474" t="s">
        <v>919</v>
      </c>
      <c r="AM474" t="s">
        <v>919</v>
      </c>
      <c r="AO474" t="s">
        <v>480</v>
      </c>
      <c r="AP474" t="s">
        <v>481</v>
      </c>
      <c r="BF474" s="1"/>
      <c r="BH474" t="s">
        <v>989</v>
      </c>
      <c r="BP474" t="s">
        <v>1489</v>
      </c>
    </row>
    <row r="475" spans="1:68" x14ac:dyDescent="0.25">
      <c r="A475" t="s">
        <v>5713</v>
      </c>
      <c r="B475" t="s">
        <v>474</v>
      </c>
      <c r="C475" t="s">
        <v>1506</v>
      </c>
      <c r="E475" t="s">
        <v>480</v>
      </c>
      <c r="G475" s="1" t="s">
        <v>2566</v>
      </c>
      <c r="H475" t="s">
        <v>959</v>
      </c>
      <c r="J475">
        <v>671010</v>
      </c>
      <c r="M475">
        <v>3311</v>
      </c>
      <c r="R475" t="s">
        <v>918</v>
      </c>
      <c r="S475" t="s">
        <v>992</v>
      </c>
      <c r="T475" t="s">
        <v>993</v>
      </c>
      <c r="V475" t="s">
        <v>2567</v>
      </c>
      <c r="AE475" t="s">
        <v>478</v>
      </c>
      <c r="AL475" t="s">
        <v>919</v>
      </c>
      <c r="AM475" t="s">
        <v>919</v>
      </c>
      <c r="AO475" t="s">
        <v>480</v>
      </c>
      <c r="AP475" t="s">
        <v>481</v>
      </c>
      <c r="BF475" s="1" t="s">
        <v>994</v>
      </c>
      <c r="BH475" t="s">
        <v>987</v>
      </c>
      <c r="BP475" t="s">
        <v>1489</v>
      </c>
    </row>
    <row r="476" spans="1:68" x14ac:dyDescent="0.25">
      <c r="A476" t="s">
        <v>5713</v>
      </c>
      <c r="B476" t="s">
        <v>474</v>
      </c>
      <c r="C476" t="s">
        <v>1486</v>
      </c>
      <c r="E476" t="s">
        <v>480</v>
      </c>
      <c r="G476" s="1" t="s">
        <v>2568</v>
      </c>
      <c r="H476" t="s">
        <v>476</v>
      </c>
      <c r="J476">
        <v>624162</v>
      </c>
      <c r="M476">
        <v>1213</v>
      </c>
      <c r="R476" t="s">
        <v>918</v>
      </c>
      <c r="S476" t="s">
        <v>2569</v>
      </c>
      <c r="T476" t="s">
        <v>1188</v>
      </c>
      <c r="V476" t="s">
        <v>1005</v>
      </c>
      <c r="AE476" t="s">
        <v>478</v>
      </c>
      <c r="AL476" t="s">
        <v>919</v>
      </c>
      <c r="AM476" t="s">
        <v>919</v>
      </c>
      <c r="AO476" t="s">
        <v>480</v>
      </c>
      <c r="AP476" t="s">
        <v>481</v>
      </c>
      <c r="BF476" s="1" t="s">
        <v>1006</v>
      </c>
      <c r="BH476" t="s">
        <v>987</v>
      </c>
      <c r="BP476" t="s">
        <v>1489</v>
      </c>
    </row>
    <row r="477" spans="1:68" x14ac:dyDescent="0.25">
      <c r="A477" t="s">
        <v>5713</v>
      </c>
      <c r="B477" t="s">
        <v>474</v>
      </c>
      <c r="C477" t="s">
        <v>1504</v>
      </c>
      <c r="E477" t="s">
        <v>480</v>
      </c>
      <c r="G477" s="1" t="s">
        <v>2570</v>
      </c>
      <c r="H477" t="s">
        <v>959</v>
      </c>
      <c r="J477">
        <v>500020</v>
      </c>
      <c r="R477" t="s">
        <v>988</v>
      </c>
      <c r="S477" t="s">
        <v>2571</v>
      </c>
      <c r="T477" t="s">
        <v>2572</v>
      </c>
      <c r="V477" t="s">
        <v>2573</v>
      </c>
      <c r="AE477" t="s">
        <v>478</v>
      </c>
      <c r="AL477" t="s">
        <v>919</v>
      </c>
      <c r="AM477" t="s">
        <v>919</v>
      </c>
      <c r="AO477" t="s">
        <v>480</v>
      </c>
      <c r="AP477" t="s">
        <v>481</v>
      </c>
      <c r="BF477" s="1"/>
      <c r="BH477" t="s">
        <v>990</v>
      </c>
      <c r="BP477" t="s">
        <v>1489</v>
      </c>
    </row>
    <row r="478" spans="1:68" x14ac:dyDescent="0.25">
      <c r="A478" t="s">
        <v>5713</v>
      </c>
      <c r="B478" t="s">
        <v>474</v>
      </c>
      <c r="C478" t="s">
        <v>1486</v>
      </c>
      <c r="E478" t="s">
        <v>480</v>
      </c>
      <c r="G478" s="1" t="s">
        <v>2574</v>
      </c>
      <c r="H478" t="s">
        <v>959</v>
      </c>
      <c r="J478">
        <v>668010</v>
      </c>
      <c r="M478">
        <v>1511</v>
      </c>
      <c r="R478" t="s">
        <v>918</v>
      </c>
      <c r="S478" t="s">
        <v>984</v>
      </c>
      <c r="T478" t="s">
        <v>985</v>
      </c>
      <c r="V478" t="s">
        <v>2575</v>
      </c>
      <c r="AE478" t="s">
        <v>478</v>
      </c>
      <c r="AL478" t="s">
        <v>919</v>
      </c>
      <c r="AM478" t="s">
        <v>919</v>
      </c>
      <c r="AO478" t="s">
        <v>480</v>
      </c>
      <c r="AP478" t="s">
        <v>481</v>
      </c>
      <c r="BF478" s="1" t="s">
        <v>986</v>
      </c>
      <c r="BH478" t="s">
        <v>987</v>
      </c>
      <c r="BP478" t="s">
        <v>1489</v>
      </c>
    </row>
    <row r="479" spans="1:68" x14ac:dyDescent="0.25">
      <c r="A479" t="s">
        <v>5713</v>
      </c>
      <c r="B479" t="s">
        <v>474</v>
      </c>
      <c r="C479" t="s">
        <v>1486</v>
      </c>
      <c r="E479" t="s">
        <v>480</v>
      </c>
      <c r="G479" s="1" t="s">
        <v>2576</v>
      </c>
      <c r="H479" t="s">
        <v>492</v>
      </c>
      <c r="J479">
        <v>624132</v>
      </c>
      <c r="M479">
        <v>1213</v>
      </c>
      <c r="R479" t="s">
        <v>918</v>
      </c>
      <c r="S479" t="s">
        <v>2577</v>
      </c>
      <c r="T479" t="s">
        <v>2578</v>
      </c>
      <c r="V479" t="s">
        <v>2579</v>
      </c>
      <c r="AE479" t="s">
        <v>478</v>
      </c>
      <c r="AL479" t="s">
        <v>919</v>
      </c>
      <c r="AM479" t="s">
        <v>919</v>
      </c>
      <c r="AO479" t="s">
        <v>480</v>
      </c>
      <c r="AP479" t="s">
        <v>481</v>
      </c>
      <c r="BF479" s="1" t="s">
        <v>1002</v>
      </c>
      <c r="BH479" t="s">
        <v>1001</v>
      </c>
      <c r="BP479" t="s">
        <v>1489</v>
      </c>
    </row>
    <row r="480" spans="1:68" x14ac:dyDescent="0.25">
      <c r="A480" t="s">
        <v>5713</v>
      </c>
      <c r="B480" t="s">
        <v>474</v>
      </c>
      <c r="C480" t="s">
        <v>1486</v>
      </c>
      <c r="E480" t="s">
        <v>480</v>
      </c>
      <c r="G480" s="1" t="s">
        <v>2580</v>
      </c>
      <c r="H480" t="s">
        <v>959</v>
      </c>
      <c r="J480">
        <v>654020</v>
      </c>
      <c r="M480">
        <v>1611</v>
      </c>
      <c r="R480" t="s">
        <v>918</v>
      </c>
      <c r="S480" t="s">
        <v>2581</v>
      </c>
      <c r="T480" t="s">
        <v>2582</v>
      </c>
      <c r="V480" t="s">
        <v>996</v>
      </c>
      <c r="AE480" t="s">
        <v>478</v>
      </c>
      <c r="AL480" t="s">
        <v>919</v>
      </c>
      <c r="AM480" t="s">
        <v>919</v>
      </c>
      <c r="AO480" t="s">
        <v>480</v>
      </c>
      <c r="AP480" t="s">
        <v>481</v>
      </c>
      <c r="BF480" s="1" t="s">
        <v>997</v>
      </c>
      <c r="BH480" t="s">
        <v>987</v>
      </c>
      <c r="BP480" t="s">
        <v>1489</v>
      </c>
    </row>
    <row r="481" spans="1:68" x14ac:dyDescent="0.25">
      <c r="A481" t="s">
        <v>5713</v>
      </c>
      <c r="B481" t="s">
        <v>474</v>
      </c>
      <c r="C481" t="s">
        <v>1486</v>
      </c>
      <c r="E481" t="s">
        <v>480</v>
      </c>
      <c r="G481" s="1" t="s">
        <v>2580</v>
      </c>
      <c r="H481" t="s">
        <v>492</v>
      </c>
      <c r="J481">
        <v>654020</v>
      </c>
      <c r="M481">
        <v>1611</v>
      </c>
      <c r="R481" t="s">
        <v>918</v>
      </c>
      <c r="S481" t="s">
        <v>2583</v>
      </c>
      <c r="T481" t="s">
        <v>2584</v>
      </c>
      <c r="V481" t="s">
        <v>998</v>
      </c>
      <c r="AE481" t="s">
        <v>478</v>
      </c>
      <c r="AL481" t="s">
        <v>919</v>
      </c>
      <c r="AM481" t="s">
        <v>919</v>
      </c>
      <c r="AO481" t="s">
        <v>480</v>
      </c>
      <c r="AP481" t="s">
        <v>481</v>
      </c>
      <c r="BF481" s="1" t="s">
        <v>999</v>
      </c>
      <c r="BH481" t="s">
        <v>987</v>
      </c>
      <c r="BP481" t="s">
        <v>1489</v>
      </c>
    </row>
    <row r="482" spans="1:68" x14ac:dyDescent="0.25">
      <c r="A482" t="s">
        <v>5713</v>
      </c>
      <c r="B482" t="s">
        <v>474</v>
      </c>
      <c r="C482" t="s">
        <v>1486</v>
      </c>
      <c r="E482" t="s">
        <v>480</v>
      </c>
      <c r="G482" s="1" t="s">
        <v>2585</v>
      </c>
      <c r="H482" t="s">
        <v>959</v>
      </c>
      <c r="J482">
        <v>654020</v>
      </c>
      <c r="M482">
        <v>1611</v>
      </c>
      <c r="R482" t="s">
        <v>918</v>
      </c>
      <c r="S482" t="s">
        <v>2586</v>
      </c>
      <c r="T482" t="s">
        <v>2587</v>
      </c>
      <c r="V482" t="s">
        <v>996</v>
      </c>
      <c r="AE482" t="s">
        <v>478</v>
      </c>
      <c r="AL482" t="s">
        <v>919</v>
      </c>
      <c r="AM482" t="s">
        <v>919</v>
      </c>
      <c r="AO482" t="s">
        <v>480</v>
      </c>
      <c r="AP482" t="s">
        <v>481</v>
      </c>
      <c r="BF482" s="1" t="s">
        <v>997</v>
      </c>
      <c r="BH482" t="s">
        <v>987</v>
      </c>
      <c r="BP482" t="s">
        <v>1489</v>
      </c>
    </row>
    <row r="483" spans="1:68" x14ac:dyDescent="0.25">
      <c r="A483" t="s">
        <v>5713</v>
      </c>
      <c r="B483" t="s">
        <v>474</v>
      </c>
      <c r="C483" t="s">
        <v>1486</v>
      </c>
      <c r="E483" t="s">
        <v>480</v>
      </c>
      <c r="G483" s="1" t="s">
        <v>2585</v>
      </c>
      <c r="H483" t="s">
        <v>492</v>
      </c>
      <c r="J483">
        <v>654020</v>
      </c>
      <c r="M483">
        <v>1611</v>
      </c>
      <c r="R483" t="s">
        <v>918</v>
      </c>
      <c r="S483" t="s">
        <v>2588</v>
      </c>
      <c r="T483" t="s">
        <v>2589</v>
      </c>
      <c r="V483" t="s">
        <v>998</v>
      </c>
      <c r="AE483" t="s">
        <v>478</v>
      </c>
      <c r="AL483" t="s">
        <v>919</v>
      </c>
      <c r="AM483" t="s">
        <v>919</v>
      </c>
      <c r="AO483" t="s">
        <v>480</v>
      </c>
      <c r="AP483" t="s">
        <v>481</v>
      </c>
      <c r="BF483" s="1" t="s">
        <v>999</v>
      </c>
      <c r="BH483" t="s">
        <v>987</v>
      </c>
      <c r="BP483" t="s">
        <v>1489</v>
      </c>
    </row>
    <row r="484" spans="1:68" x14ac:dyDescent="0.25">
      <c r="A484" t="s">
        <v>5713</v>
      </c>
      <c r="B484" t="s">
        <v>474</v>
      </c>
      <c r="C484" t="s">
        <v>1486</v>
      </c>
      <c r="E484" t="s">
        <v>480</v>
      </c>
      <c r="G484" s="1" t="s">
        <v>2590</v>
      </c>
      <c r="H484" t="s">
        <v>959</v>
      </c>
      <c r="J484">
        <v>654020</v>
      </c>
      <c r="M484">
        <v>1611</v>
      </c>
      <c r="R484" t="s">
        <v>918</v>
      </c>
      <c r="S484" t="s">
        <v>2581</v>
      </c>
      <c r="T484" t="s">
        <v>2582</v>
      </c>
      <c r="V484" t="s">
        <v>996</v>
      </c>
      <c r="AE484" t="s">
        <v>478</v>
      </c>
      <c r="AL484" t="s">
        <v>919</v>
      </c>
      <c r="AM484" t="s">
        <v>919</v>
      </c>
      <c r="AO484" t="s">
        <v>480</v>
      </c>
      <c r="AP484" t="s">
        <v>481</v>
      </c>
      <c r="BF484" s="1" t="s">
        <v>997</v>
      </c>
      <c r="BH484" t="s">
        <v>987</v>
      </c>
      <c r="BP484" t="s">
        <v>1489</v>
      </c>
    </row>
    <row r="485" spans="1:68" x14ac:dyDescent="0.25">
      <c r="A485" t="s">
        <v>5713</v>
      </c>
      <c r="B485" t="s">
        <v>474</v>
      </c>
      <c r="C485" t="s">
        <v>1486</v>
      </c>
      <c r="E485" t="s">
        <v>480</v>
      </c>
      <c r="G485" s="1" t="s">
        <v>2590</v>
      </c>
      <c r="H485" t="s">
        <v>492</v>
      </c>
      <c r="J485">
        <v>654020</v>
      </c>
      <c r="M485">
        <v>1611</v>
      </c>
      <c r="R485" t="s">
        <v>918</v>
      </c>
      <c r="S485" t="s">
        <v>2583</v>
      </c>
      <c r="T485" t="s">
        <v>2584</v>
      </c>
      <c r="V485" t="s">
        <v>998</v>
      </c>
      <c r="AE485" t="s">
        <v>478</v>
      </c>
      <c r="AL485" t="s">
        <v>919</v>
      </c>
      <c r="AM485" t="s">
        <v>919</v>
      </c>
      <c r="AO485" t="s">
        <v>480</v>
      </c>
      <c r="AP485" t="s">
        <v>481</v>
      </c>
      <c r="BF485" s="1" t="s">
        <v>999</v>
      </c>
      <c r="BH485" t="s">
        <v>987</v>
      </c>
      <c r="BP485" t="s">
        <v>1489</v>
      </c>
    </row>
    <row r="486" spans="1:68" x14ac:dyDescent="0.25">
      <c r="A486" t="s">
        <v>5713</v>
      </c>
      <c r="B486" t="s">
        <v>474</v>
      </c>
      <c r="C486" t="s">
        <v>1486</v>
      </c>
      <c r="E486" t="s">
        <v>475</v>
      </c>
      <c r="G486" s="1" t="s">
        <v>2591</v>
      </c>
      <c r="H486" t="s">
        <v>476</v>
      </c>
      <c r="J486">
        <v>714010</v>
      </c>
      <c r="R486" t="s">
        <v>918</v>
      </c>
      <c r="S486" t="s">
        <v>991</v>
      </c>
      <c r="T486" t="s">
        <v>2592</v>
      </c>
      <c r="V486" t="s">
        <v>2593</v>
      </c>
      <c r="AE486" t="s">
        <v>478</v>
      </c>
      <c r="AL486" t="s">
        <v>919</v>
      </c>
      <c r="AM486" t="s">
        <v>919</v>
      </c>
      <c r="AO486" t="s">
        <v>480</v>
      </c>
      <c r="AP486" t="s">
        <v>481</v>
      </c>
      <c r="BF486" s="1"/>
      <c r="BH486" t="s">
        <v>987</v>
      </c>
      <c r="BP486" t="s">
        <v>1489</v>
      </c>
    </row>
    <row r="487" spans="1:68" x14ac:dyDescent="0.25">
      <c r="A487" t="s">
        <v>5713</v>
      </c>
      <c r="B487" t="s">
        <v>474</v>
      </c>
      <c r="C487" t="s">
        <v>1486</v>
      </c>
      <c r="E487" t="s">
        <v>475</v>
      </c>
      <c r="G487" s="1" t="s">
        <v>2594</v>
      </c>
      <c r="H487" t="s">
        <v>476</v>
      </c>
      <c r="J487">
        <v>714010</v>
      </c>
      <c r="R487" t="s">
        <v>918</v>
      </c>
      <c r="S487" t="s">
        <v>991</v>
      </c>
      <c r="T487" t="s">
        <v>2595</v>
      </c>
      <c r="V487" t="s">
        <v>2596</v>
      </c>
      <c r="AE487" t="s">
        <v>478</v>
      </c>
      <c r="AL487" t="s">
        <v>919</v>
      </c>
      <c r="AM487" t="s">
        <v>919</v>
      </c>
      <c r="AO487" t="s">
        <v>480</v>
      </c>
      <c r="AP487" t="s">
        <v>481</v>
      </c>
      <c r="BF487" s="1"/>
      <c r="BH487" t="s">
        <v>987</v>
      </c>
      <c r="BP487" t="s">
        <v>1489</v>
      </c>
    </row>
    <row r="488" spans="1:68" x14ac:dyDescent="0.25">
      <c r="A488" t="s">
        <v>5713</v>
      </c>
      <c r="B488" t="s">
        <v>474</v>
      </c>
      <c r="C488" t="s">
        <v>1486</v>
      </c>
      <c r="E488" t="s">
        <v>475</v>
      </c>
      <c r="G488" s="1" t="s">
        <v>2597</v>
      </c>
      <c r="H488" t="s">
        <v>476</v>
      </c>
      <c r="J488">
        <v>714010</v>
      </c>
      <c r="R488" t="s">
        <v>918</v>
      </c>
      <c r="S488" t="s">
        <v>991</v>
      </c>
      <c r="T488" t="s">
        <v>2598</v>
      </c>
      <c r="V488" t="s">
        <v>2599</v>
      </c>
      <c r="AE488" t="s">
        <v>478</v>
      </c>
      <c r="AL488" t="s">
        <v>919</v>
      </c>
      <c r="AM488" t="s">
        <v>919</v>
      </c>
      <c r="AO488" t="s">
        <v>480</v>
      </c>
      <c r="AP488" t="s">
        <v>481</v>
      </c>
      <c r="BF488" s="1"/>
      <c r="BH488" t="s">
        <v>987</v>
      </c>
      <c r="BP488" t="s">
        <v>1489</v>
      </c>
    </row>
    <row r="489" spans="1:68" x14ac:dyDescent="0.25">
      <c r="A489" t="s">
        <v>5713</v>
      </c>
      <c r="B489" t="s">
        <v>474</v>
      </c>
      <c r="C489" t="s">
        <v>1486</v>
      </c>
      <c r="E489" t="s">
        <v>475</v>
      </c>
      <c r="G489" s="1" t="s">
        <v>2600</v>
      </c>
      <c r="H489" t="s">
        <v>476</v>
      </c>
      <c r="J489">
        <v>714010</v>
      </c>
      <c r="R489" t="s">
        <v>918</v>
      </c>
      <c r="S489" t="s">
        <v>991</v>
      </c>
      <c r="T489" t="s">
        <v>2601</v>
      </c>
      <c r="V489" t="s">
        <v>2602</v>
      </c>
      <c r="AE489" t="s">
        <v>478</v>
      </c>
      <c r="AL489" t="s">
        <v>919</v>
      </c>
      <c r="AM489" t="s">
        <v>919</v>
      </c>
      <c r="AO489" t="s">
        <v>480</v>
      </c>
      <c r="AP489" t="s">
        <v>481</v>
      </c>
      <c r="BF489" s="1"/>
      <c r="BH489" t="s">
        <v>987</v>
      </c>
      <c r="BP489" t="s">
        <v>1489</v>
      </c>
    </row>
    <row r="490" spans="1:68" x14ac:dyDescent="0.25">
      <c r="A490" t="s">
        <v>5713</v>
      </c>
      <c r="B490" t="s">
        <v>474</v>
      </c>
      <c r="C490" t="s">
        <v>1486</v>
      </c>
      <c r="E490" t="s">
        <v>475</v>
      </c>
      <c r="G490" s="1" t="s">
        <v>2603</v>
      </c>
      <c r="H490" t="s">
        <v>476</v>
      </c>
      <c r="J490">
        <v>714010</v>
      </c>
      <c r="R490" t="s">
        <v>918</v>
      </c>
      <c r="S490" t="s">
        <v>991</v>
      </c>
      <c r="T490" t="s">
        <v>2604</v>
      </c>
      <c r="V490" t="s">
        <v>2605</v>
      </c>
      <c r="AE490" t="s">
        <v>478</v>
      </c>
      <c r="AL490" t="s">
        <v>919</v>
      </c>
      <c r="AM490" t="s">
        <v>919</v>
      </c>
      <c r="AO490" t="s">
        <v>480</v>
      </c>
      <c r="AP490" t="s">
        <v>481</v>
      </c>
      <c r="BF490" s="1"/>
      <c r="BH490" t="s">
        <v>987</v>
      </c>
      <c r="BP490" t="s">
        <v>1489</v>
      </c>
    </row>
    <row r="491" spans="1:68" x14ac:dyDescent="0.25">
      <c r="A491" t="s">
        <v>5713</v>
      </c>
      <c r="B491" t="s">
        <v>474</v>
      </c>
      <c r="C491" t="s">
        <v>1486</v>
      </c>
      <c r="E491" t="s">
        <v>475</v>
      </c>
      <c r="G491" s="1" t="s">
        <v>2606</v>
      </c>
      <c r="H491" t="s">
        <v>476</v>
      </c>
      <c r="J491">
        <v>714010</v>
      </c>
      <c r="R491" t="s">
        <v>918</v>
      </c>
      <c r="S491" t="s">
        <v>991</v>
      </c>
      <c r="T491" t="s">
        <v>2607</v>
      </c>
      <c r="V491" t="s">
        <v>2608</v>
      </c>
      <c r="AE491" t="s">
        <v>478</v>
      </c>
      <c r="AL491" t="s">
        <v>919</v>
      </c>
      <c r="AM491" t="s">
        <v>919</v>
      </c>
      <c r="AO491" t="s">
        <v>480</v>
      </c>
      <c r="AP491" t="s">
        <v>481</v>
      </c>
      <c r="BF491" s="1"/>
      <c r="BH491" t="s">
        <v>987</v>
      </c>
      <c r="BP491" t="s">
        <v>1489</v>
      </c>
    </row>
    <row r="492" spans="1:68" x14ac:dyDescent="0.25">
      <c r="A492" t="s">
        <v>5713</v>
      </c>
      <c r="B492" t="s">
        <v>474</v>
      </c>
      <c r="C492" t="s">
        <v>1486</v>
      </c>
      <c r="E492" t="s">
        <v>475</v>
      </c>
      <c r="G492" s="1" t="s">
        <v>2609</v>
      </c>
      <c r="H492" t="s">
        <v>476</v>
      </c>
      <c r="J492">
        <v>714010</v>
      </c>
      <c r="R492" t="s">
        <v>918</v>
      </c>
      <c r="S492" t="s">
        <v>991</v>
      </c>
      <c r="T492" t="s">
        <v>2610</v>
      </c>
      <c r="V492" t="s">
        <v>2611</v>
      </c>
      <c r="AE492" t="s">
        <v>478</v>
      </c>
      <c r="AL492" t="s">
        <v>919</v>
      </c>
      <c r="AM492" t="s">
        <v>919</v>
      </c>
      <c r="AO492" t="s">
        <v>480</v>
      </c>
      <c r="AP492" t="s">
        <v>481</v>
      </c>
      <c r="BF492" s="1"/>
      <c r="BH492" t="s">
        <v>987</v>
      </c>
      <c r="BP492" t="s">
        <v>1489</v>
      </c>
    </row>
    <row r="493" spans="1:68" x14ac:dyDescent="0.25">
      <c r="A493" t="s">
        <v>5713</v>
      </c>
      <c r="B493" t="s">
        <v>474</v>
      </c>
      <c r="C493" t="s">
        <v>1486</v>
      </c>
      <c r="E493" t="s">
        <v>475</v>
      </c>
      <c r="G493" s="1" t="s">
        <v>2612</v>
      </c>
      <c r="H493" t="s">
        <v>476</v>
      </c>
      <c r="J493">
        <v>714010</v>
      </c>
      <c r="R493" t="s">
        <v>918</v>
      </c>
      <c r="S493" t="s">
        <v>991</v>
      </c>
      <c r="T493" t="s">
        <v>2613</v>
      </c>
      <c r="V493" t="s">
        <v>2614</v>
      </c>
      <c r="AE493" t="s">
        <v>478</v>
      </c>
      <c r="AL493" t="s">
        <v>919</v>
      </c>
      <c r="AM493" t="s">
        <v>919</v>
      </c>
      <c r="AO493" t="s">
        <v>480</v>
      </c>
      <c r="AP493" t="s">
        <v>481</v>
      </c>
      <c r="BF493" s="1"/>
      <c r="BH493" t="s">
        <v>987</v>
      </c>
      <c r="BP493" t="s">
        <v>1489</v>
      </c>
    </row>
    <row r="494" spans="1:68" x14ac:dyDescent="0.25">
      <c r="A494" t="s">
        <v>5713</v>
      </c>
      <c r="B494" t="s">
        <v>474</v>
      </c>
      <c r="C494" t="s">
        <v>1486</v>
      </c>
      <c r="E494" t="s">
        <v>475</v>
      </c>
      <c r="G494" s="1" t="s">
        <v>2615</v>
      </c>
      <c r="H494" t="s">
        <v>476</v>
      </c>
      <c r="J494">
        <v>714010</v>
      </c>
      <c r="R494" t="s">
        <v>918</v>
      </c>
      <c r="S494" t="s">
        <v>991</v>
      </c>
      <c r="T494" t="s">
        <v>2616</v>
      </c>
      <c r="V494" t="s">
        <v>2617</v>
      </c>
      <c r="AE494" t="s">
        <v>478</v>
      </c>
      <c r="AL494" t="s">
        <v>919</v>
      </c>
      <c r="AM494" t="s">
        <v>919</v>
      </c>
      <c r="AO494" t="s">
        <v>480</v>
      </c>
      <c r="AP494" t="s">
        <v>481</v>
      </c>
      <c r="BF494" s="1"/>
      <c r="BH494" t="s">
        <v>987</v>
      </c>
      <c r="BP494" t="s">
        <v>1489</v>
      </c>
    </row>
    <row r="495" spans="1:68" x14ac:dyDescent="0.25">
      <c r="A495" t="s">
        <v>5713</v>
      </c>
      <c r="B495" t="s">
        <v>474</v>
      </c>
      <c r="C495" t="s">
        <v>1486</v>
      </c>
      <c r="E495" t="s">
        <v>475</v>
      </c>
      <c r="G495" s="1" t="s">
        <v>2618</v>
      </c>
      <c r="H495" t="s">
        <v>476</v>
      </c>
      <c r="J495">
        <v>714010</v>
      </c>
      <c r="R495" t="s">
        <v>918</v>
      </c>
      <c r="S495" t="s">
        <v>991</v>
      </c>
      <c r="T495" t="s">
        <v>2619</v>
      </c>
      <c r="V495" t="s">
        <v>2620</v>
      </c>
      <c r="AE495" t="s">
        <v>478</v>
      </c>
      <c r="AL495" t="s">
        <v>919</v>
      </c>
      <c r="AM495" t="s">
        <v>919</v>
      </c>
      <c r="AO495" t="s">
        <v>480</v>
      </c>
      <c r="AP495" t="s">
        <v>481</v>
      </c>
      <c r="BF495" s="1"/>
      <c r="BH495" t="s">
        <v>987</v>
      </c>
      <c r="BP495" t="s">
        <v>1489</v>
      </c>
    </row>
    <row r="496" spans="1:68" x14ac:dyDescent="0.25">
      <c r="A496" t="s">
        <v>5713</v>
      </c>
      <c r="B496" t="s">
        <v>474</v>
      </c>
      <c r="C496" t="s">
        <v>1486</v>
      </c>
      <c r="E496" t="s">
        <v>475</v>
      </c>
      <c r="G496" s="1" t="s">
        <v>2621</v>
      </c>
      <c r="H496" t="s">
        <v>476</v>
      </c>
      <c r="J496">
        <v>714010</v>
      </c>
      <c r="R496" t="s">
        <v>918</v>
      </c>
      <c r="S496" t="s">
        <v>991</v>
      </c>
      <c r="T496" t="s">
        <v>2622</v>
      </c>
      <c r="V496" t="s">
        <v>2620</v>
      </c>
      <c r="AE496" t="s">
        <v>478</v>
      </c>
      <c r="AL496" t="s">
        <v>919</v>
      </c>
      <c r="AM496" t="s">
        <v>919</v>
      </c>
      <c r="AO496" t="s">
        <v>480</v>
      </c>
      <c r="AP496" t="s">
        <v>481</v>
      </c>
      <c r="BF496" s="1"/>
      <c r="BH496" t="s">
        <v>987</v>
      </c>
      <c r="BP496" t="s">
        <v>1489</v>
      </c>
    </row>
    <row r="497" spans="1:68" x14ac:dyDescent="0.25">
      <c r="A497" t="s">
        <v>5713</v>
      </c>
      <c r="B497" t="s">
        <v>474</v>
      </c>
      <c r="C497" t="s">
        <v>1486</v>
      </c>
      <c r="E497" t="s">
        <v>475</v>
      </c>
      <c r="G497" s="1" t="s">
        <v>2623</v>
      </c>
      <c r="H497" t="s">
        <v>476</v>
      </c>
      <c r="J497">
        <v>714010</v>
      </c>
      <c r="R497" t="s">
        <v>918</v>
      </c>
      <c r="S497" t="s">
        <v>991</v>
      </c>
      <c r="T497" t="s">
        <v>2624</v>
      </c>
      <c r="V497" t="s">
        <v>2620</v>
      </c>
      <c r="AE497" t="s">
        <v>478</v>
      </c>
      <c r="AL497" t="s">
        <v>919</v>
      </c>
      <c r="AM497" t="s">
        <v>919</v>
      </c>
      <c r="AO497" t="s">
        <v>480</v>
      </c>
      <c r="AP497" t="s">
        <v>481</v>
      </c>
      <c r="BF497" s="1"/>
      <c r="BH497" t="s">
        <v>987</v>
      </c>
      <c r="BP497" t="s">
        <v>1489</v>
      </c>
    </row>
    <row r="498" spans="1:68" x14ac:dyDescent="0.25">
      <c r="A498" t="s">
        <v>5713</v>
      </c>
      <c r="B498" t="s">
        <v>474</v>
      </c>
      <c r="C498" t="s">
        <v>1486</v>
      </c>
      <c r="E498" t="s">
        <v>480</v>
      </c>
      <c r="G498" s="1" t="s">
        <v>2625</v>
      </c>
      <c r="H498" t="s">
        <v>959</v>
      </c>
      <c r="J498">
        <v>671010</v>
      </c>
      <c r="M498">
        <v>3311</v>
      </c>
      <c r="R498" t="s">
        <v>918</v>
      </c>
      <c r="S498" t="s">
        <v>2626</v>
      </c>
      <c r="T498" t="s">
        <v>2627</v>
      </c>
      <c r="V498" t="s">
        <v>2628</v>
      </c>
      <c r="AE498" t="s">
        <v>478</v>
      </c>
      <c r="AL498" t="s">
        <v>919</v>
      </c>
      <c r="AM498" t="s">
        <v>919</v>
      </c>
      <c r="AO498" t="s">
        <v>480</v>
      </c>
      <c r="AP498" t="s">
        <v>481</v>
      </c>
      <c r="BF498" s="1" t="s">
        <v>1003</v>
      </c>
      <c r="BH498" t="s">
        <v>987</v>
      </c>
      <c r="BP498" t="s">
        <v>1489</v>
      </c>
    </row>
    <row r="499" spans="1:68" x14ac:dyDescent="0.25">
      <c r="A499" t="s">
        <v>5713</v>
      </c>
      <c r="B499" t="s">
        <v>474</v>
      </c>
      <c r="C499" t="s">
        <v>1486</v>
      </c>
      <c r="E499" t="s">
        <v>475</v>
      </c>
      <c r="G499" s="1" t="s">
        <v>2629</v>
      </c>
      <c r="H499" t="s">
        <v>476</v>
      </c>
      <c r="J499">
        <v>714010</v>
      </c>
      <c r="R499" t="s">
        <v>918</v>
      </c>
      <c r="S499" t="s">
        <v>991</v>
      </c>
      <c r="T499" t="s">
        <v>2630</v>
      </c>
      <c r="V499" t="s">
        <v>2631</v>
      </c>
      <c r="AE499" t="s">
        <v>478</v>
      </c>
      <c r="AL499" t="s">
        <v>919</v>
      </c>
      <c r="AM499" t="s">
        <v>919</v>
      </c>
      <c r="AO499" t="s">
        <v>480</v>
      </c>
      <c r="AP499" t="s">
        <v>481</v>
      </c>
      <c r="BF499" s="1"/>
      <c r="BH499" t="s">
        <v>987</v>
      </c>
      <c r="BP499" t="s">
        <v>1489</v>
      </c>
    </row>
    <row r="500" spans="1:68" x14ac:dyDescent="0.25">
      <c r="A500" t="s">
        <v>5713</v>
      </c>
      <c r="B500" t="s">
        <v>474</v>
      </c>
      <c r="C500" t="s">
        <v>1486</v>
      </c>
      <c r="E500" t="s">
        <v>475</v>
      </c>
      <c r="G500" s="1" t="s">
        <v>2632</v>
      </c>
      <c r="H500" t="s">
        <v>476</v>
      </c>
      <c r="J500">
        <v>714010</v>
      </c>
      <c r="R500" t="s">
        <v>918</v>
      </c>
      <c r="S500" t="s">
        <v>991</v>
      </c>
      <c r="T500" t="s">
        <v>2633</v>
      </c>
      <c r="V500" t="s">
        <v>2634</v>
      </c>
      <c r="AE500" t="s">
        <v>478</v>
      </c>
      <c r="AL500" t="s">
        <v>919</v>
      </c>
      <c r="AM500" t="s">
        <v>919</v>
      </c>
      <c r="AO500" t="s">
        <v>480</v>
      </c>
      <c r="AP500" t="s">
        <v>481</v>
      </c>
      <c r="BF500" s="1"/>
      <c r="BH500" t="s">
        <v>987</v>
      </c>
      <c r="BP500" t="s">
        <v>1489</v>
      </c>
    </row>
    <row r="501" spans="1:68" x14ac:dyDescent="0.25">
      <c r="A501" t="s">
        <v>5713</v>
      </c>
      <c r="B501" t="s">
        <v>474</v>
      </c>
      <c r="C501" t="s">
        <v>1486</v>
      </c>
      <c r="E501" t="s">
        <v>480</v>
      </c>
      <c r="G501" s="1" t="s">
        <v>2635</v>
      </c>
      <c r="H501" t="s">
        <v>959</v>
      </c>
      <c r="J501">
        <v>671010</v>
      </c>
      <c r="M501">
        <v>3311</v>
      </c>
      <c r="R501" t="s">
        <v>918</v>
      </c>
      <c r="S501" t="s">
        <v>2636</v>
      </c>
      <c r="T501" t="s">
        <v>2637</v>
      </c>
      <c r="V501" t="s">
        <v>2638</v>
      </c>
      <c r="AE501" t="s">
        <v>478</v>
      </c>
      <c r="AL501" t="s">
        <v>919</v>
      </c>
      <c r="AM501" t="s">
        <v>919</v>
      </c>
      <c r="AO501" t="s">
        <v>480</v>
      </c>
      <c r="AP501" t="s">
        <v>481</v>
      </c>
      <c r="BF501" s="1" t="s">
        <v>1004</v>
      </c>
      <c r="BH501" t="s">
        <v>987</v>
      </c>
      <c r="BP501" t="s">
        <v>1489</v>
      </c>
    </row>
    <row r="502" spans="1:68" x14ac:dyDescent="0.25">
      <c r="A502" t="s">
        <v>5713</v>
      </c>
      <c r="B502" t="s">
        <v>474</v>
      </c>
      <c r="C502" t="s">
        <v>1486</v>
      </c>
      <c r="E502" t="s">
        <v>475</v>
      </c>
      <c r="G502" s="1" t="s">
        <v>2639</v>
      </c>
      <c r="H502" t="s">
        <v>476</v>
      </c>
      <c r="J502">
        <v>714010</v>
      </c>
      <c r="R502" t="s">
        <v>918</v>
      </c>
      <c r="S502" t="s">
        <v>991</v>
      </c>
      <c r="T502" t="s">
        <v>2640</v>
      </c>
      <c r="V502" t="s">
        <v>2641</v>
      </c>
      <c r="AE502" t="s">
        <v>478</v>
      </c>
      <c r="AL502" t="s">
        <v>919</v>
      </c>
      <c r="AM502" t="s">
        <v>919</v>
      </c>
      <c r="AO502" t="s">
        <v>480</v>
      </c>
      <c r="AP502" t="s">
        <v>481</v>
      </c>
      <c r="BF502" s="1"/>
      <c r="BH502" t="s">
        <v>987</v>
      </c>
      <c r="BP502" t="s">
        <v>1489</v>
      </c>
    </row>
    <row r="503" spans="1:68" x14ac:dyDescent="0.25">
      <c r="A503" t="s">
        <v>5713</v>
      </c>
      <c r="B503" t="s">
        <v>474</v>
      </c>
      <c r="C503" t="s">
        <v>1486</v>
      </c>
      <c r="E503" t="s">
        <v>475</v>
      </c>
      <c r="G503" s="1" t="s">
        <v>2642</v>
      </c>
      <c r="H503" t="s">
        <v>476</v>
      </c>
      <c r="J503">
        <v>714010</v>
      </c>
      <c r="R503" t="s">
        <v>918</v>
      </c>
      <c r="S503" t="s">
        <v>991</v>
      </c>
      <c r="T503" t="s">
        <v>2619</v>
      </c>
      <c r="V503" t="s">
        <v>2620</v>
      </c>
      <c r="AE503" t="s">
        <v>478</v>
      </c>
      <c r="AL503" t="s">
        <v>919</v>
      </c>
      <c r="AM503" t="s">
        <v>919</v>
      </c>
      <c r="AO503" t="s">
        <v>480</v>
      </c>
      <c r="AP503" t="s">
        <v>481</v>
      </c>
      <c r="BF503" s="1"/>
      <c r="BH503" t="s">
        <v>987</v>
      </c>
      <c r="BP503" t="s">
        <v>1489</v>
      </c>
    </row>
    <row r="504" spans="1:68" x14ac:dyDescent="0.25">
      <c r="A504" t="s">
        <v>5713</v>
      </c>
      <c r="B504" t="s">
        <v>474</v>
      </c>
      <c r="C504" t="s">
        <v>1486</v>
      </c>
      <c r="E504" t="s">
        <v>475</v>
      </c>
      <c r="G504" s="1" t="s">
        <v>2643</v>
      </c>
      <c r="H504" t="s">
        <v>476</v>
      </c>
      <c r="J504">
        <v>714010</v>
      </c>
      <c r="R504" t="s">
        <v>918</v>
      </c>
      <c r="S504" t="s">
        <v>991</v>
      </c>
      <c r="T504" t="s">
        <v>2644</v>
      </c>
      <c r="V504" t="s">
        <v>2645</v>
      </c>
      <c r="AE504" t="s">
        <v>478</v>
      </c>
      <c r="AL504" t="s">
        <v>919</v>
      </c>
      <c r="AM504" t="s">
        <v>919</v>
      </c>
      <c r="AO504" t="s">
        <v>480</v>
      </c>
      <c r="AP504" t="s">
        <v>481</v>
      </c>
      <c r="BF504" s="1"/>
      <c r="BH504" t="s">
        <v>987</v>
      </c>
      <c r="BP504" t="s">
        <v>1489</v>
      </c>
    </row>
    <row r="505" spans="1:68" x14ac:dyDescent="0.25">
      <c r="A505" t="s">
        <v>5713</v>
      </c>
      <c r="B505" t="s">
        <v>474</v>
      </c>
      <c r="C505" t="s">
        <v>1486</v>
      </c>
      <c r="E505" t="s">
        <v>475</v>
      </c>
      <c r="G505" s="1" t="s">
        <v>2643</v>
      </c>
      <c r="H505" t="s">
        <v>498</v>
      </c>
      <c r="J505">
        <v>714010</v>
      </c>
      <c r="R505" t="s">
        <v>918</v>
      </c>
      <c r="S505" t="s">
        <v>991</v>
      </c>
      <c r="T505" t="s">
        <v>2646</v>
      </c>
      <c r="V505" t="s">
        <v>2647</v>
      </c>
      <c r="AE505" t="s">
        <v>478</v>
      </c>
      <c r="AL505" t="s">
        <v>919</v>
      </c>
      <c r="AM505" t="s">
        <v>919</v>
      </c>
      <c r="AO505" t="s">
        <v>480</v>
      </c>
      <c r="AP505" t="s">
        <v>481</v>
      </c>
      <c r="BF505" s="1"/>
      <c r="BH505" t="s">
        <v>987</v>
      </c>
      <c r="BP505" t="s">
        <v>1489</v>
      </c>
    </row>
    <row r="506" spans="1:68" x14ac:dyDescent="0.25">
      <c r="A506" t="s">
        <v>5713</v>
      </c>
      <c r="B506" t="s">
        <v>474</v>
      </c>
      <c r="C506" t="s">
        <v>1486</v>
      </c>
      <c r="E506" t="s">
        <v>475</v>
      </c>
      <c r="G506" s="1" t="s">
        <v>2643</v>
      </c>
      <c r="H506" t="s">
        <v>517</v>
      </c>
      <c r="J506">
        <v>714010</v>
      </c>
      <c r="R506" t="s">
        <v>918</v>
      </c>
      <c r="S506" t="s">
        <v>991</v>
      </c>
      <c r="T506" t="s">
        <v>1019</v>
      </c>
      <c r="V506" t="s">
        <v>2648</v>
      </c>
      <c r="AE506" t="s">
        <v>478</v>
      </c>
      <c r="AL506" t="s">
        <v>919</v>
      </c>
      <c r="AM506" t="s">
        <v>919</v>
      </c>
      <c r="AO506" t="s">
        <v>480</v>
      </c>
      <c r="AP506" t="s">
        <v>481</v>
      </c>
      <c r="BF506" s="1"/>
      <c r="BH506" t="s">
        <v>987</v>
      </c>
      <c r="BP506" t="s">
        <v>1489</v>
      </c>
    </row>
    <row r="507" spans="1:68" x14ac:dyDescent="0.25">
      <c r="A507" t="s">
        <v>5713</v>
      </c>
      <c r="B507" t="s">
        <v>474</v>
      </c>
      <c r="C507" t="s">
        <v>1486</v>
      </c>
      <c r="E507" t="s">
        <v>475</v>
      </c>
      <c r="G507" s="1" t="s">
        <v>2649</v>
      </c>
      <c r="H507" t="s">
        <v>959</v>
      </c>
      <c r="J507">
        <v>661002</v>
      </c>
      <c r="M507">
        <v>3312</v>
      </c>
      <c r="R507" t="s">
        <v>918</v>
      </c>
      <c r="S507" t="s">
        <v>2650</v>
      </c>
      <c r="T507" t="s">
        <v>2651</v>
      </c>
      <c r="V507" t="s">
        <v>2652</v>
      </c>
      <c r="AE507" t="s">
        <v>478</v>
      </c>
      <c r="AL507" t="s">
        <v>919</v>
      </c>
      <c r="AM507" t="s">
        <v>919</v>
      </c>
      <c r="AO507" t="s">
        <v>480</v>
      </c>
      <c r="AP507" t="s">
        <v>481</v>
      </c>
      <c r="BF507" s="1" t="s">
        <v>2653</v>
      </c>
      <c r="BH507" t="s">
        <v>987</v>
      </c>
      <c r="BP507" t="s">
        <v>1489</v>
      </c>
    </row>
    <row r="508" spans="1:68" x14ac:dyDescent="0.25">
      <c r="A508" t="s">
        <v>5713</v>
      </c>
      <c r="B508" t="s">
        <v>474</v>
      </c>
      <c r="C508" t="s">
        <v>1486</v>
      </c>
      <c r="E508" t="s">
        <v>475</v>
      </c>
      <c r="G508" s="1" t="s">
        <v>2649</v>
      </c>
      <c r="H508" t="s">
        <v>476</v>
      </c>
      <c r="J508">
        <v>661002</v>
      </c>
      <c r="M508">
        <v>3212</v>
      </c>
      <c r="R508" t="s">
        <v>918</v>
      </c>
      <c r="S508" t="s">
        <v>2654</v>
      </c>
      <c r="T508" t="s">
        <v>2655</v>
      </c>
      <c r="V508" t="s">
        <v>2652</v>
      </c>
      <c r="AE508" t="s">
        <v>478</v>
      </c>
      <c r="AL508" t="s">
        <v>919</v>
      </c>
      <c r="AM508" t="s">
        <v>919</v>
      </c>
      <c r="AO508" t="s">
        <v>480</v>
      </c>
      <c r="AP508" t="s">
        <v>481</v>
      </c>
      <c r="BF508" s="1" t="s">
        <v>2656</v>
      </c>
      <c r="BH508" t="s">
        <v>987</v>
      </c>
      <c r="BP508" t="s">
        <v>1489</v>
      </c>
    </row>
    <row r="509" spans="1:68" x14ac:dyDescent="0.25">
      <c r="A509" t="s">
        <v>5713</v>
      </c>
      <c r="B509" t="s">
        <v>474</v>
      </c>
      <c r="C509" t="s">
        <v>1486</v>
      </c>
      <c r="E509" t="s">
        <v>475</v>
      </c>
      <c r="G509" s="1" t="s">
        <v>2657</v>
      </c>
      <c r="H509" t="s">
        <v>476</v>
      </c>
      <c r="J509">
        <v>745010</v>
      </c>
      <c r="R509" t="s">
        <v>918</v>
      </c>
      <c r="S509" t="s">
        <v>991</v>
      </c>
      <c r="T509" t="s">
        <v>2658</v>
      </c>
      <c r="V509" t="s">
        <v>2659</v>
      </c>
      <c r="AE509" t="s">
        <v>478</v>
      </c>
      <c r="AL509" t="s">
        <v>919</v>
      </c>
      <c r="AM509" t="s">
        <v>919</v>
      </c>
      <c r="AO509" t="s">
        <v>480</v>
      </c>
      <c r="AP509" t="s">
        <v>481</v>
      </c>
      <c r="BF509" s="1"/>
      <c r="BH509" t="s">
        <v>1007</v>
      </c>
      <c r="BP509" t="s">
        <v>1489</v>
      </c>
    </row>
    <row r="510" spans="1:68" x14ac:dyDescent="0.25">
      <c r="A510" t="s">
        <v>5713</v>
      </c>
      <c r="B510" t="s">
        <v>474</v>
      </c>
      <c r="C510" t="s">
        <v>1486</v>
      </c>
      <c r="E510" t="s">
        <v>475</v>
      </c>
      <c r="G510" s="1" t="s">
        <v>2660</v>
      </c>
      <c r="H510" t="s">
        <v>476</v>
      </c>
      <c r="J510">
        <v>745010</v>
      </c>
      <c r="R510" t="s">
        <v>918</v>
      </c>
      <c r="S510" t="s">
        <v>991</v>
      </c>
      <c r="T510" t="s">
        <v>2661</v>
      </c>
      <c r="V510" t="s">
        <v>2659</v>
      </c>
      <c r="AE510" t="s">
        <v>478</v>
      </c>
      <c r="AL510" t="s">
        <v>919</v>
      </c>
      <c r="AM510" t="s">
        <v>919</v>
      </c>
      <c r="AO510" t="s">
        <v>480</v>
      </c>
      <c r="AP510" t="s">
        <v>481</v>
      </c>
      <c r="BF510" s="1"/>
      <c r="BH510" t="s">
        <v>1007</v>
      </c>
      <c r="BP510" t="s">
        <v>1489</v>
      </c>
    </row>
    <row r="511" spans="1:68" x14ac:dyDescent="0.25">
      <c r="A511" t="s">
        <v>5713</v>
      </c>
      <c r="B511" t="s">
        <v>474</v>
      </c>
      <c r="C511" t="s">
        <v>1486</v>
      </c>
      <c r="E511" t="s">
        <v>475</v>
      </c>
      <c r="G511" s="1" t="s">
        <v>2662</v>
      </c>
      <c r="H511" t="s">
        <v>476</v>
      </c>
      <c r="J511">
        <v>714010</v>
      </c>
      <c r="R511" t="s">
        <v>918</v>
      </c>
      <c r="S511" t="s">
        <v>991</v>
      </c>
      <c r="T511" t="s">
        <v>1022</v>
      </c>
      <c r="V511" t="s">
        <v>2663</v>
      </c>
      <c r="AE511" t="s">
        <v>478</v>
      </c>
      <c r="AL511" t="s">
        <v>919</v>
      </c>
      <c r="AM511" t="s">
        <v>919</v>
      </c>
      <c r="AO511" t="s">
        <v>480</v>
      </c>
      <c r="AP511" t="s">
        <v>481</v>
      </c>
      <c r="BF511" s="1"/>
      <c r="BH511" t="s">
        <v>1007</v>
      </c>
      <c r="BP511" t="s">
        <v>1489</v>
      </c>
    </row>
    <row r="512" spans="1:68" x14ac:dyDescent="0.25">
      <c r="A512" t="s">
        <v>5713</v>
      </c>
      <c r="B512" t="s">
        <v>474</v>
      </c>
      <c r="C512" t="s">
        <v>1486</v>
      </c>
      <c r="E512" t="s">
        <v>475</v>
      </c>
      <c r="G512" s="1" t="s">
        <v>2664</v>
      </c>
      <c r="H512" t="s">
        <v>476</v>
      </c>
      <c r="J512">
        <v>714010</v>
      </c>
      <c r="R512" t="s">
        <v>918</v>
      </c>
      <c r="S512" t="s">
        <v>991</v>
      </c>
      <c r="T512" t="s">
        <v>2665</v>
      </c>
      <c r="V512" t="s">
        <v>2666</v>
      </c>
      <c r="AE512" t="s">
        <v>478</v>
      </c>
      <c r="AL512" t="s">
        <v>919</v>
      </c>
      <c r="AM512" t="s">
        <v>919</v>
      </c>
      <c r="AO512" t="s">
        <v>480</v>
      </c>
      <c r="AP512" t="s">
        <v>481</v>
      </c>
      <c r="BF512" s="1"/>
      <c r="BH512" t="s">
        <v>1007</v>
      </c>
      <c r="BP512" t="s">
        <v>1489</v>
      </c>
    </row>
    <row r="513" spans="1:68" x14ac:dyDescent="0.25">
      <c r="A513" t="s">
        <v>5713</v>
      </c>
      <c r="B513" t="s">
        <v>474</v>
      </c>
      <c r="C513" t="s">
        <v>1486</v>
      </c>
      <c r="E513" t="s">
        <v>475</v>
      </c>
      <c r="G513" s="1" t="s">
        <v>2667</v>
      </c>
      <c r="H513" t="s">
        <v>476</v>
      </c>
      <c r="J513">
        <v>714010</v>
      </c>
      <c r="R513" t="s">
        <v>918</v>
      </c>
      <c r="S513" t="s">
        <v>991</v>
      </c>
      <c r="T513" t="s">
        <v>2668</v>
      </c>
      <c r="V513" t="s">
        <v>2669</v>
      </c>
      <c r="AE513" t="s">
        <v>478</v>
      </c>
      <c r="AL513" t="s">
        <v>919</v>
      </c>
      <c r="AM513" t="s">
        <v>919</v>
      </c>
      <c r="AO513" t="s">
        <v>480</v>
      </c>
      <c r="AP513" t="s">
        <v>481</v>
      </c>
      <c r="BF513" s="1"/>
      <c r="BH513" t="s">
        <v>1007</v>
      </c>
      <c r="BP513" t="s">
        <v>1489</v>
      </c>
    </row>
    <row r="514" spans="1:68" x14ac:dyDescent="0.25">
      <c r="A514" t="s">
        <v>5713</v>
      </c>
      <c r="B514" t="s">
        <v>474</v>
      </c>
      <c r="C514" t="s">
        <v>1486</v>
      </c>
      <c r="E514" t="s">
        <v>475</v>
      </c>
      <c r="G514" s="1" t="s">
        <v>2670</v>
      </c>
      <c r="H514" t="s">
        <v>476</v>
      </c>
      <c r="J514">
        <v>714010</v>
      </c>
      <c r="R514" t="s">
        <v>918</v>
      </c>
      <c r="S514" t="s">
        <v>991</v>
      </c>
      <c r="T514" t="s">
        <v>2671</v>
      </c>
      <c r="V514" t="s">
        <v>2672</v>
      </c>
      <c r="AE514" t="s">
        <v>478</v>
      </c>
      <c r="AL514" t="s">
        <v>919</v>
      </c>
      <c r="AM514" t="s">
        <v>919</v>
      </c>
      <c r="AO514" t="s">
        <v>480</v>
      </c>
      <c r="AP514" t="s">
        <v>481</v>
      </c>
      <c r="BF514" s="1"/>
      <c r="BH514" t="s">
        <v>1007</v>
      </c>
      <c r="BP514" t="s">
        <v>1489</v>
      </c>
    </row>
    <row r="515" spans="1:68" x14ac:dyDescent="0.25">
      <c r="A515" t="s">
        <v>5713</v>
      </c>
      <c r="B515" t="s">
        <v>474</v>
      </c>
      <c r="C515" t="s">
        <v>1486</v>
      </c>
      <c r="E515" t="s">
        <v>475</v>
      </c>
      <c r="G515" s="1" t="s">
        <v>2673</v>
      </c>
      <c r="H515" t="s">
        <v>476</v>
      </c>
      <c r="J515">
        <v>714010</v>
      </c>
      <c r="R515" t="s">
        <v>918</v>
      </c>
      <c r="S515" t="s">
        <v>991</v>
      </c>
      <c r="T515" t="s">
        <v>2674</v>
      </c>
      <c r="V515" t="s">
        <v>2675</v>
      </c>
      <c r="AE515" t="s">
        <v>478</v>
      </c>
      <c r="AL515" t="s">
        <v>919</v>
      </c>
      <c r="AM515" t="s">
        <v>919</v>
      </c>
      <c r="AO515" t="s">
        <v>480</v>
      </c>
      <c r="AP515" t="s">
        <v>481</v>
      </c>
      <c r="BF515" s="1"/>
      <c r="BH515" t="s">
        <v>1007</v>
      </c>
      <c r="BP515" t="s">
        <v>1489</v>
      </c>
    </row>
    <row r="516" spans="1:68" x14ac:dyDescent="0.25">
      <c r="A516" t="s">
        <v>5713</v>
      </c>
      <c r="B516" t="s">
        <v>474</v>
      </c>
      <c r="C516" t="s">
        <v>1486</v>
      </c>
      <c r="E516" t="s">
        <v>475</v>
      </c>
      <c r="G516" s="1" t="s">
        <v>2676</v>
      </c>
      <c r="H516" t="s">
        <v>476</v>
      </c>
      <c r="J516">
        <v>714010</v>
      </c>
      <c r="R516" t="s">
        <v>918</v>
      </c>
      <c r="S516" t="s">
        <v>991</v>
      </c>
      <c r="T516" t="s">
        <v>2677</v>
      </c>
      <c r="V516" t="s">
        <v>2678</v>
      </c>
      <c r="AE516" t="s">
        <v>478</v>
      </c>
      <c r="AL516" t="s">
        <v>919</v>
      </c>
      <c r="AM516" t="s">
        <v>919</v>
      </c>
      <c r="AO516" t="s">
        <v>480</v>
      </c>
      <c r="AP516" t="s">
        <v>481</v>
      </c>
      <c r="BF516" s="1"/>
      <c r="BH516" t="s">
        <v>1007</v>
      </c>
      <c r="BP516" t="s">
        <v>1489</v>
      </c>
    </row>
    <row r="517" spans="1:68" x14ac:dyDescent="0.25">
      <c r="A517" t="s">
        <v>5713</v>
      </c>
      <c r="B517" t="s">
        <v>474</v>
      </c>
      <c r="C517" t="s">
        <v>1486</v>
      </c>
      <c r="E517" t="s">
        <v>475</v>
      </c>
      <c r="G517" s="1" t="s">
        <v>2679</v>
      </c>
      <c r="H517" t="s">
        <v>476</v>
      </c>
      <c r="J517">
        <v>714010</v>
      </c>
      <c r="R517" t="s">
        <v>918</v>
      </c>
      <c r="S517" t="s">
        <v>991</v>
      </c>
      <c r="T517" t="s">
        <v>2680</v>
      </c>
      <c r="V517" t="s">
        <v>2681</v>
      </c>
      <c r="AE517" t="s">
        <v>478</v>
      </c>
      <c r="AL517" t="s">
        <v>919</v>
      </c>
      <c r="AM517" t="s">
        <v>919</v>
      </c>
      <c r="AO517" t="s">
        <v>480</v>
      </c>
      <c r="AP517" t="s">
        <v>481</v>
      </c>
      <c r="BF517" s="1"/>
      <c r="BH517" t="s">
        <v>1007</v>
      </c>
      <c r="BP517" t="s">
        <v>1489</v>
      </c>
    </row>
    <row r="518" spans="1:68" x14ac:dyDescent="0.25">
      <c r="A518" t="s">
        <v>5713</v>
      </c>
      <c r="B518" t="s">
        <v>474</v>
      </c>
      <c r="C518" t="s">
        <v>1486</v>
      </c>
      <c r="E518" t="s">
        <v>475</v>
      </c>
      <c r="G518" s="1" t="s">
        <v>2682</v>
      </c>
      <c r="H518" t="s">
        <v>476</v>
      </c>
      <c r="J518">
        <v>714010</v>
      </c>
      <c r="R518" t="s">
        <v>918</v>
      </c>
      <c r="S518" t="s">
        <v>991</v>
      </c>
      <c r="T518" t="s">
        <v>2683</v>
      </c>
      <c r="V518" t="s">
        <v>2684</v>
      </c>
      <c r="AE518" t="s">
        <v>478</v>
      </c>
      <c r="AL518" t="s">
        <v>919</v>
      </c>
      <c r="AM518" t="s">
        <v>919</v>
      </c>
      <c r="AO518" t="s">
        <v>480</v>
      </c>
      <c r="AP518" t="s">
        <v>481</v>
      </c>
      <c r="BF518" s="1"/>
      <c r="BH518" t="s">
        <v>1007</v>
      </c>
      <c r="BP518" t="s">
        <v>1489</v>
      </c>
    </row>
    <row r="519" spans="1:68" x14ac:dyDescent="0.25">
      <c r="A519" t="s">
        <v>5713</v>
      </c>
      <c r="B519" t="s">
        <v>474</v>
      </c>
      <c r="C519" t="s">
        <v>1486</v>
      </c>
      <c r="E519" t="s">
        <v>475</v>
      </c>
      <c r="G519" s="1" t="s">
        <v>2685</v>
      </c>
      <c r="H519" t="s">
        <v>476</v>
      </c>
      <c r="J519">
        <v>745010</v>
      </c>
      <c r="R519" t="s">
        <v>918</v>
      </c>
      <c r="S519" t="s">
        <v>991</v>
      </c>
      <c r="T519" t="s">
        <v>2686</v>
      </c>
      <c r="V519" t="s">
        <v>2687</v>
      </c>
      <c r="AE519" t="s">
        <v>478</v>
      </c>
      <c r="AL519" t="s">
        <v>919</v>
      </c>
      <c r="AM519" t="s">
        <v>919</v>
      </c>
      <c r="AO519" t="s">
        <v>480</v>
      </c>
      <c r="AP519" t="s">
        <v>481</v>
      </c>
      <c r="BF519" s="1"/>
      <c r="BH519" t="s">
        <v>1007</v>
      </c>
      <c r="BP519" t="s">
        <v>1489</v>
      </c>
    </row>
    <row r="520" spans="1:68" x14ac:dyDescent="0.25">
      <c r="A520" t="s">
        <v>5713</v>
      </c>
      <c r="B520" t="s">
        <v>474</v>
      </c>
      <c r="C520" t="s">
        <v>1486</v>
      </c>
      <c r="E520" t="s">
        <v>475</v>
      </c>
      <c r="G520" s="1" t="s">
        <v>2688</v>
      </c>
      <c r="H520" t="s">
        <v>476</v>
      </c>
      <c r="J520">
        <v>714010</v>
      </c>
      <c r="R520" t="s">
        <v>918</v>
      </c>
      <c r="S520" t="s">
        <v>991</v>
      </c>
      <c r="T520" t="s">
        <v>2689</v>
      </c>
      <c r="V520" t="s">
        <v>2690</v>
      </c>
      <c r="AE520" t="s">
        <v>478</v>
      </c>
      <c r="AL520" t="s">
        <v>919</v>
      </c>
      <c r="AM520" t="s">
        <v>919</v>
      </c>
      <c r="AO520" t="s">
        <v>480</v>
      </c>
      <c r="AP520" t="s">
        <v>481</v>
      </c>
      <c r="BF520" s="1"/>
      <c r="BH520" t="s">
        <v>1007</v>
      </c>
      <c r="BP520" t="s">
        <v>1489</v>
      </c>
    </row>
    <row r="521" spans="1:68" x14ac:dyDescent="0.25">
      <c r="A521" t="s">
        <v>5713</v>
      </c>
      <c r="B521" t="s">
        <v>474</v>
      </c>
      <c r="C521" t="s">
        <v>1486</v>
      </c>
      <c r="E521" t="s">
        <v>1008</v>
      </c>
      <c r="G521" s="1" t="s">
        <v>2691</v>
      </c>
      <c r="H521" t="s">
        <v>476</v>
      </c>
      <c r="J521">
        <v>714010</v>
      </c>
      <c r="R521" t="s">
        <v>918</v>
      </c>
      <c r="S521" t="s">
        <v>991</v>
      </c>
      <c r="T521" t="s">
        <v>2692</v>
      </c>
      <c r="V521" t="s">
        <v>2693</v>
      </c>
      <c r="AE521" t="s">
        <v>478</v>
      </c>
      <c r="AL521" t="s">
        <v>919</v>
      </c>
      <c r="AM521" t="s">
        <v>919</v>
      </c>
      <c r="AO521" t="s">
        <v>480</v>
      </c>
      <c r="AP521" t="s">
        <v>481</v>
      </c>
      <c r="BF521" s="1"/>
      <c r="BH521" t="s">
        <v>1007</v>
      </c>
      <c r="BP521" t="s">
        <v>1489</v>
      </c>
    </row>
    <row r="522" spans="1:68" x14ac:dyDescent="0.25">
      <c r="A522" t="s">
        <v>5713</v>
      </c>
      <c r="B522" t="s">
        <v>474</v>
      </c>
      <c r="C522" t="s">
        <v>1486</v>
      </c>
      <c r="E522" t="s">
        <v>1008</v>
      </c>
      <c r="G522" s="1" t="s">
        <v>2694</v>
      </c>
      <c r="H522" t="s">
        <v>476</v>
      </c>
      <c r="J522">
        <v>714010</v>
      </c>
      <c r="R522" t="s">
        <v>918</v>
      </c>
      <c r="S522" t="s">
        <v>991</v>
      </c>
      <c r="T522" t="s">
        <v>2695</v>
      </c>
      <c r="V522" t="s">
        <v>2696</v>
      </c>
      <c r="AE522" t="s">
        <v>478</v>
      </c>
      <c r="AL522" t="s">
        <v>919</v>
      </c>
      <c r="AM522" t="s">
        <v>919</v>
      </c>
      <c r="AO522" t="s">
        <v>480</v>
      </c>
      <c r="AP522" t="s">
        <v>481</v>
      </c>
      <c r="BF522" s="1"/>
      <c r="BH522" t="s">
        <v>1007</v>
      </c>
      <c r="BP522" t="s">
        <v>1489</v>
      </c>
    </row>
    <row r="523" spans="1:68" x14ac:dyDescent="0.25">
      <c r="A523" t="s">
        <v>5713</v>
      </c>
      <c r="B523" t="s">
        <v>474</v>
      </c>
      <c r="C523" t="s">
        <v>1486</v>
      </c>
      <c r="E523" t="s">
        <v>1008</v>
      </c>
      <c r="G523" s="1" t="s">
        <v>2697</v>
      </c>
      <c r="H523" t="s">
        <v>476</v>
      </c>
      <c r="J523">
        <v>714010</v>
      </c>
      <c r="R523" t="s">
        <v>918</v>
      </c>
      <c r="S523" t="s">
        <v>991</v>
      </c>
      <c r="T523" t="s">
        <v>2698</v>
      </c>
      <c r="V523" t="s">
        <v>2699</v>
      </c>
      <c r="AE523" t="s">
        <v>478</v>
      </c>
      <c r="AL523" t="s">
        <v>919</v>
      </c>
      <c r="AM523" t="s">
        <v>919</v>
      </c>
      <c r="AO523" t="s">
        <v>480</v>
      </c>
      <c r="AP523" t="s">
        <v>481</v>
      </c>
      <c r="BF523" s="1"/>
      <c r="BH523" t="s">
        <v>1007</v>
      </c>
      <c r="BP523" t="s">
        <v>1489</v>
      </c>
    </row>
    <row r="524" spans="1:68" x14ac:dyDescent="0.25">
      <c r="A524" t="s">
        <v>5713</v>
      </c>
      <c r="B524" t="s">
        <v>474</v>
      </c>
      <c r="C524" t="s">
        <v>1486</v>
      </c>
      <c r="E524" t="s">
        <v>475</v>
      </c>
      <c r="G524" s="1" t="s">
        <v>2700</v>
      </c>
      <c r="H524" t="s">
        <v>476</v>
      </c>
      <c r="J524">
        <v>745010</v>
      </c>
      <c r="R524" t="s">
        <v>918</v>
      </c>
      <c r="S524" t="s">
        <v>991</v>
      </c>
      <c r="T524" t="s">
        <v>2658</v>
      </c>
      <c r="V524" t="s">
        <v>2701</v>
      </c>
      <c r="AE524" t="s">
        <v>478</v>
      </c>
      <c r="AL524" t="s">
        <v>919</v>
      </c>
      <c r="AM524" t="s">
        <v>919</v>
      </c>
      <c r="AO524" t="s">
        <v>480</v>
      </c>
      <c r="AP524" t="s">
        <v>481</v>
      </c>
      <c r="BF524" s="1"/>
      <c r="BH524" t="s">
        <v>1007</v>
      </c>
      <c r="BP524" t="s">
        <v>1489</v>
      </c>
    </row>
    <row r="525" spans="1:68" x14ac:dyDescent="0.25">
      <c r="A525" t="s">
        <v>5713</v>
      </c>
      <c r="B525" t="s">
        <v>474</v>
      </c>
      <c r="C525" t="s">
        <v>1486</v>
      </c>
      <c r="E525" t="s">
        <v>475</v>
      </c>
      <c r="G525" s="1" t="s">
        <v>2702</v>
      </c>
      <c r="H525" t="s">
        <v>476</v>
      </c>
      <c r="J525">
        <v>745010</v>
      </c>
      <c r="R525" t="s">
        <v>918</v>
      </c>
      <c r="S525" t="s">
        <v>991</v>
      </c>
      <c r="T525" t="s">
        <v>1182</v>
      </c>
      <c r="V525" t="s">
        <v>2703</v>
      </c>
      <c r="AE525" t="s">
        <v>478</v>
      </c>
      <c r="AL525" t="s">
        <v>919</v>
      </c>
      <c r="AM525" t="s">
        <v>919</v>
      </c>
      <c r="AO525" t="s">
        <v>480</v>
      </c>
      <c r="AP525" t="s">
        <v>481</v>
      </c>
      <c r="BF525" s="1"/>
      <c r="BH525" t="s">
        <v>1007</v>
      </c>
      <c r="BP525" t="s">
        <v>1489</v>
      </c>
    </row>
    <row r="526" spans="1:68" x14ac:dyDescent="0.25">
      <c r="A526" t="s">
        <v>5713</v>
      </c>
      <c r="B526" t="s">
        <v>474</v>
      </c>
      <c r="C526" t="s">
        <v>2704</v>
      </c>
      <c r="E526" t="s">
        <v>480</v>
      </c>
      <c r="G526" s="1" t="s">
        <v>2705</v>
      </c>
      <c r="H526" t="s">
        <v>476</v>
      </c>
      <c r="J526">
        <v>718899</v>
      </c>
      <c r="R526" t="s">
        <v>918</v>
      </c>
      <c r="S526" t="s">
        <v>2706</v>
      </c>
      <c r="T526" t="s">
        <v>2707</v>
      </c>
      <c r="V526" t="s">
        <v>2708</v>
      </c>
      <c r="AE526" t="s">
        <v>478</v>
      </c>
      <c r="AL526" t="s">
        <v>919</v>
      </c>
      <c r="AM526" t="s">
        <v>919</v>
      </c>
      <c r="AO526" t="s">
        <v>480</v>
      </c>
      <c r="AP526" t="s">
        <v>481</v>
      </c>
      <c r="BF526" s="1"/>
      <c r="BH526" t="s">
        <v>1010</v>
      </c>
      <c r="BP526" t="s">
        <v>1489</v>
      </c>
    </row>
    <row r="527" spans="1:68" x14ac:dyDescent="0.25">
      <c r="A527" t="s">
        <v>5713</v>
      </c>
      <c r="B527" t="s">
        <v>474</v>
      </c>
      <c r="C527" t="s">
        <v>2704</v>
      </c>
      <c r="E527" t="s">
        <v>1008</v>
      </c>
      <c r="G527" s="1" t="s">
        <v>2709</v>
      </c>
      <c r="H527" t="s">
        <v>476</v>
      </c>
      <c r="J527">
        <v>700000</v>
      </c>
      <c r="R527" t="s">
        <v>918</v>
      </c>
      <c r="S527" t="s">
        <v>2710</v>
      </c>
      <c r="T527" t="s">
        <v>2711</v>
      </c>
      <c r="V527" t="s">
        <v>2712</v>
      </c>
      <c r="AE527" t="s">
        <v>478</v>
      </c>
      <c r="AL527" t="s">
        <v>919</v>
      </c>
      <c r="AM527" t="s">
        <v>919</v>
      </c>
      <c r="AO527" t="s">
        <v>480</v>
      </c>
      <c r="AP527" t="s">
        <v>481</v>
      </c>
      <c r="BF527" s="1"/>
      <c r="BH527" t="s">
        <v>1010</v>
      </c>
      <c r="BP527" t="s">
        <v>1489</v>
      </c>
    </row>
    <row r="528" spans="1:68" x14ac:dyDescent="0.25">
      <c r="A528" t="s">
        <v>5713</v>
      </c>
      <c r="B528" t="s">
        <v>474</v>
      </c>
      <c r="C528" t="s">
        <v>2704</v>
      </c>
      <c r="E528" t="s">
        <v>475</v>
      </c>
      <c r="G528" s="1" t="s">
        <v>2713</v>
      </c>
      <c r="H528" t="s">
        <v>476</v>
      </c>
      <c r="J528">
        <v>700000</v>
      </c>
      <c r="R528" t="s">
        <v>918</v>
      </c>
      <c r="S528" t="s">
        <v>2714</v>
      </c>
      <c r="T528" t="s">
        <v>2715</v>
      </c>
      <c r="V528" t="s">
        <v>2716</v>
      </c>
      <c r="AE528" t="s">
        <v>478</v>
      </c>
      <c r="AL528" t="s">
        <v>919</v>
      </c>
      <c r="AM528" t="s">
        <v>919</v>
      </c>
      <c r="AO528" t="s">
        <v>480</v>
      </c>
      <c r="AP528" t="s">
        <v>481</v>
      </c>
      <c r="BF528" s="1"/>
      <c r="BH528" t="s">
        <v>1010</v>
      </c>
      <c r="BP528" t="s">
        <v>1489</v>
      </c>
    </row>
    <row r="529" spans="1:68" x14ac:dyDescent="0.25">
      <c r="A529" t="s">
        <v>5713</v>
      </c>
      <c r="B529" t="s">
        <v>474</v>
      </c>
      <c r="C529" t="s">
        <v>2704</v>
      </c>
      <c r="E529" t="s">
        <v>1008</v>
      </c>
      <c r="G529" s="1" t="s">
        <v>2717</v>
      </c>
      <c r="H529" t="s">
        <v>476</v>
      </c>
      <c r="J529">
        <v>700000</v>
      </c>
      <c r="R529" t="s">
        <v>918</v>
      </c>
      <c r="S529" t="s">
        <v>2718</v>
      </c>
      <c r="T529" t="s">
        <v>2719</v>
      </c>
      <c r="V529" t="s">
        <v>2720</v>
      </c>
      <c r="AE529" t="s">
        <v>478</v>
      </c>
      <c r="AL529" t="s">
        <v>919</v>
      </c>
      <c r="AM529" t="s">
        <v>919</v>
      </c>
      <c r="AO529" t="s">
        <v>480</v>
      </c>
      <c r="AP529" t="s">
        <v>481</v>
      </c>
      <c r="BF529" s="1"/>
      <c r="BH529" t="s">
        <v>1010</v>
      </c>
      <c r="BP529" t="s">
        <v>1489</v>
      </c>
    </row>
    <row r="530" spans="1:68" x14ac:dyDescent="0.25">
      <c r="A530" t="s">
        <v>5713</v>
      </c>
      <c r="B530" t="s">
        <v>474</v>
      </c>
      <c r="C530" t="s">
        <v>2704</v>
      </c>
      <c r="E530" t="s">
        <v>475</v>
      </c>
      <c r="G530" s="1" t="s">
        <v>2721</v>
      </c>
      <c r="H530" t="s">
        <v>476</v>
      </c>
      <c r="J530">
        <v>700000</v>
      </c>
      <c r="R530" t="s">
        <v>918</v>
      </c>
      <c r="S530" t="s">
        <v>2722</v>
      </c>
      <c r="T530" t="s">
        <v>2723</v>
      </c>
      <c r="V530" t="s">
        <v>2724</v>
      </c>
      <c r="AE530" t="s">
        <v>478</v>
      </c>
      <c r="AL530" t="s">
        <v>919</v>
      </c>
      <c r="AM530" t="s">
        <v>919</v>
      </c>
      <c r="AO530" t="s">
        <v>480</v>
      </c>
      <c r="AP530" t="s">
        <v>481</v>
      </c>
      <c r="BF530" s="1"/>
      <c r="BH530" t="s">
        <v>1010</v>
      </c>
      <c r="BP530" t="s">
        <v>1489</v>
      </c>
    </row>
    <row r="531" spans="1:68" x14ac:dyDescent="0.25">
      <c r="A531" t="s">
        <v>5713</v>
      </c>
      <c r="B531" t="s">
        <v>474</v>
      </c>
      <c r="C531" t="s">
        <v>2066</v>
      </c>
      <c r="E531" t="s">
        <v>475</v>
      </c>
      <c r="G531" s="1" t="s">
        <v>2725</v>
      </c>
      <c r="H531" t="s">
        <v>492</v>
      </c>
      <c r="J531">
        <v>745010</v>
      </c>
      <c r="R531" t="s">
        <v>918</v>
      </c>
      <c r="S531" t="s">
        <v>991</v>
      </c>
      <c r="T531" t="s">
        <v>2726</v>
      </c>
      <c r="V531" t="s">
        <v>2727</v>
      </c>
      <c r="W531" t="s">
        <v>235</v>
      </c>
      <c r="AE531" t="s">
        <v>478</v>
      </c>
      <c r="AL531" t="s">
        <v>919</v>
      </c>
      <c r="AM531" t="s">
        <v>919</v>
      </c>
      <c r="AO531" t="s">
        <v>480</v>
      </c>
      <c r="AP531" t="s">
        <v>481</v>
      </c>
      <c r="AS531" t="s">
        <v>483</v>
      </c>
      <c r="AT531" t="s">
        <v>484</v>
      </c>
      <c r="AU531" t="s">
        <v>130</v>
      </c>
      <c r="AW531" t="s">
        <v>486</v>
      </c>
      <c r="BF531" s="1"/>
      <c r="BG531" t="s">
        <v>266</v>
      </c>
      <c r="BH531" t="s">
        <v>1010</v>
      </c>
      <c r="BP531" t="s">
        <v>1489</v>
      </c>
    </row>
    <row r="532" spans="1:68" x14ac:dyDescent="0.25">
      <c r="A532" t="s">
        <v>5713</v>
      </c>
      <c r="B532" t="s">
        <v>474</v>
      </c>
      <c r="C532" t="s">
        <v>1990</v>
      </c>
      <c r="E532" t="s">
        <v>475</v>
      </c>
      <c r="G532" s="1" t="s">
        <v>2728</v>
      </c>
      <c r="H532" t="s">
        <v>492</v>
      </c>
      <c r="J532">
        <v>745010</v>
      </c>
      <c r="R532" t="s">
        <v>918</v>
      </c>
      <c r="S532" t="s">
        <v>991</v>
      </c>
      <c r="T532" t="s">
        <v>2729</v>
      </c>
      <c r="V532" t="s">
        <v>2730</v>
      </c>
      <c r="AE532" t="s">
        <v>478</v>
      </c>
      <c r="AL532" t="s">
        <v>919</v>
      </c>
      <c r="AM532" t="s">
        <v>919</v>
      </c>
      <c r="AO532" t="s">
        <v>480</v>
      </c>
      <c r="AP532" t="s">
        <v>481</v>
      </c>
      <c r="BF532" s="1"/>
      <c r="BH532" t="s">
        <v>1010</v>
      </c>
      <c r="BP532" t="s">
        <v>1489</v>
      </c>
    </row>
    <row r="533" spans="1:68" x14ac:dyDescent="0.25">
      <c r="A533" t="s">
        <v>5713</v>
      </c>
      <c r="B533" t="s">
        <v>474</v>
      </c>
      <c r="C533" t="s">
        <v>1990</v>
      </c>
      <c r="E533" t="s">
        <v>475</v>
      </c>
      <c r="G533" s="1" t="s">
        <v>2731</v>
      </c>
      <c r="H533" t="s">
        <v>492</v>
      </c>
      <c r="J533">
        <v>745010</v>
      </c>
      <c r="R533" t="s">
        <v>918</v>
      </c>
      <c r="S533" t="s">
        <v>991</v>
      </c>
      <c r="T533" t="s">
        <v>1011</v>
      </c>
      <c r="V533" t="s">
        <v>2732</v>
      </c>
      <c r="AE533" t="s">
        <v>478</v>
      </c>
      <c r="AL533" t="s">
        <v>919</v>
      </c>
      <c r="AM533" t="s">
        <v>919</v>
      </c>
      <c r="AO533" t="s">
        <v>480</v>
      </c>
      <c r="AP533" t="s">
        <v>481</v>
      </c>
      <c r="BF533" s="1"/>
      <c r="BH533" t="s">
        <v>1010</v>
      </c>
      <c r="BP533" t="s">
        <v>1489</v>
      </c>
    </row>
    <row r="534" spans="1:68" x14ac:dyDescent="0.25">
      <c r="A534" t="s">
        <v>5713</v>
      </c>
      <c r="B534" t="s">
        <v>474</v>
      </c>
      <c r="C534" t="s">
        <v>1487</v>
      </c>
      <c r="E534" t="s">
        <v>475</v>
      </c>
      <c r="G534" s="1" t="s">
        <v>2733</v>
      </c>
      <c r="H534" t="s">
        <v>476</v>
      </c>
      <c r="J534">
        <v>700000</v>
      </c>
      <c r="R534" t="s">
        <v>918</v>
      </c>
      <c r="S534" t="s">
        <v>2734</v>
      </c>
      <c r="T534" t="s">
        <v>2735</v>
      </c>
      <c r="V534" t="s">
        <v>2736</v>
      </c>
      <c r="AE534" t="s">
        <v>478</v>
      </c>
      <c r="AL534" t="s">
        <v>919</v>
      </c>
      <c r="AM534" t="s">
        <v>919</v>
      </c>
      <c r="AO534" t="s">
        <v>480</v>
      </c>
      <c r="AP534" t="s">
        <v>481</v>
      </c>
      <c r="BF534" s="1"/>
      <c r="BH534" t="s">
        <v>1010</v>
      </c>
      <c r="BP534" t="s">
        <v>1489</v>
      </c>
    </row>
    <row r="535" spans="1:68" x14ac:dyDescent="0.25">
      <c r="A535" t="s">
        <v>5713</v>
      </c>
      <c r="B535" t="s">
        <v>474</v>
      </c>
      <c r="C535" t="s">
        <v>1486</v>
      </c>
      <c r="E535" t="s">
        <v>475</v>
      </c>
      <c r="G535" s="1" t="s">
        <v>2737</v>
      </c>
      <c r="H535" t="s">
        <v>492</v>
      </c>
      <c r="J535">
        <v>745010</v>
      </c>
      <c r="R535" t="s">
        <v>918</v>
      </c>
      <c r="S535" t="s">
        <v>991</v>
      </c>
      <c r="T535" t="s">
        <v>2738</v>
      </c>
      <c r="V535" t="s">
        <v>2739</v>
      </c>
      <c r="AE535" t="s">
        <v>478</v>
      </c>
      <c r="AL535" t="s">
        <v>919</v>
      </c>
      <c r="AM535" t="s">
        <v>919</v>
      </c>
      <c r="AO535" t="s">
        <v>480</v>
      </c>
      <c r="AP535" t="s">
        <v>481</v>
      </c>
      <c r="AW535" t="s">
        <v>486</v>
      </c>
      <c r="BF535" s="1"/>
      <c r="BH535" t="s">
        <v>1010</v>
      </c>
      <c r="BP535" t="s">
        <v>1489</v>
      </c>
    </row>
    <row r="536" spans="1:68" x14ac:dyDescent="0.25">
      <c r="A536" t="s">
        <v>5713</v>
      </c>
      <c r="B536" t="s">
        <v>474</v>
      </c>
      <c r="C536" t="s">
        <v>2342</v>
      </c>
      <c r="E536" t="s">
        <v>2740</v>
      </c>
      <c r="G536" s="1" t="s">
        <v>2741</v>
      </c>
      <c r="H536" t="s">
        <v>492</v>
      </c>
      <c r="J536">
        <v>745010</v>
      </c>
      <c r="R536" t="s">
        <v>918</v>
      </c>
      <c r="S536" t="s">
        <v>2742</v>
      </c>
      <c r="T536" t="s">
        <v>2743</v>
      </c>
      <c r="V536" t="s">
        <v>2744</v>
      </c>
      <c r="AE536" t="s">
        <v>478</v>
      </c>
      <c r="AL536" t="s">
        <v>919</v>
      </c>
      <c r="AM536" t="s">
        <v>919</v>
      </c>
      <c r="AO536" t="s">
        <v>480</v>
      </c>
      <c r="AP536" t="s">
        <v>481</v>
      </c>
      <c r="BF536" s="1"/>
      <c r="BH536" t="s">
        <v>1013</v>
      </c>
      <c r="BP536" t="s">
        <v>1489</v>
      </c>
    </row>
    <row r="537" spans="1:68" x14ac:dyDescent="0.25">
      <c r="A537" t="s">
        <v>5713</v>
      </c>
      <c r="B537" t="s">
        <v>474</v>
      </c>
      <c r="C537" t="s">
        <v>2223</v>
      </c>
      <c r="E537" t="s">
        <v>1008</v>
      </c>
      <c r="G537" s="1" t="s">
        <v>2745</v>
      </c>
      <c r="H537" t="s">
        <v>492</v>
      </c>
      <c r="J537">
        <v>714010</v>
      </c>
      <c r="R537" t="s">
        <v>918</v>
      </c>
      <c r="S537" t="s">
        <v>991</v>
      </c>
      <c r="T537" t="s">
        <v>2746</v>
      </c>
      <c r="V537" t="s">
        <v>2747</v>
      </c>
      <c r="AE537" t="s">
        <v>478</v>
      </c>
      <c r="AL537" t="s">
        <v>919</v>
      </c>
      <c r="AM537" t="s">
        <v>919</v>
      </c>
      <c r="AO537" t="s">
        <v>480</v>
      </c>
      <c r="AP537" t="s">
        <v>481</v>
      </c>
      <c r="BF537" s="1"/>
      <c r="BH537" t="s">
        <v>1013</v>
      </c>
      <c r="BP537" t="s">
        <v>1489</v>
      </c>
    </row>
    <row r="538" spans="1:68" x14ac:dyDescent="0.25">
      <c r="A538" t="s">
        <v>5713</v>
      </c>
      <c r="B538" t="s">
        <v>474</v>
      </c>
      <c r="C538" t="s">
        <v>2342</v>
      </c>
      <c r="E538" t="s">
        <v>1008</v>
      </c>
      <c r="G538" s="1" t="s">
        <v>2748</v>
      </c>
      <c r="H538" t="s">
        <v>492</v>
      </c>
      <c r="J538">
        <v>714010</v>
      </c>
      <c r="R538" t="s">
        <v>918</v>
      </c>
      <c r="S538" t="s">
        <v>991</v>
      </c>
      <c r="T538" t="s">
        <v>2749</v>
      </c>
      <c r="V538" t="s">
        <v>2750</v>
      </c>
      <c r="AE538" t="s">
        <v>478</v>
      </c>
      <c r="AL538" t="s">
        <v>919</v>
      </c>
      <c r="AM538" t="s">
        <v>919</v>
      </c>
      <c r="AO538" t="s">
        <v>480</v>
      </c>
      <c r="AP538" t="s">
        <v>481</v>
      </c>
      <c r="BF538" s="1"/>
      <c r="BH538" t="s">
        <v>1013</v>
      </c>
      <c r="BP538" t="s">
        <v>1489</v>
      </c>
    </row>
    <row r="539" spans="1:68" x14ac:dyDescent="0.25">
      <c r="A539" t="s">
        <v>5713</v>
      </c>
      <c r="B539" t="s">
        <v>474</v>
      </c>
      <c r="C539" t="s">
        <v>2342</v>
      </c>
      <c r="E539" t="s">
        <v>1008</v>
      </c>
      <c r="G539" s="1" t="s">
        <v>2751</v>
      </c>
      <c r="H539" t="s">
        <v>492</v>
      </c>
      <c r="J539">
        <v>714010</v>
      </c>
      <c r="R539" t="s">
        <v>918</v>
      </c>
      <c r="S539" t="s">
        <v>991</v>
      </c>
      <c r="T539" t="s">
        <v>2752</v>
      </c>
      <c r="V539" t="s">
        <v>2753</v>
      </c>
      <c r="AE539" t="s">
        <v>478</v>
      </c>
      <c r="AL539" t="s">
        <v>919</v>
      </c>
      <c r="AM539" t="s">
        <v>919</v>
      </c>
      <c r="AO539" t="s">
        <v>480</v>
      </c>
      <c r="AP539" t="s">
        <v>481</v>
      </c>
      <c r="BF539" s="1"/>
      <c r="BH539" t="s">
        <v>1013</v>
      </c>
      <c r="BP539" t="s">
        <v>1489</v>
      </c>
    </row>
    <row r="540" spans="1:68" x14ac:dyDescent="0.25">
      <c r="A540" t="s">
        <v>5713</v>
      </c>
      <c r="B540" t="s">
        <v>474</v>
      </c>
      <c r="C540" t="s">
        <v>1504</v>
      </c>
      <c r="E540" t="s">
        <v>1008</v>
      </c>
      <c r="G540" s="1" t="s">
        <v>2754</v>
      </c>
      <c r="H540" t="s">
        <v>492</v>
      </c>
      <c r="J540">
        <v>714010</v>
      </c>
      <c r="R540" t="s">
        <v>918</v>
      </c>
      <c r="S540" t="s">
        <v>991</v>
      </c>
      <c r="T540" t="s">
        <v>2755</v>
      </c>
      <c r="V540" t="s">
        <v>2756</v>
      </c>
      <c r="AE540" t="s">
        <v>478</v>
      </c>
      <c r="AL540" t="s">
        <v>919</v>
      </c>
      <c r="AM540" t="s">
        <v>919</v>
      </c>
      <c r="AO540" t="s">
        <v>480</v>
      </c>
      <c r="AP540" t="s">
        <v>481</v>
      </c>
      <c r="BF540" s="1"/>
      <c r="BH540" t="s">
        <v>1013</v>
      </c>
      <c r="BP540" t="s">
        <v>1489</v>
      </c>
    </row>
    <row r="541" spans="1:68" x14ac:dyDescent="0.25">
      <c r="A541" t="s">
        <v>5713</v>
      </c>
      <c r="B541" t="s">
        <v>474</v>
      </c>
      <c r="C541" t="s">
        <v>1504</v>
      </c>
      <c r="E541" t="s">
        <v>1008</v>
      </c>
      <c r="G541" s="1" t="s">
        <v>2757</v>
      </c>
      <c r="H541" t="s">
        <v>492</v>
      </c>
      <c r="J541">
        <v>714010</v>
      </c>
      <c r="R541" t="s">
        <v>918</v>
      </c>
      <c r="S541" t="s">
        <v>991</v>
      </c>
      <c r="T541" t="s">
        <v>2758</v>
      </c>
      <c r="V541" t="s">
        <v>2756</v>
      </c>
      <c r="AE541" t="s">
        <v>478</v>
      </c>
      <c r="AL541" t="s">
        <v>919</v>
      </c>
      <c r="AM541" t="s">
        <v>919</v>
      </c>
      <c r="AO541" t="s">
        <v>480</v>
      </c>
      <c r="AP541" t="s">
        <v>481</v>
      </c>
      <c r="BF541" s="1"/>
      <c r="BH541" t="s">
        <v>1013</v>
      </c>
      <c r="BP541" t="s">
        <v>1489</v>
      </c>
    </row>
    <row r="542" spans="1:68" x14ac:dyDescent="0.25">
      <c r="A542" t="s">
        <v>5713</v>
      </c>
      <c r="B542" t="s">
        <v>474</v>
      </c>
      <c r="C542" t="s">
        <v>1504</v>
      </c>
      <c r="E542" t="s">
        <v>1008</v>
      </c>
      <c r="G542" s="1" t="s">
        <v>2759</v>
      </c>
      <c r="H542" t="s">
        <v>492</v>
      </c>
      <c r="J542">
        <v>714010</v>
      </c>
      <c r="R542" t="s">
        <v>918</v>
      </c>
      <c r="S542" t="s">
        <v>991</v>
      </c>
      <c r="T542" t="s">
        <v>2760</v>
      </c>
      <c r="V542" t="s">
        <v>2761</v>
      </c>
      <c r="AE542" t="s">
        <v>478</v>
      </c>
      <c r="AL542" t="s">
        <v>919</v>
      </c>
      <c r="AM542" t="s">
        <v>919</v>
      </c>
      <c r="AO542" t="s">
        <v>480</v>
      </c>
      <c r="AP542" t="s">
        <v>481</v>
      </c>
      <c r="BF542" s="1"/>
      <c r="BH542" t="s">
        <v>1013</v>
      </c>
      <c r="BP542" t="s">
        <v>1489</v>
      </c>
    </row>
    <row r="543" spans="1:68" x14ac:dyDescent="0.25">
      <c r="A543" t="s">
        <v>5713</v>
      </c>
      <c r="B543" t="s">
        <v>474</v>
      </c>
      <c r="C543" t="s">
        <v>1504</v>
      </c>
      <c r="E543" t="s">
        <v>1008</v>
      </c>
      <c r="G543" s="1" t="s">
        <v>2762</v>
      </c>
      <c r="H543" t="s">
        <v>492</v>
      </c>
      <c r="J543">
        <v>714010</v>
      </c>
      <c r="R543" t="s">
        <v>918</v>
      </c>
      <c r="S543" t="s">
        <v>991</v>
      </c>
      <c r="T543" t="s">
        <v>2763</v>
      </c>
      <c r="V543" t="s">
        <v>2761</v>
      </c>
      <c r="AE543" t="s">
        <v>478</v>
      </c>
      <c r="AL543" t="s">
        <v>919</v>
      </c>
      <c r="AM543" t="s">
        <v>919</v>
      </c>
      <c r="AO543" t="s">
        <v>480</v>
      </c>
      <c r="AP543" t="s">
        <v>481</v>
      </c>
      <c r="BF543" s="1"/>
      <c r="BH543" t="s">
        <v>1013</v>
      </c>
      <c r="BP543" t="s">
        <v>1489</v>
      </c>
    </row>
    <row r="544" spans="1:68" x14ac:dyDescent="0.25">
      <c r="A544" t="s">
        <v>5713</v>
      </c>
      <c r="B544" t="s">
        <v>474</v>
      </c>
      <c r="C544" t="s">
        <v>1504</v>
      </c>
      <c r="E544" t="s">
        <v>1008</v>
      </c>
      <c r="G544" s="1" t="s">
        <v>2764</v>
      </c>
      <c r="H544" t="s">
        <v>492</v>
      </c>
      <c r="J544">
        <v>714010</v>
      </c>
      <c r="R544" t="s">
        <v>918</v>
      </c>
      <c r="S544" t="s">
        <v>991</v>
      </c>
      <c r="T544" t="s">
        <v>2765</v>
      </c>
      <c r="V544" t="s">
        <v>2766</v>
      </c>
      <c r="AE544" t="s">
        <v>478</v>
      </c>
      <c r="AL544" t="s">
        <v>919</v>
      </c>
      <c r="AM544" t="s">
        <v>919</v>
      </c>
      <c r="AO544" t="s">
        <v>480</v>
      </c>
      <c r="AP544" t="s">
        <v>481</v>
      </c>
      <c r="BF544" s="1"/>
      <c r="BH544" t="s">
        <v>1013</v>
      </c>
      <c r="BP544" t="s">
        <v>1489</v>
      </c>
    </row>
    <row r="545" spans="1:68" x14ac:dyDescent="0.25">
      <c r="A545" t="s">
        <v>5713</v>
      </c>
      <c r="B545" t="s">
        <v>474</v>
      </c>
      <c r="C545" t="s">
        <v>2223</v>
      </c>
      <c r="E545" t="s">
        <v>475</v>
      </c>
      <c r="G545" s="1" t="s">
        <v>2767</v>
      </c>
      <c r="H545" t="s">
        <v>492</v>
      </c>
      <c r="J545">
        <v>714010</v>
      </c>
      <c r="R545" t="s">
        <v>918</v>
      </c>
      <c r="S545" t="s">
        <v>991</v>
      </c>
      <c r="T545" t="s">
        <v>2768</v>
      </c>
      <c r="V545" t="s">
        <v>2769</v>
      </c>
      <c r="AE545" t="s">
        <v>478</v>
      </c>
      <c r="AL545" t="s">
        <v>919</v>
      </c>
      <c r="AM545" t="s">
        <v>919</v>
      </c>
      <c r="AO545" t="s">
        <v>480</v>
      </c>
      <c r="AP545" t="s">
        <v>481</v>
      </c>
      <c r="BF545" s="1"/>
      <c r="BH545" t="s">
        <v>1013</v>
      </c>
      <c r="BP545" t="s">
        <v>1489</v>
      </c>
    </row>
    <row r="546" spans="1:68" x14ac:dyDescent="0.25">
      <c r="A546" t="s">
        <v>5713</v>
      </c>
      <c r="B546" t="s">
        <v>474</v>
      </c>
      <c r="C546" t="s">
        <v>2259</v>
      </c>
      <c r="E546" t="s">
        <v>475</v>
      </c>
      <c r="G546" s="1" t="s">
        <v>2770</v>
      </c>
      <c r="H546" t="s">
        <v>492</v>
      </c>
      <c r="J546">
        <v>714010</v>
      </c>
      <c r="R546" t="s">
        <v>918</v>
      </c>
      <c r="S546" t="s">
        <v>991</v>
      </c>
      <c r="T546" t="s">
        <v>2771</v>
      </c>
      <c r="V546" t="s">
        <v>2772</v>
      </c>
      <c r="AE546" t="s">
        <v>478</v>
      </c>
      <c r="AL546" t="s">
        <v>919</v>
      </c>
      <c r="AM546" t="s">
        <v>919</v>
      </c>
      <c r="AO546" t="s">
        <v>480</v>
      </c>
      <c r="AP546" t="s">
        <v>481</v>
      </c>
      <c r="BF546" s="1"/>
      <c r="BH546" t="s">
        <v>1013</v>
      </c>
      <c r="BP546" t="s">
        <v>1489</v>
      </c>
    </row>
    <row r="547" spans="1:68" x14ac:dyDescent="0.25">
      <c r="A547" t="s">
        <v>5713</v>
      </c>
      <c r="B547" t="s">
        <v>474</v>
      </c>
      <c r="C547" t="s">
        <v>2259</v>
      </c>
      <c r="E547" t="s">
        <v>475</v>
      </c>
      <c r="G547" s="1" t="s">
        <v>2773</v>
      </c>
      <c r="H547" t="s">
        <v>492</v>
      </c>
      <c r="J547">
        <v>714010</v>
      </c>
      <c r="R547" t="s">
        <v>918</v>
      </c>
      <c r="S547" t="s">
        <v>991</v>
      </c>
      <c r="T547" t="s">
        <v>2774</v>
      </c>
      <c r="V547" t="s">
        <v>2775</v>
      </c>
      <c r="AE547" t="s">
        <v>478</v>
      </c>
      <c r="AL547" t="s">
        <v>919</v>
      </c>
      <c r="AM547" t="s">
        <v>919</v>
      </c>
      <c r="AO547" t="s">
        <v>480</v>
      </c>
      <c r="AP547" t="s">
        <v>481</v>
      </c>
      <c r="BF547" s="1"/>
      <c r="BH547" t="s">
        <v>1013</v>
      </c>
      <c r="BP547" t="s">
        <v>1489</v>
      </c>
    </row>
    <row r="548" spans="1:68" x14ac:dyDescent="0.25">
      <c r="A548" t="s">
        <v>5713</v>
      </c>
      <c r="B548" t="s">
        <v>474</v>
      </c>
      <c r="C548" t="s">
        <v>2259</v>
      </c>
      <c r="E548" t="s">
        <v>475</v>
      </c>
      <c r="G548" s="1" t="s">
        <v>2776</v>
      </c>
      <c r="H548" t="s">
        <v>492</v>
      </c>
      <c r="J548">
        <v>714010</v>
      </c>
      <c r="R548" t="s">
        <v>918</v>
      </c>
      <c r="S548" t="s">
        <v>991</v>
      </c>
      <c r="T548" t="s">
        <v>1020</v>
      </c>
      <c r="V548" t="s">
        <v>2777</v>
      </c>
      <c r="AE548" t="s">
        <v>478</v>
      </c>
      <c r="AL548" t="s">
        <v>919</v>
      </c>
      <c r="AM548" t="s">
        <v>919</v>
      </c>
      <c r="AO548" t="s">
        <v>480</v>
      </c>
      <c r="AP548" t="s">
        <v>481</v>
      </c>
      <c r="BF548" s="1"/>
      <c r="BH548" t="s">
        <v>1013</v>
      </c>
      <c r="BP548" t="s">
        <v>1489</v>
      </c>
    </row>
    <row r="549" spans="1:68" x14ac:dyDescent="0.25">
      <c r="A549" t="s">
        <v>5713</v>
      </c>
      <c r="B549" t="s">
        <v>474</v>
      </c>
      <c r="C549" t="s">
        <v>2259</v>
      </c>
      <c r="E549" t="s">
        <v>475</v>
      </c>
      <c r="G549" s="1" t="s">
        <v>2778</v>
      </c>
      <c r="H549" t="s">
        <v>492</v>
      </c>
      <c r="J549">
        <v>714010</v>
      </c>
      <c r="R549" t="s">
        <v>918</v>
      </c>
      <c r="S549" t="s">
        <v>991</v>
      </c>
      <c r="T549" t="s">
        <v>2592</v>
      </c>
      <c r="V549" t="s">
        <v>2779</v>
      </c>
      <c r="AE549" t="s">
        <v>478</v>
      </c>
      <c r="AL549" t="s">
        <v>919</v>
      </c>
      <c r="AM549" t="s">
        <v>919</v>
      </c>
      <c r="AO549" t="s">
        <v>480</v>
      </c>
      <c r="AP549" t="s">
        <v>481</v>
      </c>
      <c r="BF549" s="1"/>
      <c r="BH549" t="s">
        <v>1013</v>
      </c>
      <c r="BP549" t="s">
        <v>1489</v>
      </c>
    </row>
    <row r="550" spans="1:68" x14ac:dyDescent="0.25">
      <c r="A550" t="s">
        <v>5713</v>
      </c>
      <c r="B550" t="s">
        <v>474</v>
      </c>
      <c r="C550" t="s">
        <v>2780</v>
      </c>
      <c r="E550" t="s">
        <v>475</v>
      </c>
      <c r="G550" s="1" t="s">
        <v>2781</v>
      </c>
      <c r="H550" t="s">
        <v>492</v>
      </c>
      <c r="J550">
        <v>714010</v>
      </c>
      <c r="R550" t="s">
        <v>918</v>
      </c>
      <c r="S550" t="s">
        <v>991</v>
      </c>
      <c r="T550" t="s">
        <v>2782</v>
      </c>
      <c r="V550" t="s">
        <v>2783</v>
      </c>
      <c r="AE550" t="s">
        <v>478</v>
      </c>
      <c r="AL550" t="s">
        <v>919</v>
      </c>
      <c r="AM550" t="s">
        <v>919</v>
      </c>
      <c r="AO550" t="s">
        <v>480</v>
      </c>
      <c r="AP550" t="s">
        <v>481</v>
      </c>
      <c r="BF550" s="1"/>
      <c r="BH550" t="s">
        <v>1013</v>
      </c>
      <c r="BP550" t="s">
        <v>1489</v>
      </c>
    </row>
    <row r="551" spans="1:68" x14ac:dyDescent="0.25">
      <c r="A551" t="s">
        <v>5713</v>
      </c>
      <c r="B551" t="s">
        <v>474</v>
      </c>
      <c r="C551" t="s">
        <v>2018</v>
      </c>
      <c r="E551" t="s">
        <v>475</v>
      </c>
      <c r="G551" s="1" t="s">
        <v>2784</v>
      </c>
      <c r="H551" t="s">
        <v>492</v>
      </c>
      <c r="J551">
        <v>714010</v>
      </c>
      <c r="R551" t="s">
        <v>918</v>
      </c>
      <c r="S551" t="s">
        <v>991</v>
      </c>
      <c r="T551" t="s">
        <v>2785</v>
      </c>
      <c r="V551" t="s">
        <v>2786</v>
      </c>
      <c r="AE551" t="s">
        <v>478</v>
      </c>
      <c r="AL551" t="s">
        <v>919</v>
      </c>
      <c r="AM551" t="s">
        <v>919</v>
      </c>
      <c r="AO551" t="s">
        <v>480</v>
      </c>
      <c r="AP551" t="s">
        <v>481</v>
      </c>
      <c r="BF551" s="1"/>
      <c r="BH551" t="s">
        <v>1013</v>
      </c>
      <c r="BP551" t="s">
        <v>1489</v>
      </c>
    </row>
    <row r="552" spans="1:68" x14ac:dyDescent="0.25">
      <c r="A552" t="s">
        <v>5713</v>
      </c>
      <c r="B552" t="s">
        <v>474</v>
      </c>
      <c r="C552" t="s">
        <v>2066</v>
      </c>
      <c r="E552" t="s">
        <v>475</v>
      </c>
      <c r="G552" s="1" t="s">
        <v>2787</v>
      </c>
      <c r="H552" t="s">
        <v>492</v>
      </c>
      <c r="J552">
        <v>714010</v>
      </c>
      <c r="R552" t="s">
        <v>918</v>
      </c>
      <c r="S552" t="s">
        <v>991</v>
      </c>
      <c r="T552" t="s">
        <v>2788</v>
      </c>
      <c r="V552" t="s">
        <v>2789</v>
      </c>
      <c r="AE552" t="s">
        <v>478</v>
      </c>
      <c r="AL552" t="s">
        <v>919</v>
      </c>
      <c r="AM552" t="s">
        <v>919</v>
      </c>
      <c r="AO552" t="s">
        <v>480</v>
      </c>
      <c r="AP552" t="s">
        <v>481</v>
      </c>
      <c r="BF552" s="1"/>
      <c r="BH552" t="s">
        <v>1013</v>
      </c>
      <c r="BP552" t="s">
        <v>1489</v>
      </c>
    </row>
    <row r="553" spans="1:68" x14ac:dyDescent="0.25">
      <c r="A553" t="s">
        <v>5713</v>
      </c>
      <c r="B553" t="s">
        <v>474</v>
      </c>
      <c r="C553" t="s">
        <v>2066</v>
      </c>
      <c r="E553" t="s">
        <v>475</v>
      </c>
      <c r="G553" s="1" t="s">
        <v>2790</v>
      </c>
      <c r="H553" t="s">
        <v>492</v>
      </c>
      <c r="J553">
        <v>714010</v>
      </c>
      <c r="R553" t="s">
        <v>918</v>
      </c>
      <c r="S553" t="s">
        <v>991</v>
      </c>
      <c r="T553" t="s">
        <v>2788</v>
      </c>
      <c r="V553" t="s">
        <v>2791</v>
      </c>
      <c r="AE553" t="s">
        <v>478</v>
      </c>
      <c r="AL553" t="s">
        <v>919</v>
      </c>
      <c r="AM553" t="s">
        <v>919</v>
      </c>
      <c r="AO553" t="s">
        <v>480</v>
      </c>
      <c r="AP553" t="s">
        <v>481</v>
      </c>
      <c r="BF553" s="1"/>
      <c r="BH553" t="s">
        <v>1013</v>
      </c>
      <c r="BP553" t="s">
        <v>1489</v>
      </c>
    </row>
    <row r="554" spans="1:68" x14ac:dyDescent="0.25">
      <c r="A554" t="s">
        <v>5713</v>
      </c>
      <c r="B554" t="s">
        <v>474</v>
      </c>
      <c r="C554" t="s">
        <v>2066</v>
      </c>
      <c r="E554" t="s">
        <v>475</v>
      </c>
      <c r="G554" s="1" t="s">
        <v>2792</v>
      </c>
      <c r="H554" t="s">
        <v>492</v>
      </c>
      <c r="J554">
        <v>714010</v>
      </c>
      <c r="R554" t="s">
        <v>918</v>
      </c>
      <c r="S554" t="s">
        <v>991</v>
      </c>
      <c r="T554" t="s">
        <v>2793</v>
      </c>
      <c r="V554" t="s">
        <v>2794</v>
      </c>
      <c r="AE554" t="s">
        <v>478</v>
      </c>
      <c r="AL554" t="s">
        <v>919</v>
      </c>
      <c r="AM554" t="s">
        <v>919</v>
      </c>
      <c r="AO554" t="s">
        <v>480</v>
      </c>
      <c r="AP554" t="s">
        <v>481</v>
      </c>
      <c r="BF554" s="1"/>
      <c r="BH554" t="s">
        <v>1013</v>
      </c>
      <c r="BP554" t="s">
        <v>1489</v>
      </c>
    </row>
    <row r="555" spans="1:68" x14ac:dyDescent="0.25">
      <c r="A555" t="s">
        <v>5713</v>
      </c>
      <c r="B555" t="s">
        <v>474</v>
      </c>
      <c r="C555" t="s">
        <v>2342</v>
      </c>
      <c r="E555" t="s">
        <v>475</v>
      </c>
      <c r="G555" s="1" t="s">
        <v>2795</v>
      </c>
      <c r="H555" t="s">
        <v>492</v>
      </c>
      <c r="J555">
        <v>714010</v>
      </c>
      <c r="R555" t="s">
        <v>918</v>
      </c>
      <c r="S555" t="s">
        <v>991</v>
      </c>
      <c r="T555" t="s">
        <v>2796</v>
      </c>
      <c r="V555" t="s">
        <v>2797</v>
      </c>
      <c r="AE555" t="s">
        <v>478</v>
      </c>
      <c r="AL555" t="s">
        <v>919</v>
      </c>
      <c r="AM555" t="s">
        <v>919</v>
      </c>
      <c r="AO555" t="s">
        <v>480</v>
      </c>
      <c r="AP555" t="s">
        <v>481</v>
      </c>
      <c r="BF555" s="1"/>
      <c r="BH555" t="s">
        <v>1013</v>
      </c>
      <c r="BP555" t="s">
        <v>1489</v>
      </c>
    </row>
    <row r="556" spans="1:68" x14ac:dyDescent="0.25">
      <c r="A556" t="s">
        <v>5713</v>
      </c>
      <c r="B556" t="s">
        <v>474</v>
      </c>
      <c r="C556" t="s">
        <v>1679</v>
      </c>
      <c r="E556" t="s">
        <v>475</v>
      </c>
      <c r="G556" s="1" t="s">
        <v>2798</v>
      </c>
      <c r="H556" t="s">
        <v>492</v>
      </c>
      <c r="J556">
        <v>714010</v>
      </c>
      <c r="R556" t="s">
        <v>918</v>
      </c>
      <c r="S556" t="s">
        <v>991</v>
      </c>
      <c r="T556" t="s">
        <v>2799</v>
      </c>
      <c r="V556" t="s">
        <v>2800</v>
      </c>
      <c r="AE556" t="s">
        <v>478</v>
      </c>
      <c r="AL556" t="s">
        <v>919</v>
      </c>
      <c r="AM556" t="s">
        <v>919</v>
      </c>
      <c r="AO556" t="s">
        <v>480</v>
      </c>
      <c r="AP556" t="s">
        <v>481</v>
      </c>
      <c r="BF556" s="1"/>
      <c r="BH556" t="s">
        <v>1013</v>
      </c>
      <c r="BP556" t="s">
        <v>1489</v>
      </c>
    </row>
    <row r="557" spans="1:68" x14ac:dyDescent="0.25">
      <c r="A557" t="s">
        <v>5713</v>
      </c>
      <c r="B557" t="s">
        <v>474</v>
      </c>
      <c r="C557" t="s">
        <v>1679</v>
      </c>
      <c r="E557" t="s">
        <v>475</v>
      </c>
      <c r="G557" s="1" t="s">
        <v>2801</v>
      </c>
      <c r="H557" t="s">
        <v>492</v>
      </c>
      <c r="J557">
        <v>714010</v>
      </c>
      <c r="R557" t="s">
        <v>918</v>
      </c>
      <c r="S557" t="s">
        <v>991</v>
      </c>
      <c r="T557" t="s">
        <v>2802</v>
      </c>
      <c r="V557" t="s">
        <v>2803</v>
      </c>
      <c r="AE557" t="s">
        <v>478</v>
      </c>
      <c r="AL557" t="s">
        <v>919</v>
      </c>
      <c r="AM557" t="s">
        <v>919</v>
      </c>
      <c r="AO557" t="s">
        <v>480</v>
      </c>
      <c r="AP557" t="s">
        <v>481</v>
      </c>
      <c r="BF557" s="1"/>
      <c r="BH557" t="s">
        <v>1013</v>
      </c>
      <c r="BP557" t="s">
        <v>1489</v>
      </c>
    </row>
    <row r="558" spans="1:68" x14ac:dyDescent="0.25">
      <c r="A558" t="s">
        <v>5713</v>
      </c>
      <c r="B558" t="s">
        <v>474</v>
      </c>
      <c r="C558" t="s">
        <v>1679</v>
      </c>
      <c r="E558" t="s">
        <v>475</v>
      </c>
      <c r="G558" s="1" t="s">
        <v>2804</v>
      </c>
      <c r="H558" t="s">
        <v>492</v>
      </c>
      <c r="J558">
        <v>714010</v>
      </c>
      <c r="R558" t="s">
        <v>918</v>
      </c>
      <c r="S558" t="s">
        <v>991</v>
      </c>
      <c r="T558" t="s">
        <v>2805</v>
      </c>
      <c r="V558" t="s">
        <v>2806</v>
      </c>
      <c r="AE558" t="s">
        <v>478</v>
      </c>
      <c r="AL558" t="s">
        <v>919</v>
      </c>
      <c r="AM558" t="s">
        <v>919</v>
      </c>
      <c r="AO558" t="s">
        <v>480</v>
      </c>
      <c r="AP558" t="s">
        <v>481</v>
      </c>
      <c r="BF558" s="1"/>
      <c r="BH558" t="s">
        <v>1013</v>
      </c>
      <c r="BP558" t="s">
        <v>1489</v>
      </c>
    </row>
    <row r="559" spans="1:68" x14ac:dyDescent="0.25">
      <c r="A559" t="s">
        <v>5713</v>
      </c>
      <c r="B559" t="s">
        <v>474</v>
      </c>
      <c r="C559" t="s">
        <v>1504</v>
      </c>
      <c r="E559" t="s">
        <v>475</v>
      </c>
      <c r="G559" s="1" t="s">
        <v>2807</v>
      </c>
      <c r="H559" t="s">
        <v>492</v>
      </c>
      <c r="J559">
        <v>714010</v>
      </c>
      <c r="R559" t="s">
        <v>918</v>
      </c>
      <c r="S559" t="s">
        <v>991</v>
      </c>
      <c r="T559" t="s">
        <v>2808</v>
      </c>
      <c r="V559" t="s">
        <v>2809</v>
      </c>
      <c r="AE559" t="s">
        <v>478</v>
      </c>
      <c r="AL559" t="s">
        <v>919</v>
      </c>
      <c r="AM559" t="s">
        <v>919</v>
      </c>
      <c r="AO559" t="s">
        <v>480</v>
      </c>
      <c r="AP559" t="s">
        <v>481</v>
      </c>
      <c r="BF559" s="1"/>
      <c r="BH559" t="s">
        <v>1013</v>
      </c>
      <c r="BP559" t="s">
        <v>1489</v>
      </c>
    </row>
    <row r="560" spans="1:68" x14ac:dyDescent="0.25">
      <c r="A560" t="s">
        <v>5713</v>
      </c>
      <c r="B560" t="s">
        <v>474</v>
      </c>
      <c r="C560" t="s">
        <v>1504</v>
      </c>
      <c r="E560" t="s">
        <v>475</v>
      </c>
      <c r="G560" s="1" t="s">
        <v>2810</v>
      </c>
      <c r="H560" t="s">
        <v>492</v>
      </c>
      <c r="J560">
        <v>714010</v>
      </c>
      <c r="R560" t="s">
        <v>918</v>
      </c>
      <c r="S560" t="s">
        <v>991</v>
      </c>
      <c r="T560" t="s">
        <v>2811</v>
      </c>
      <c r="V560" t="s">
        <v>2812</v>
      </c>
      <c r="AE560" t="s">
        <v>478</v>
      </c>
      <c r="AL560" t="s">
        <v>919</v>
      </c>
      <c r="AM560" t="s">
        <v>919</v>
      </c>
      <c r="AO560" t="s">
        <v>480</v>
      </c>
      <c r="AP560" t="s">
        <v>481</v>
      </c>
      <c r="BF560" s="1"/>
      <c r="BH560" t="s">
        <v>1013</v>
      </c>
      <c r="BP560" t="s">
        <v>1489</v>
      </c>
    </row>
    <row r="561" spans="1:68" x14ac:dyDescent="0.25">
      <c r="A561" t="s">
        <v>5713</v>
      </c>
      <c r="B561" t="s">
        <v>474</v>
      </c>
      <c r="C561" t="s">
        <v>1504</v>
      </c>
      <c r="E561" t="s">
        <v>475</v>
      </c>
      <c r="G561" s="1" t="s">
        <v>2813</v>
      </c>
      <c r="H561" t="s">
        <v>492</v>
      </c>
      <c r="J561">
        <v>714010</v>
      </c>
      <c r="R561" t="s">
        <v>918</v>
      </c>
      <c r="S561" t="s">
        <v>991</v>
      </c>
      <c r="T561" t="s">
        <v>2814</v>
      </c>
      <c r="V561" t="s">
        <v>2815</v>
      </c>
      <c r="AE561" t="s">
        <v>478</v>
      </c>
      <c r="AL561" t="s">
        <v>919</v>
      </c>
      <c r="AM561" t="s">
        <v>919</v>
      </c>
      <c r="AO561" t="s">
        <v>480</v>
      </c>
      <c r="AP561" t="s">
        <v>481</v>
      </c>
      <c r="BF561" s="1"/>
      <c r="BH561" t="s">
        <v>1013</v>
      </c>
      <c r="BP561" t="s">
        <v>1489</v>
      </c>
    </row>
    <row r="562" spans="1:68" x14ac:dyDescent="0.25">
      <c r="A562" t="s">
        <v>5713</v>
      </c>
      <c r="B562" t="s">
        <v>474</v>
      </c>
      <c r="C562" t="s">
        <v>1504</v>
      </c>
      <c r="E562" t="s">
        <v>475</v>
      </c>
      <c r="G562" s="1" t="s">
        <v>2816</v>
      </c>
      <c r="H562" t="s">
        <v>492</v>
      </c>
      <c r="J562">
        <v>714010</v>
      </c>
      <c r="R562" t="s">
        <v>918</v>
      </c>
      <c r="S562" t="s">
        <v>991</v>
      </c>
      <c r="T562" t="s">
        <v>2817</v>
      </c>
      <c r="V562" t="s">
        <v>2818</v>
      </c>
      <c r="AE562" t="s">
        <v>478</v>
      </c>
      <c r="AL562" t="s">
        <v>919</v>
      </c>
      <c r="AM562" t="s">
        <v>919</v>
      </c>
      <c r="AO562" t="s">
        <v>480</v>
      </c>
      <c r="AP562" t="s">
        <v>481</v>
      </c>
      <c r="BF562" s="1"/>
      <c r="BH562" t="s">
        <v>1013</v>
      </c>
      <c r="BP562" t="s">
        <v>1489</v>
      </c>
    </row>
    <row r="563" spans="1:68" x14ac:dyDescent="0.25">
      <c r="A563" t="s">
        <v>5713</v>
      </c>
      <c r="B563" t="s">
        <v>474</v>
      </c>
      <c r="C563" t="s">
        <v>1504</v>
      </c>
      <c r="E563" t="s">
        <v>475</v>
      </c>
      <c r="G563" s="1" t="s">
        <v>2819</v>
      </c>
      <c r="H563" t="s">
        <v>492</v>
      </c>
      <c r="J563">
        <v>714010</v>
      </c>
      <c r="R563" t="s">
        <v>918</v>
      </c>
      <c r="S563" t="s">
        <v>991</v>
      </c>
      <c r="T563" t="s">
        <v>2820</v>
      </c>
      <c r="V563" t="s">
        <v>2821</v>
      </c>
      <c r="AE563" t="s">
        <v>478</v>
      </c>
      <c r="AL563" t="s">
        <v>919</v>
      </c>
      <c r="AM563" t="s">
        <v>919</v>
      </c>
      <c r="AO563" t="s">
        <v>480</v>
      </c>
      <c r="AP563" t="s">
        <v>481</v>
      </c>
      <c r="BF563" s="1"/>
      <c r="BH563" t="s">
        <v>1013</v>
      </c>
      <c r="BP563" t="s">
        <v>1489</v>
      </c>
    </row>
    <row r="564" spans="1:68" x14ac:dyDescent="0.25">
      <c r="A564" t="s">
        <v>5713</v>
      </c>
      <c r="B564" t="s">
        <v>474</v>
      </c>
      <c r="C564" t="s">
        <v>1504</v>
      </c>
      <c r="E564" t="s">
        <v>475</v>
      </c>
      <c r="G564" s="1" t="s">
        <v>2822</v>
      </c>
      <c r="H564" t="s">
        <v>492</v>
      </c>
      <c r="J564">
        <v>714010</v>
      </c>
      <c r="R564" t="s">
        <v>918</v>
      </c>
      <c r="S564" t="s">
        <v>991</v>
      </c>
      <c r="T564" t="s">
        <v>2823</v>
      </c>
      <c r="V564" t="s">
        <v>2824</v>
      </c>
      <c r="AE564" t="s">
        <v>478</v>
      </c>
      <c r="AL564" t="s">
        <v>919</v>
      </c>
      <c r="AM564" t="s">
        <v>919</v>
      </c>
      <c r="AO564" t="s">
        <v>480</v>
      </c>
      <c r="AP564" t="s">
        <v>481</v>
      </c>
      <c r="BF564" s="1"/>
      <c r="BH564" t="s">
        <v>1013</v>
      </c>
      <c r="BP564" t="s">
        <v>1489</v>
      </c>
    </row>
    <row r="565" spans="1:68" x14ac:dyDescent="0.25">
      <c r="A565" t="s">
        <v>5713</v>
      </c>
      <c r="B565" t="s">
        <v>474</v>
      </c>
      <c r="C565" t="s">
        <v>1504</v>
      </c>
      <c r="E565" t="s">
        <v>475</v>
      </c>
      <c r="G565" s="1" t="s">
        <v>2825</v>
      </c>
      <c r="H565" t="s">
        <v>492</v>
      </c>
      <c r="J565">
        <v>714010</v>
      </c>
      <c r="R565" t="s">
        <v>918</v>
      </c>
      <c r="S565" t="s">
        <v>991</v>
      </c>
      <c r="T565" t="s">
        <v>2826</v>
      </c>
      <c r="V565" t="s">
        <v>2827</v>
      </c>
      <c r="AE565" t="s">
        <v>478</v>
      </c>
      <c r="AL565" t="s">
        <v>919</v>
      </c>
      <c r="AM565" t="s">
        <v>919</v>
      </c>
      <c r="AO565" t="s">
        <v>480</v>
      </c>
      <c r="AP565" t="s">
        <v>481</v>
      </c>
      <c r="BF565" s="1"/>
      <c r="BH565" t="s">
        <v>1013</v>
      </c>
      <c r="BP565" t="s">
        <v>1489</v>
      </c>
    </row>
    <row r="566" spans="1:68" x14ac:dyDescent="0.25">
      <c r="A566" t="s">
        <v>5713</v>
      </c>
      <c r="B566" t="s">
        <v>474</v>
      </c>
      <c r="C566" t="s">
        <v>1504</v>
      </c>
      <c r="E566" t="s">
        <v>475</v>
      </c>
      <c r="G566" s="1" t="s">
        <v>2828</v>
      </c>
      <c r="H566" t="s">
        <v>492</v>
      </c>
      <c r="J566">
        <v>714010</v>
      </c>
      <c r="R566" t="s">
        <v>918</v>
      </c>
      <c r="S566" t="s">
        <v>991</v>
      </c>
      <c r="T566" t="s">
        <v>2829</v>
      </c>
      <c r="V566" t="s">
        <v>2830</v>
      </c>
      <c r="AE566" t="s">
        <v>478</v>
      </c>
      <c r="AL566" t="s">
        <v>919</v>
      </c>
      <c r="AM566" t="s">
        <v>919</v>
      </c>
      <c r="AO566" t="s">
        <v>480</v>
      </c>
      <c r="AP566" t="s">
        <v>481</v>
      </c>
      <c r="BF566" s="1"/>
      <c r="BH566" t="s">
        <v>1013</v>
      </c>
      <c r="BP566" t="s">
        <v>1489</v>
      </c>
    </row>
    <row r="567" spans="1:68" x14ac:dyDescent="0.25">
      <c r="A567" t="s">
        <v>5713</v>
      </c>
      <c r="B567" t="s">
        <v>474</v>
      </c>
      <c r="C567" t="s">
        <v>1504</v>
      </c>
      <c r="E567" t="s">
        <v>475</v>
      </c>
      <c r="G567" s="1" t="s">
        <v>2831</v>
      </c>
      <c r="H567" t="s">
        <v>492</v>
      </c>
      <c r="J567">
        <v>714010</v>
      </c>
      <c r="R567" t="s">
        <v>918</v>
      </c>
      <c r="S567" t="s">
        <v>991</v>
      </c>
      <c r="T567" t="s">
        <v>2832</v>
      </c>
      <c r="V567" t="s">
        <v>2833</v>
      </c>
      <c r="AE567" t="s">
        <v>478</v>
      </c>
      <c r="AL567" t="s">
        <v>919</v>
      </c>
      <c r="AM567" t="s">
        <v>919</v>
      </c>
      <c r="AO567" t="s">
        <v>480</v>
      </c>
      <c r="AP567" t="s">
        <v>481</v>
      </c>
      <c r="BF567" s="1"/>
      <c r="BH567" t="s">
        <v>1013</v>
      </c>
      <c r="BP567" t="s">
        <v>1489</v>
      </c>
    </row>
    <row r="568" spans="1:68" x14ac:dyDescent="0.25">
      <c r="A568" t="s">
        <v>5713</v>
      </c>
      <c r="B568" t="s">
        <v>474</v>
      </c>
      <c r="C568" t="s">
        <v>1504</v>
      </c>
      <c r="E568" t="s">
        <v>475</v>
      </c>
      <c r="G568" s="1" t="s">
        <v>2834</v>
      </c>
      <c r="H568" t="s">
        <v>492</v>
      </c>
      <c r="J568">
        <v>714010</v>
      </c>
      <c r="R568" t="s">
        <v>918</v>
      </c>
      <c r="S568" t="s">
        <v>991</v>
      </c>
      <c r="T568" t="s">
        <v>2835</v>
      </c>
      <c r="V568" t="s">
        <v>2836</v>
      </c>
      <c r="AE568" t="s">
        <v>478</v>
      </c>
      <c r="AL568" t="s">
        <v>919</v>
      </c>
      <c r="AM568" t="s">
        <v>919</v>
      </c>
      <c r="AO568" t="s">
        <v>480</v>
      </c>
      <c r="AP568" t="s">
        <v>481</v>
      </c>
      <c r="BF568" s="1"/>
      <c r="BH568" t="s">
        <v>1013</v>
      </c>
      <c r="BP568" t="s">
        <v>1489</v>
      </c>
    </row>
    <row r="569" spans="1:68" x14ac:dyDescent="0.25">
      <c r="A569" t="s">
        <v>5713</v>
      </c>
      <c r="B569" t="s">
        <v>474</v>
      </c>
      <c r="C569" t="s">
        <v>1504</v>
      </c>
      <c r="E569" t="s">
        <v>475</v>
      </c>
      <c r="G569" s="1" t="s">
        <v>2837</v>
      </c>
      <c r="H569" t="s">
        <v>492</v>
      </c>
      <c r="J569">
        <v>714010</v>
      </c>
      <c r="R569" t="s">
        <v>918</v>
      </c>
      <c r="S569" t="s">
        <v>991</v>
      </c>
      <c r="T569" t="s">
        <v>2838</v>
      </c>
      <c r="V569" t="s">
        <v>2839</v>
      </c>
      <c r="AE569" t="s">
        <v>478</v>
      </c>
      <c r="AL569" t="s">
        <v>919</v>
      </c>
      <c r="AM569" t="s">
        <v>919</v>
      </c>
      <c r="AO569" t="s">
        <v>480</v>
      </c>
      <c r="AP569" t="s">
        <v>481</v>
      </c>
      <c r="BF569" s="1"/>
      <c r="BH569" t="s">
        <v>1013</v>
      </c>
      <c r="BP569" t="s">
        <v>1489</v>
      </c>
    </row>
    <row r="570" spans="1:68" x14ac:dyDescent="0.25">
      <c r="A570" t="s">
        <v>5713</v>
      </c>
      <c r="B570" t="s">
        <v>474</v>
      </c>
      <c r="C570" t="s">
        <v>1504</v>
      </c>
      <c r="E570" t="s">
        <v>475</v>
      </c>
      <c r="G570" s="1" t="s">
        <v>2840</v>
      </c>
      <c r="H570" t="s">
        <v>492</v>
      </c>
      <c r="J570">
        <v>714010</v>
      </c>
      <c r="R570" t="s">
        <v>918</v>
      </c>
      <c r="S570" t="s">
        <v>991</v>
      </c>
      <c r="T570" t="s">
        <v>2841</v>
      </c>
      <c r="V570" t="s">
        <v>2842</v>
      </c>
      <c r="AE570" t="s">
        <v>478</v>
      </c>
      <c r="AL570" t="s">
        <v>919</v>
      </c>
      <c r="AM570" t="s">
        <v>919</v>
      </c>
      <c r="AO570" t="s">
        <v>480</v>
      </c>
      <c r="AP570" t="s">
        <v>481</v>
      </c>
      <c r="BF570" s="1"/>
      <c r="BH570" t="s">
        <v>1013</v>
      </c>
      <c r="BP570" t="s">
        <v>1489</v>
      </c>
    </row>
    <row r="571" spans="1:68" x14ac:dyDescent="0.25">
      <c r="A571" t="s">
        <v>5713</v>
      </c>
      <c r="B571" t="s">
        <v>474</v>
      </c>
      <c r="C571" t="s">
        <v>1504</v>
      </c>
      <c r="E571" t="s">
        <v>475</v>
      </c>
      <c r="G571" s="1" t="s">
        <v>2843</v>
      </c>
      <c r="H571" t="s">
        <v>492</v>
      </c>
      <c r="J571">
        <v>714010</v>
      </c>
      <c r="R571" t="s">
        <v>918</v>
      </c>
      <c r="S571" t="s">
        <v>991</v>
      </c>
      <c r="T571" t="s">
        <v>2844</v>
      </c>
      <c r="V571" t="s">
        <v>2845</v>
      </c>
      <c r="AE571" t="s">
        <v>478</v>
      </c>
      <c r="AL571" t="s">
        <v>919</v>
      </c>
      <c r="AM571" t="s">
        <v>919</v>
      </c>
      <c r="AO571" t="s">
        <v>480</v>
      </c>
      <c r="AP571" t="s">
        <v>481</v>
      </c>
      <c r="BF571" s="1"/>
      <c r="BH571" t="s">
        <v>1013</v>
      </c>
      <c r="BP571" t="s">
        <v>1489</v>
      </c>
    </row>
    <row r="572" spans="1:68" x14ac:dyDescent="0.25">
      <c r="A572" t="s">
        <v>5713</v>
      </c>
      <c r="B572" t="s">
        <v>474</v>
      </c>
      <c r="C572" t="s">
        <v>1504</v>
      </c>
      <c r="E572" t="s">
        <v>475</v>
      </c>
      <c r="G572" s="1" t="s">
        <v>2846</v>
      </c>
      <c r="H572" t="s">
        <v>492</v>
      </c>
      <c r="J572">
        <v>714010</v>
      </c>
      <c r="R572" t="s">
        <v>918</v>
      </c>
      <c r="S572" t="s">
        <v>991</v>
      </c>
      <c r="T572" t="s">
        <v>2847</v>
      </c>
      <c r="V572" t="s">
        <v>1016</v>
      </c>
      <c r="AE572" t="s">
        <v>478</v>
      </c>
      <c r="AL572" t="s">
        <v>919</v>
      </c>
      <c r="AM572" t="s">
        <v>919</v>
      </c>
      <c r="AO572" t="s">
        <v>480</v>
      </c>
      <c r="AP572" t="s">
        <v>481</v>
      </c>
      <c r="BF572" s="1"/>
      <c r="BH572" t="s">
        <v>1013</v>
      </c>
      <c r="BP572" t="s">
        <v>1489</v>
      </c>
    </row>
    <row r="573" spans="1:68" x14ac:dyDescent="0.25">
      <c r="A573" t="s">
        <v>5713</v>
      </c>
      <c r="B573" t="s">
        <v>474</v>
      </c>
      <c r="C573" t="s">
        <v>1504</v>
      </c>
      <c r="E573" t="s">
        <v>475</v>
      </c>
      <c r="G573" s="1" t="s">
        <v>2848</v>
      </c>
      <c r="H573" t="s">
        <v>492</v>
      </c>
      <c r="J573">
        <v>714010</v>
      </c>
      <c r="R573" t="s">
        <v>918</v>
      </c>
      <c r="S573" t="s">
        <v>991</v>
      </c>
      <c r="T573" t="s">
        <v>2849</v>
      </c>
      <c r="V573" t="s">
        <v>2850</v>
      </c>
      <c r="AE573" t="s">
        <v>478</v>
      </c>
      <c r="AL573" t="s">
        <v>919</v>
      </c>
      <c r="AM573" t="s">
        <v>919</v>
      </c>
      <c r="AO573" t="s">
        <v>480</v>
      </c>
      <c r="AP573" t="s">
        <v>481</v>
      </c>
      <c r="BF573" s="1"/>
      <c r="BH573" t="s">
        <v>1013</v>
      </c>
      <c r="BP573" t="s">
        <v>1489</v>
      </c>
    </row>
    <row r="574" spans="1:68" x14ac:dyDescent="0.25">
      <c r="A574" t="s">
        <v>5713</v>
      </c>
      <c r="B574" t="s">
        <v>474</v>
      </c>
      <c r="C574" t="s">
        <v>1504</v>
      </c>
      <c r="E574" t="s">
        <v>475</v>
      </c>
      <c r="G574" s="1" t="s">
        <v>2851</v>
      </c>
      <c r="H574" t="s">
        <v>492</v>
      </c>
      <c r="J574">
        <v>714010</v>
      </c>
      <c r="R574" t="s">
        <v>918</v>
      </c>
      <c r="S574" t="s">
        <v>991</v>
      </c>
      <c r="T574" t="s">
        <v>2852</v>
      </c>
      <c r="V574" t="s">
        <v>2853</v>
      </c>
      <c r="AE574" t="s">
        <v>478</v>
      </c>
      <c r="AL574" t="s">
        <v>919</v>
      </c>
      <c r="AM574" t="s">
        <v>919</v>
      </c>
      <c r="AO574" t="s">
        <v>480</v>
      </c>
      <c r="AP574" t="s">
        <v>481</v>
      </c>
      <c r="BF574" s="1"/>
      <c r="BH574" t="s">
        <v>1013</v>
      </c>
      <c r="BP574" t="s">
        <v>1489</v>
      </c>
    </row>
    <row r="575" spans="1:68" x14ac:dyDescent="0.25">
      <c r="A575" t="s">
        <v>5713</v>
      </c>
      <c r="B575" t="s">
        <v>474</v>
      </c>
      <c r="C575" t="s">
        <v>1504</v>
      </c>
      <c r="E575" t="s">
        <v>475</v>
      </c>
      <c r="G575" s="1" t="s">
        <v>2854</v>
      </c>
      <c r="H575" t="s">
        <v>492</v>
      </c>
      <c r="J575">
        <v>714010</v>
      </c>
      <c r="R575" t="s">
        <v>918</v>
      </c>
      <c r="S575" t="s">
        <v>991</v>
      </c>
      <c r="T575" t="s">
        <v>2855</v>
      </c>
      <c r="V575" t="s">
        <v>2856</v>
      </c>
      <c r="AE575" t="s">
        <v>478</v>
      </c>
      <c r="AL575" t="s">
        <v>919</v>
      </c>
      <c r="AM575" t="s">
        <v>919</v>
      </c>
      <c r="AO575" t="s">
        <v>480</v>
      </c>
      <c r="AP575" t="s">
        <v>481</v>
      </c>
      <c r="BF575" s="1"/>
      <c r="BH575" t="s">
        <v>1013</v>
      </c>
      <c r="BP575" t="s">
        <v>1489</v>
      </c>
    </row>
    <row r="576" spans="1:68" x14ac:dyDescent="0.25">
      <c r="A576" t="s">
        <v>5713</v>
      </c>
      <c r="B576" t="s">
        <v>474</v>
      </c>
      <c r="C576" t="s">
        <v>1504</v>
      </c>
      <c r="E576" t="s">
        <v>475</v>
      </c>
      <c r="G576" s="1" t="s">
        <v>2857</v>
      </c>
      <c r="H576" t="s">
        <v>492</v>
      </c>
      <c r="J576">
        <v>714010</v>
      </c>
      <c r="R576" t="s">
        <v>918</v>
      </c>
      <c r="S576" t="s">
        <v>991</v>
      </c>
      <c r="T576" t="s">
        <v>2858</v>
      </c>
      <c r="V576" t="s">
        <v>2859</v>
      </c>
      <c r="AE576" t="s">
        <v>478</v>
      </c>
      <c r="AL576" t="s">
        <v>919</v>
      </c>
      <c r="AM576" t="s">
        <v>919</v>
      </c>
      <c r="AO576" t="s">
        <v>480</v>
      </c>
      <c r="AP576" t="s">
        <v>481</v>
      </c>
      <c r="BF576" s="1"/>
      <c r="BH576" t="s">
        <v>1013</v>
      </c>
      <c r="BP576" t="s">
        <v>1489</v>
      </c>
    </row>
    <row r="577" spans="1:68" x14ac:dyDescent="0.25">
      <c r="A577" t="s">
        <v>5713</v>
      </c>
      <c r="B577" t="s">
        <v>474</v>
      </c>
      <c r="C577" t="s">
        <v>1504</v>
      </c>
      <c r="E577" t="s">
        <v>475</v>
      </c>
      <c r="G577" s="1" t="s">
        <v>2860</v>
      </c>
      <c r="H577" t="s">
        <v>492</v>
      </c>
      <c r="J577">
        <v>714010</v>
      </c>
      <c r="R577" t="s">
        <v>918</v>
      </c>
      <c r="S577" t="s">
        <v>991</v>
      </c>
      <c r="T577" t="s">
        <v>2861</v>
      </c>
      <c r="V577" t="s">
        <v>2862</v>
      </c>
      <c r="AE577" t="s">
        <v>478</v>
      </c>
      <c r="AL577" t="s">
        <v>919</v>
      </c>
      <c r="AM577" t="s">
        <v>919</v>
      </c>
      <c r="AO577" t="s">
        <v>480</v>
      </c>
      <c r="AP577" t="s">
        <v>481</v>
      </c>
      <c r="BF577" s="1"/>
      <c r="BH577" t="s">
        <v>1013</v>
      </c>
      <c r="BP577" t="s">
        <v>1489</v>
      </c>
    </row>
    <row r="578" spans="1:68" x14ac:dyDescent="0.25">
      <c r="A578" t="s">
        <v>5713</v>
      </c>
      <c r="B578" t="s">
        <v>474</v>
      </c>
      <c r="C578" t="s">
        <v>1504</v>
      </c>
      <c r="E578" t="s">
        <v>475</v>
      </c>
      <c r="G578" s="1" t="s">
        <v>2863</v>
      </c>
      <c r="H578" t="s">
        <v>492</v>
      </c>
      <c r="J578">
        <v>714010</v>
      </c>
      <c r="R578" t="s">
        <v>918</v>
      </c>
      <c r="S578" t="s">
        <v>991</v>
      </c>
      <c r="T578" t="s">
        <v>1014</v>
      </c>
      <c r="V578" t="s">
        <v>2864</v>
      </c>
      <c r="AE578" t="s">
        <v>478</v>
      </c>
      <c r="AL578" t="s">
        <v>919</v>
      </c>
      <c r="AM578" t="s">
        <v>919</v>
      </c>
      <c r="AO578" t="s">
        <v>480</v>
      </c>
      <c r="AP578" t="s">
        <v>481</v>
      </c>
      <c r="BF578" s="1"/>
      <c r="BH578" t="s">
        <v>1013</v>
      </c>
      <c r="BP578" t="s">
        <v>1489</v>
      </c>
    </row>
    <row r="579" spans="1:68" x14ac:dyDescent="0.25">
      <c r="A579" t="s">
        <v>5713</v>
      </c>
      <c r="B579" t="s">
        <v>474</v>
      </c>
      <c r="C579" t="s">
        <v>1504</v>
      </c>
      <c r="E579" t="s">
        <v>475</v>
      </c>
      <c r="G579" s="1" t="s">
        <v>2865</v>
      </c>
      <c r="H579" t="s">
        <v>492</v>
      </c>
      <c r="J579">
        <v>714010</v>
      </c>
      <c r="R579" t="s">
        <v>918</v>
      </c>
      <c r="S579" t="s">
        <v>991</v>
      </c>
      <c r="T579" t="s">
        <v>2866</v>
      </c>
      <c r="V579" t="s">
        <v>2867</v>
      </c>
      <c r="AE579" t="s">
        <v>478</v>
      </c>
      <c r="AL579" t="s">
        <v>919</v>
      </c>
      <c r="AM579" t="s">
        <v>919</v>
      </c>
      <c r="AO579" t="s">
        <v>480</v>
      </c>
      <c r="AP579" t="s">
        <v>481</v>
      </c>
      <c r="BF579" s="1"/>
      <c r="BH579" t="s">
        <v>1013</v>
      </c>
      <c r="BP579" t="s">
        <v>1489</v>
      </c>
    </row>
    <row r="580" spans="1:68" x14ac:dyDescent="0.25">
      <c r="A580" t="s">
        <v>5713</v>
      </c>
      <c r="B580" t="s">
        <v>474</v>
      </c>
      <c r="C580" t="s">
        <v>1504</v>
      </c>
      <c r="E580" t="s">
        <v>475</v>
      </c>
      <c r="G580" s="1" t="s">
        <v>2868</v>
      </c>
      <c r="H580" t="s">
        <v>492</v>
      </c>
      <c r="J580">
        <v>714010</v>
      </c>
      <c r="R580" t="s">
        <v>918</v>
      </c>
      <c r="S580" t="s">
        <v>991</v>
      </c>
      <c r="T580" t="s">
        <v>2711</v>
      </c>
      <c r="V580" t="s">
        <v>2869</v>
      </c>
      <c r="AE580" t="s">
        <v>478</v>
      </c>
      <c r="AL580" t="s">
        <v>919</v>
      </c>
      <c r="AM580" t="s">
        <v>919</v>
      </c>
      <c r="AO580" t="s">
        <v>480</v>
      </c>
      <c r="AP580" t="s">
        <v>481</v>
      </c>
      <c r="BF580" s="1"/>
      <c r="BH580" t="s">
        <v>1013</v>
      </c>
      <c r="BP580" t="s">
        <v>1489</v>
      </c>
    </row>
    <row r="581" spans="1:68" x14ac:dyDescent="0.25">
      <c r="A581" t="s">
        <v>5713</v>
      </c>
      <c r="B581" t="s">
        <v>474</v>
      </c>
      <c r="C581" t="s">
        <v>1504</v>
      </c>
      <c r="E581" t="s">
        <v>475</v>
      </c>
      <c r="G581" s="1" t="s">
        <v>2870</v>
      </c>
      <c r="H581" t="s">
        <v>492</v>
      </c>
      <c r="J581">
        <v>714010</v>
      </c>
      <c r="R581" t="s">
        <v>918</v>
      </c>
      <c r="S581" t="s">
        <v>991</v>
      </c>
      <c r="T581" t="s">
        <v>2871</v>
      </c>
      <c r="V581" t="s">
        <v>2872</v>
      </c>
      <c r="AE581" t="s">
        <v>478</v>
      </c>
      <c r="AL581" t="s">
        <v>919</v>
      </c>
      <c r="AM581" t="s">
        <v>919</v>
      </c>
      <c r="AO581" t="s">
        <v>480</v>
      </c>
      <c r="AP581" t="s">
        <v>481</v>
      </c>
      <c r="BF581" s="1"/>
      <c r="BH581" t="s">
        <v>1013</v>
      </c>
      <c r="BP581" t="s">
        <v>1489</v>
      </c>
    </row>
    <row r="582" spans="1:68" x14ac:dyDescent="0.25">
      <c r="A582" t="s">
        <v>5713</v>
      </c>
      <c r="B582" t="s">
        <v>474</v>
      </c>
      <c r="C582" t="s">
        <v>1504</v>
      </c>
      <c r="E582" t="s">
        <v>475</v>
      </c>
      <c r="G582" s="1" t="s">
        <v>2873</v>
      </c>
      <c r="H582" t="s">
        <v>492</v>
      </c>
      <c r="J582">
        <v>714010</v>
      </c>
      <c r="R582" t="s">
        <v>918</v>
      </c>
      <c r="S582" t="s">
        <v>991</v>
      </c>
      <c r="T582" t="s">
        <v>2874</v>
      </c>
      <c r="V582" t="s">
        <v>2875</v>
      </c>
      <c r="AE582" t="s">
        <v>478</v>
      </c>
      <c r="AL582" t="s">
        <v>919</v>
      </c>
      <c r="AM582" t="s">
        <v>919</v>
      </c>
      <c r="AO582" t="s">
        <v>480</v>
      </c>
      <c r="AP582" t="s">
        <v>481</v>
      </c>
      <c r="BF582" s="1"/>
      <c r="BH582" t="s">
        <v>1013</v>
      </c>
      <c r="BP582" t="s">
        <v>1489</v>
      </c>
    </row>
    <row r="583" spans="1:68" x14ac:dyDescent="0.25">
      <c r="A583" t="s">
        <v>5713</v>
      </c>
      <c r="B583" t="s">
        <v>474</v>
      </c>
      <c r="C583" t="s">
        <v>1504</v>
      </c>
      <c r="E583" t="s">
        <v>475</v>
      </c>
      <c r="G583" s="1" t="s">
        <v>2876</v>
      </c>
      <c r="H583" t="s">
        <v>492</v>
      </c>
      <c r="J583">
        <v>714010</v>
      </c>
      <c r="R583" t="s">
        <v>918</v>
      </c>
      <c r="S583" t="s">
        <v>991</v>
      </c>
      <c r="T583" t="s">
        <v>2877</v>
      </c>
      <c r="V583" t="s">
        <v>2878</v>
      </c>
      <c r="AE583" t="s">
        <v>478</v>
      </c>
      <c r="AL583" t="s">
        <v>919</v>
      </c>
      <c r="AM583" t="s">
        <v>919</v>
      </c>
      <c r="AO583" t="s">
        <v>480</v>
      </c>
      <c r="AP583" t="s">
        <v>481</v>
      </c>
      <c r="BF583" s="1"/>
      <c r="BH583" t="s">
        <v>1013</v>
      </c>
      <c r="BP583" t="s">
        <v>1489</v>
      </c>
    </row>
    <row r="584" spans="1:68" x14ac:dyDescent="0.25">
      <c r="A584" t="s">
        <v>5713</v>
      </c>
      <c r="B584" t="s">
        <v>474</v>
      </c>
      <c r="C584" t="s">
        <v>1504</v>
      </c>
      <c r="E584" t="s">
        <v>475</v>
      </c>
      <c r="G584" s="1" t="s">
        <v>2879</v>
      </c>
      <c r="H584" t="s">
        <v>492</v>
      </c>
      <c r="J584">
        <v>714010</v>
      </c>
      <c r="R584" t="s">
        <v>918</v>
      </c>
      <c r="S584" t="s">
        <v>991</v>
      </c>
      <c r="T584" t="s">
        <v>2880</v>
      </c>
      <c r="V584" t="s">
        <v>2881</v>
      </c>
      <c r="AE584" t="s">
        <v>478</v>
      </c>
      <c r="AL584" t="s">
        <v>919</v>
      </c>
      <c r="AM584" t="s">
        <v>919</v>
      </c>
      <c r="AO584" t="s">
        <v>480</v>
      </c>
      <c r="AP584" t="s">
        <v>481</v>
      </c>
      <c r="BF584" s="1"/>
      <c r="BH584" t="s">
        <v>1013</v>
      </c>
      <c r="BP584" t="s">
        <v>1489</v>
      </c>
    </row>
    <row r="585" spans="1:68" x14ac:dyDescent="0.25">
      <c r="A585" t="s">
        <v>5713</v>
      </c>
      <c r="B585" t="s">
        <v>474</v>
      </c>
      <c r="C585" t="s">
        <v>1504</v>
      </c>
      <c r="E585" t="s">
        <v>475</v>
      </c>
      <c r="G585" s="1" t="s">
        <v>2882</v>
      </c>
      <c r="H585" t="s">
        <v>492</v>
      </c>
      <c r="J585">
        <v>714010</v>
      </c>
      <c r="R585" t="s">
        <v>918</v>
      </c>
      <c r="S585" t="s">
        <v>991</v>
      </c>
      <c r="T585" t="s">
        <v>2883</v>
      </c>
      <c r="V585" t="s">
        <v>2884</v>
      </c>
      <c r="AE585" t="s">
        <v>478</v>
      </c>
      <c r="AL585" t="s">
        <v>919</v>
      </c>
      <c r="AM585" t="s">
        <v>919</v>
      </c>
      <c r="AO585" t="s">
        <v>480</v>
      </c>
      <c r="AP585" t="s">
        <v>481</v>
      </c>
      <c r="BF585" s="1"/>
      <c r="BH585" t="s">
        <v>1013</v>
      </c>
      <c r="BP585" t="s">
        <v>1489</v>
      </c>
    </row>
    <row r="586" spans="1:68" x14ac:dyDescent="0.25">
      <c r="A586" t="s">
        <v>5713</v>
      </c>
      <c r="B586" t="s">
        <v>474</v>
      </c>
      <c r="C586" t="s">
        <v>1504</v>
      </c>
      <c r="E586" t="s">
        <v>475</v>
      </c>
      <c r="G586" s="1" t="s">
        <v>2885</v>
      </c>
      <c r="H586" t="s">
        <v>492</v>
      </c>
      <c r="J586">
        <v>714010</v>
      </c>
      <c r="R586" t="s">
        <v>918</v>
      </c>
      <c r="S586" t="s">
        <v>991</v>
      </c>
      <c r="T586" t="s">
        <v>2886</v>
      </c>
      <c r="V586" t="s">
        <v>2887</v>
      </c>
      <c r="AE586" t="s">
        <v>478</v>
      </c>
      <c r="AL586" t="s">
        <v>919</v>
      </c>
      <c r="AM586" t="s">
        <v>919</v>
      </c>
      <c r="AO586" t="s">
        <v>480</v>
      </c>
      <c r="AP586" t="s">
        <v>481</v>
      </c>
      <c r="BF586" s="1"/>
      <c r="BH586" t="s">
        <v>1013</v>
      </c>
      <c r="BP586" t="s">
        <v>1489</v>
      </c>
    </row>
    <row r="587" spans="1:68" x14ac:dyDescent="0.25">
      <c r="A587" t="s">
        <v>5713</v>
      </c>
      <c r="B587" t="s">
        <v>474</v>
      </c>
      <c r="C587" t="s">
        <v>1504</v>
      </c>
      <c r="E587" t="s">
        <v>475</v>
      </c>
      <c r="G587" s="1" t="s">
        <v>2888</v>
      </c>
      <c r="H587" t="s">
        <v>492</v>
      </c>
      <c r="J587">
        <v>714010</v>
      </c>
      <c r="R587" t="s">
        <v>918</v>
      </c>
      <c r="S587" t="s">
        <v>991</v>
      </c>
      <c r="T587" t="s">
        <v>2889</v>
      </c>
      <c r="V587" t="s">
        <v>2890</v>
      </c>
      <c r="AE587" t="s">
        <v>478</v>
      </c>
      <c r="AL587" t="s">
        <v>919</v>
      </c>
      <c r="AM587" t="s">
        <v>919</v>
      </c>
      <c r="AO587" t="s">
        <v>480</v>
      </c>
      <c r="AP587" t="s">
        <v>481</v>
      </c>
      <c r="BF587" s="1"/>
      <c r="BH587" t="s">
        <v>1013</v>
      </c>
      <c r="BP587" t="s">
        <v>1489</v>
      </c>
    </row>
    <row r="588" spans="1:68" x14ac:dyDescent="0.25">
      <c r="A588" t="s">
        <v>5713</v>
      </c>
      <c r="B588" t="s">
        <v>474</v>
      </c>
      <c r="C588" t="s">
        <v>1504</v>
      </c>
      <c r="E588" t="s">
        <v>475</v>
      </c>
      <c r="G588" s="1" t="s">
        <v>2891</v>
      </c>
      <c r="H588" t="s">
        <v>492</v>
      </c>
      <c r="J588">
        <v>714010</v>
      </c>
      <c r="R588" t="s">
        <v>918</v>
      </c>
      <c r="S588" t="s">
        <v>991</v>
      </c>
      <c r="T588" t="s">
        <v>2892</v>
      </c>
      <c r="V588" t="s">
        <v>2893</v>
      </c>
      <c r="AE588" t="s">
        <v>478</v>
      </c>
      <c r="AL588" t="s">
        <v>919</v>
      </c>
      <c r="AM588" t="s">
        <v>919</v>
      </c>
      <c r="AO588" t="s">
        <v>480</v>
      </c>
      <c r="AP588" t="s">
        <v>481</v>
      </c>
      <c r="BF588" s="1"/>
      <c r="BH588" t="s">
        <v>1013</v>
      </c>
      <c r="BP588" t="s">
        <v>1489</v>
      </c>
    </row>
    <row r="589" spans="1:68" x14ac:dyDescent="0.25">
      <c r="A589" t="s">
        <v>5713</v>
      </c>
      <c r="B589" t="s">
        <v>474</v>
      </c>
      <c r="C589" t="s">
        <v>1504</v>
      </c>
      <c r="E589" t="s">
        <v>475</v>
      </c>
      <c r="G589" s="1" t="s">
        <v>2894</v>
      </c>
      <c r="H589" t="s">
        <v>492</v>
      </c>
      <c r="J589">
        <v>714010</v>
      </c>
      <c r="R589" t="s">
        <v>918</v>
      </c>
      <c r="S589" t="s">
        <v>991</v>
      </c>
      <c r="T589" t="s">
        <v>2895</v>
      </c>
      <c r="V589" t="s">
        <v>2896</v>
      </c>
      <c r="AE589" t="s">
        <v>478</v>
      </c>
      <c r="AL589" t="s">
        <v>919</v>
      </c>
      <c r="AM589" t="s">
        <v>919</v>
      </c>
      <c r="AO589" t="s">
        <v>480</v>
      </c>
      <c r="AP589" t="s">
        <v>481</v>
      </c>
      <c r="BF589" s="1"/>
      <c r="BH589" t="s">
        <v>1013</v>
      </c>
      <c r="BP589" t="s">
        <v>1489</v>
      </c>
    </row>
    <row r="590" spans="1:68" x14ac:dyDescent="0.25">
      <c r="A590" t="s">
        <v>5713</v>
      </c>
      <c r="B590" t="s">
        <v>474</v>
      </c>
      <c r="C590" t="s">
        <v>1504</v>
      </c>
      <c r="E590" t="s">
        <v>475</v>
      </c>
      <c r="G590" s="1" t="s">
        <v>2897</v>
      </c>
      <c r="H590" t="s">
        <v>492</v>
      </c>
      <c r="J590">
        <v>714010</v>
      </c>
      <c r="R590" t="s">
        <v>918</v>
      </c>
      <c r="S590" t="s">
        <v>991</v>
      </c>
      <c r="T590" t="s">
        <v>1017</v>
      </c>
      <c r="V590" t="s">
        <v>2898</v>
      </c>
      <c r="AE590" t="s">
        <v>478</v>
      </c>
      <c r="AL590" t="s">
        <v>919</v>
      </c>
      <c r="AM590" t="s">
        <v>919</v>
      </c>
      <c r="AO590" t="s">
        <v>480</v>
      </c>
      <c r="AP590" t="s">
        <v>481</v>
      </c>
      <c r="BF590" s="1"/>
      <c r="BH590" t="s">
        <v>1013</v>
      </c>
      <c r="BP590" t="s">
        <v>1489</v>
      </c>
    </row>
    <row r="591" spans="1:68" x14ac:dyDescent="0.25">
      <c r="A591" t="s">
        <v>5713</v>
      </c>
      <c r="B591" t="s">
        <v>474</v>
      </c>
      <c r="C591" t="s">
        <v>1504</v>
      </c>
      <c r="E591" t="s">
        <v>475</v>
      </c>
      <c r="G591" s="1" t="s">
        <v>2899</v>
      </c>
      <c r="H591" t="s">
        <v>492</v>
      </c>
      <c r="J591">
        <v>714010</v>
      </c>
      <c r="R591" t="s">
        <v>918</v>
      </c>
      <c r="S591" t="s">
        <v>991</v>
      </c>
      <c r="T591" t="s">
        <v>2900</v>
      </c>
      <c r="V591" t="s">
        <v>2901</v>
      </c>
      <c r="AE591" t="s">
        <v>478</v>
      </c>
      <c r="AL591" t="s">
        <v>919</v>
      </c>
      <c r="AM591" t="s">
        <v>919</v>
      </c>
      <c r="AO591" t="s">
        <v>480</v>
      </c>
      <c r="AP591" t="s">
        <v>481</v>
      </c>
      <c r="BF591" s="1"/>
      <c r="BH591" t="s">
        <v>1013</v>
      </c>
      <c r="BP591" t="s">
        <v>1489</v>
      </c>
    </row>
    <row r="592" spans="1:68" x14ac:dyDescent="0.25">
      <c r="A592" t="s">
        <v>5713</v>
      </c>
      <c r="B592" t="s">
        <v>474</v>
      </c>
      <c r="C592" t="s">
        <v>1504</v>
      </c>
      <c r="E592" t="s">
        <v>475</v>
      </c>
      <c r="G592" s="1" t="s">
        <v>2902</v>
      </c>
      <c r="H592" t="s">
        <v>492</v>
      </c>
      <c r="J592">
        <v>714010</v>
      </c>
      <c r="R592" t="s">
        <v>918</v>
      </c>
      <c r="S592" t="s">
        <v>991</v>
      </c>
      <c r="T592" t="s">
        <v>2903</v>
      </c>
      <c r="V592" t="s">
        <v>2904</v>
      </c>
      <c r="AE592" t="s">
        <v>478</v>
      </c>
      <c r="AL592" t="s">
        <v>919</v>
      </c>
      <c r="AM592" t="s">
        <v>919</v>
      </c>
      <c r="AO592" t="s">
        <v>480</v>
      </c>
      <c r="AP592" t="s">
        <v>481</v>
      </c>
      <c r="BF592" s="1"/>
      <c r="BH592" t="s">
        <v>1013</v>
      </c>
      <c r="BP592" t="s">
        <v>1489</v>
      </c>
    </row>
    <row r="593" spans="1:68" x14ac:dyDescent="0.25">
      <c r="A593" t="s">
        <v>5713</v>
      </c>
      <c r="B593" t="s">
        <v>474</v>
      </c>
      <c r="C593" t="s">
        <v>1504</v>
      </c>
      <c r="E593" t="s">
        <v>475</v>
      </c>
      <c r="G593" s="1" t="s">
        <v>2905</v>
      </c>
      <c r="H593" t="s">
        <v>492</v>
      </c>
      <c r="J593">
        <v>714010</v>
      </c>
      <c r="R593" t="s">
        <v>918</v>
      </c>
      <c r="S593" t="s">
        <v>991</v>
      </c>
      <c r="T593" t="s">
        <v>2906</v>
      </c>
      <c r="V593" t="s">
        <v>2907</v>
      </c>
      <c r="AE593" t="s">
        <v>478</v>
      </c>
      <c r="AL593" t="s">
        <v>919</v>
      </c>
      <c r="AM593" t="s">
        <v>919</v>
      </c>
      <c r="AO593" t="s">
        <v>480</v>
      </c>
      <c r="AP593" t="s">
        <v>481</v>
      </c>
      <c r="BF593" s="1"/>
      <c r="BH593" t="s">
        <v>1013</v>
      </c>
      <c r="BP593" t="s">
        <v>1489</v>
      </c>
    </row>
    <row r="594" spans="1:68" x14ac:dyDescent="0.25">
      <c r="A594" t="s">
        <v>5713</v>
      </c>
      <c r="B594" t="s">
        <v>474</v>
      </c>
      <c r="C594" t="s">
        <v>1504</v>
      </c>
      <c r="E594" t="s">
        <v>475</v>
      </c>
      <c r="G594" s="1" t="s">
        <v>2908</v>
      </c>
      <c r="H594" t="s">
        <v>492</v>
      </c>
      <c r="J594">
        <v>714010</v>
      </c>
      <c r="R594" t="s">
        <v>918</v>
      </c>
      <c r="S594" t="s">
        <v>991</v>
      </c>
      <c r="T594" t="s">
        <v>2909</v>
      </c>
      <c r="V594" t="s">
        <v>2910</v>
      </c>
      <c r="AE594" t="s">
        <v>478</v>
      </c>
      <c r="AL594" t="s">
        <v>919</v>
      </c>
      <c r="AM594" t="s">
        <v>919</v>
      </c>
      <c r="AO594" t="s">
        <v>480</v>
      </c>
      <c r="AP594" t="s">
        <v>481</v>
      </c>
      <c r="BF594" s="1"/>
      <c r="BH594" t="s">
        <v>1013</v>
      </c>
      <c r="BP594" t="s">
        <v>1489</v>
      </c>
    </row>
    <row r="595" spans="1:68" x14ac:dyDescent="0.25">
      <c r="A595" t="s">
        <v>5713</v>
      </c>
      <c r="B595" t="s">
        <v>474</v>
      </c>
      <c r="C595" t="s">
        <v>1504</v>
      </c>
      <c r="E595" t="s">
        <v>475</v>
      </c>
      <c r="G595" s="1" t="s">
        <v>2911</v>
      </c>
      <c r="H595" t="s">
        <v>492</v>
      </c>
      <c r="J595">
        <v>714010</v>
      </c>
      <c r="R595" t="s">
        <v>918</v>
      </c>
      <c r="S595" t="s">
        <v>991</v>
      </c>
      <c r="T595" t="s">
        <v>2912</v>
      </c>
      <c r="V595" t="s">
        <v>2913</v>
      </c>
      <c r="AE595" t="s">
        <v>478</v>
      </c>
      <c r="AL595" t="s">
        <v>919</v>
      </c>
      <c r="AM595" t="s">
        <v>919</v>
      </c>
      <c r="AO595" t="s">
        <v>480</v>
      </c>
      <c r="AP595" t="s">
        <v>481</v>
      </c>
      <c r="BF595" s="1"/>
      <c r="BH595" t="s">
        <v>1013</v>
      </c>
      <c r="BP595" t="s">
        <v>1489</v>
      </c>
    </row>
    <row r="596" spans="1:68" x14ac:dyDescent="0.25">
      <c r="A596" t="s">
        <v>5713</v>
      </c>
      <c r="B596" t="s">
        <v>474</v>
      </c>
      <c r="C596" t="s">
        <v>1504</v>
      </c>
      <c r="E596" t="s">
        <v>475</v>
      </c>
      <c r="G596" s="1" t="s">
        <v>2914</v>
      </c>
      <c r="H596" t="s">
        <v>492</v>
      </c>
      <c r="J596">
        <v>714010</v>
      </c>
      <c r="R596" t="s">
        <v>918</v>
      </c>
      <c r="S596" t="s">
        <v>991</v>
      </c>
      <c r="T596" t="s">
        <v>2915</v>
      </c>
      <c r="V596" t="s">
        <v>2907</v>
      </c>
      <c r="AE596" t="s">
        <v>478</v>
      </c>
      <c r="AL596" t="s">
        <v>919</v>
      </c>
      <c r="AM596" t="s">
        <v>919</v>
      </c>
      <c r="AO596" t="s">
        <v>480</v>
      </c>
      <c r="AP596" t="s">
        <v>481</v>
      </c>
      <c r="BF596" s="1"/>
      <c r="BH596" t="s">
        <v>1013</v>
      </c>
      <c r="BP596" t="s">
        <v>1489</v>
      </c>
    </row>
    <row r="597" spans="1:68" x14ac:dyDescent="0.25">
      <c r="A597" t="s">
        <v>5713</v>
      </c>
      <c r="B597" t="s">
        <v>474</v>
      </c>
      <c r="C597" t="s">
        <v>1504</v>
      </c>
      <c r="E597" t="s">
        <v>475</v>
      </c>
      <c r="G597" s="1" t="s">
        <v>2916</v>
      </c>
      <c r="H597" t="s">
        <v>492</v>
      </c>
      <c r="J597">
        <v>714010</v>
      </c>
      <c r="R597" t="s">
        <v>918</v>
      </c>
      <c r="S597" t="s">
        <v>991</v>
      </c>
      <c r="T597" t="s">
        <v>2917</v>
      </c>
      <c r="V597" t="s">
        <v>2918</v>
      </c>
      <c r="AE597" t="s">
        <v>478</v>
      </c>
      <c r="AL597" t="s">
        <v>919</v>
      </c>
      <c r="AM597" t="s">
        <v>919</v>
      </c>
      <c r="AO597" t="s">
        <v>480</v>
      </c>
      <c r="AP597" t="s">
        <v>481</v>
      </c>
      <c r="BF597" s="1"/>
      <c r="BH597" t="s">
        <v>1013</v>
      </c>
      <c r="BP597" t="s">
        <v>1489</v>
      </c>
    </row>
    <row r="598" spans="1:68" x14ac:dyDescent="0.25">
      <c r="A598" t="s">
        <v>5713</v>
      </c>
      <c r="B598" t="s">
        <v>474</v>
      </c>
      <c r="C598" t="s">
        <v>1504</v>
      </c>
      <c r="E598" t="s">
        <v>475</v>
      </c>
      <c r="G598" s="1" t="s">
        <v>2919</v>
      </c>
      <c r="H598" t="s">
        <v>492</v>
      </c>
      <c r="J598">
        <v>714010</v>
      </c>
      <c r="R598" t="s">
        <v>918</v>
      </c>
      <c r="S598" t="s">
        <v>991</v>
      </c>
      <c r="T598" t="s">
        <v>2920</v>
      </c>
      <c r="V598" t="s">
        <v>2921</v>
      </c>
      <c r="AE598" t="s">
        <v>478</v>
      </c>
      <c r="AL598" t="s">
        <v>919</v>
      </c>
      <c r="AM598" t="s">
        <v>919</v>
      </c>
      <c r="AO598" t="s">
        <v>480</v>
      </c>
      <c r="AP598" t="s">
        <v>481</v>
      </c>
      <c r="BF598" s="1"/>
      <c r="BH598" t="s">
        <v>1013</v>
      </c>
      <c r="BP598" t="s">
        <v>1489</v>
      </c>
    </row>
    <row r="599" spans="1:68" x14ac:dyDescent="0.25">
      <c r="A599" t="s">
        <v>5713</v>
      </c>
      <c r="B599" t="s">
        <v>474</v>
      </c>
      <c r="C599" t="s">
        <v>1504</v>
      </c>
      <c r="E599" t="s">
        <v>475</v>
      </c>
      <c r="G599" s="1" t="s">
        <v>2922</v>
      </c>
      <c r="H599" t="s">
        <v>492</v>
      </c>
      <c r="J599">
        <v>714010</v>
      </c>
      <c r="R599" t="s">
        <v>918</v>
      </c>
      <c r="S599" t="s">
        <v>991</v>
      </c>
      <c r="T599" t="s">
        <v>2923</v>
      </c>
      <c r="V599" t="s">
        <v>2921</v>
      </c>
      <c r="AE599" t="s">
        <v>478</v>
      </c>
      <c r="AL599" t="s">
        <v>919</v>
      </c>
      <c r="AM599" t="s">
        <v>919</v>
      </c>
      <c r="AO599" t="s">
        <v>480</v>
      </c>
      <c r="AP599" t="s">
        <v>481</v>
      </c>
      <c r="BF599" s="1"/>
      <c r="BH599" t="s">
        <v>1013</v>
      </c>
      <c r="BP599" t="s">
        <v>1489</v>
      </c>
    </row>
    <row r="600" spans="1:68" x14ac:dyDescent="0.25">
      <c r="A600" t="s">
        <v>5713</v>
      </c>
      <c r="B600" t="s">
        <v>474</v>
      </c>
      <c r="C600" t="s">
        <v>1504</v>
      </c>
      <c r="E600" t="s">
        <v>475</v>
      </c>
      <c r="G600" s="1" t="s">
        <v>2924</v>
      </c>
      <c r="H600" t="s">
        <v>492</v>
      </c>
      <c r="J600">
        <v>714010</v>
      </c>
      <c r="R600" t="s">
        <v>918</v>
      </c>
      <c r="S600" t="s">
        <v>991</v>
      </c>
      <c r="T600" t="s">
        <v>2925</v>
      </c>
      <c r="V600" t="s">
        <v>2921</v>
      </c>
      <c r="AE600" t="s">
        <v>478</v>
      </c>
      <c r="AL600" t="s">
        <v>919</v>
      </c>
      <c r="AM600" t="s">
        <v>919</v>
      </c>
      <c r="AO600" t="s">
        <v>480</v>
      </c>
      <c r="AP600" t="s">
        <v>481</v>
      </c>
      <c r="BF600" s="1"/>
      <c r="BH600" t="s">
        <v>1013</v>
      </c>
      <c r="BP600" t="s">
        <v>1489</v>
      </c>
    </row>
    <row r="601" spans="1:68" x14ac:dyDescent="0.25">
      <c r="A601" t="s">
        <v>5713</v>
      </c>
      <c r="B601" t="s">
        <v>474</v>
      </c>
      <c r="C601" t="s">
        <v>1504</v>
      </c>
      <c r="E601" t="s">
        <v>475</v>
      </c>
      <c r="G601" s="1" t="s">
        <v>2926</v>
      </c>
      <c r="H601" t="s">
        <v>492</v>
      </c>
      <c r="J601">
        <v>714010</v>
      </c>
      <c r="R601" t="s">
        <v>918</v>
      </c>
      <c r="S601" t="s">
        <v>991</v>
      </c>
      <c r="T601" t="s">
        <v>1023</v>
      </c>
      <c r="V601" t="s">
        <v>2927</v>
      </c>
      <c r="AE601" t="s">
        <v>478</v>
      </c>
      <c r="AL601" t="s">
        <v>919</v>
      </c>
      <c r="AM601" t="s">
        <v>919</v>
      </c>
      <c r="AO601" t="s">
        <v>480</v>
      </c>
      <c r="AP601" t="s">
        <v>481</v>
      </c>
      <c r="BF601" s="1"/>
      <c r="BH601" t="s">
        <v>1013</v>
      </c>
      <c r="BP601" t="s">
        <v>1489</v>
      </c>
    </row>
    <row r="602" spans="1:68" x14ac:dyDescent="0.25">
      <c r="A602" t="s">
        <v>5713</v>
      </c>
      <c r="B602" t="s">
        <v>474</v>
      </c>
      <c r="C602" t="s">
        <v>1504</v>
      </c>
      <c r="E602" t="s">
        <v>475</v>
      </c>
      <c r="G602" s="1" t="s">
        <v>2928</v>
      </c>
      <c r="H602" t="s">
        <v>492</v>
      </c>
      <c r="J602">
        <v>714010</v>
      </c>
      <c r="R602" t="s">
        <v>918</v>
      </c>
      <c r="S602" t="s">
        <v>991</v>
      </c>
      <c r="T602" t="s">
        <v>2929</v>
      </c>
      <c r="V602" t="s">
        <v>2927</v>
      </c>
      <c r="AE602" t="s">
        <v>478</v>
      </c>
      <c r="AL602" t="s">
        <v>919</v>
      </c>
      <c r="AM602" t="s">
        <v>919</v>
      </c>
      <c r="AO602" t="s">
        <v>480</v>
      </c>
      <c r="AP602" t="s">
        <v>481</v>
      </c>
      <c r="BF602" s="1"/>
      <c r="BH602" t="s">
        <v>1013</v>
      </c>
      <c r="BP602" t="s">
        <v>1489</v>
      </c>
    </row>
    <row r="603" spans="1:68" x14ac:dyDescent="0.25">
      <c r="A603" t="s">
        <v>5713</v>
      </c>
      <c r="B603" t="s">
        <v>474</v>
      </c>
      <c r="C603" t="s">
        <v>1504</v>
      </c>
      <c r="E603" t="s">
        <v>475</v>
      </c>
      <c r="G603" s="1" t="s">
        <v>2930</v>
      </c>
      <c r="H603" t="s">
        <v>492</v>
      </c>
      <c r="J603">
        <v>714010</v>
      </c>
      <c r="R603" t="s">
        <v>918</v>
      </c>
      <c r="S603" t="s">
        <v>991</v>
      </c>
      <c r="T603" t="s">
        <v>2931</v>
      </c>
      <c r="V603" t="s">
        <v>2932</v>
      </c>
      <c r="AE603" t="s">
        <v>478</v>
      </c>
      <c r="AL603" t="s">
        <v>919</v>
      </c>
      <c r="AM603" t="s">
        <v>919</v>
      </c>
      <c r="AO603" t="s">
        <v>480</v>
      </c>
      <c r="AP603" t="s">
        <v>481</v>
      </c>
      <c r="BF603" s="1"/>
      <c r="BH603" t="s">
        <v>1013</v>
      </c>
      <c r="BP603" t="s">
        <v>1489</v>
      </c>
    </row>
    <row r="604" spans="1:68" x14ac:dyDescent="0.25">
      <c r="A604" t="s">
        <v>5713</v>
      </c>
      <c r="B604" t="s">
        <v>474</v>
      </c>
      <c r="C604" t="s">
        <v>1504</v>
      </c>
      <c r="E604" t="s">
        <v>475</v>
      </c>
      <c r="G604" s="1" t="s">
        <v>2933</v>
      </c>
      <c r="H604" t="s">
        <v>492</v>
      </c>
      <c r="J604">
        <v>714010</v>
      </c>
      <c r="R604" t="s">
        <v>918</v>
      </c>
      <c r="S604" t="s">
        <v>991</v>
      </c>
      <c r="T604" t="s">
        <v>2934</v>
      </c>
      <c r="V604" t="s">
        <v>2935</v>
      </c>
      <c r="AE604" t="s">
        <v>478</v>
      </c>
      <c r="AL604" t="s">
        <v>919</v>
      </c>
      <c r="AM604" t="s">
        <v>919</v>
      </c>
      <c r="AO604" t="s">
        <v>480</v>
      </c>
      <c r="AP604" t="s">
        <v>481</v>
      </c>
      <c r="BF604" s="1"/>
      <c r="BH604" t="s">
        <v>1013</v>
      </c>
      <c r="BP604" t="s">
        <v>1489</v>
      </c>
    </row>
    <row r="605" spans="1:68" x14ac:dyDescent="0.25">
      <c r="A605" t="s">
        <v>5713</v>
      </c>
      <c r="B605" t="s">
        <v>474</v>
      </c>
      <c r="C605" t="s">
        <v>1504</v>
      </c>
      <c r="E605" t="s">
        <v>475</v>
      </c>
      <c r="G605" s="1" t="s">
        <v>2936</v>
      </c>
      <c r="H605" t="s">
        <v>492</v>
      </c>
      <c r="J605">
        <v>714010</v>
      </c>
      <c r="R605" t="s">
        <v>918</v>
      </c>
      <c r="S605" t="s">
        <v>991</v>
      </c>
      <c r="T605" t="s">
        <v>2937</v>
      </c>
      <c r="V605" t="s">
        <v>2938</v>
      </c>
      <c r="AE605" t="s">
        <v>478</v>
      </c>
      <c r="AL605" t="s">
        <v>919</v>
      </c>
      <c r="AM605" t="s">
        <v>919</v>
      </c>
      <c r="AO605" t="s">
        <v>480</v>
      </c>
      <c r="AP605" t="s">
        <v>481</v>
      </c>
      <c r="BF605" s="1"/>
      <c r="BH605" t="s">
        <v>1013</v>
      </c>
      <c r="BP605" t="s">
        <v>1489</v>
      </c>
    </row>
    <row r="606" spans="1:68" x14ac:dyDescent="0.25">
      <c r="A606" t="s">
        <v>5713</v>
      </c>
      <c r="B606" t="s">
        <v>474</v>
      </c>
      <c r="C606" t="s">
        <v>1504</v>
      </c>
      <c r="E606" t="s">
        <v>475</v>
      </c>
      <c r="G606" s="1" t="s">
        <v>2939</v>
      </c>
      <c r="H606" t="s">
        <v>492</v>
      </c>
      <c r="J606">
        <v>714010</v>
      </c>
      <c r="R606" t="s">
        <v>918</v>
      </c>
      <c r="S606" t="s">
        <v>991</v>
      </c>
      <c r="T606" t="s">
        <v>2940</v>
      </c>
      <c r="V606" t="s">
        <v>2941</v>
      </c>
      <c r="AE606" t="s">
        <v>478</v>
      </c>
      <c r="AL606" t="s">
        <v>919</v>
      </c>
      <c r="AM606" t="s">
        <v>919</v>
      </c>
      <c r="AO606" t="s">
        <v>480</v>
      </c>
      <c r="AP606" t="s">
        <v>481</v>
      </c>
      <c r="BF606" s="1"/>
      <c r="BH606" t="s">
        <v>1013</v>
      </c>
      <c r="BP606" t="s">
        <v>1489</v>
      </c>
    </row>
    <row r="607" spans="1:68" x14ac:dyDescent="0.25">
      <c r="A607" t="s">
        <v>5713</v>
      </c>
      <c r="B607" t="s">
        <v>474</v>
      </c>
      <c r="C607" t="s">
        <v>1504</v>
      </c>
      <c r="E607" t="s">
        <v>475</v>
      </c>
      <c r="G607" s="1" t="s">
        <v>2942</v>
      </c>
      <c r="H607" t="s">
        <v>492</v>
      </c>
      <c r="J607">
        <v>714010</v>
      </c>
      <c r="R607" t="s">
        <v>918</v>
      </c>
      <c r="S607" t="s">
        <v>991</v>
      </c>
      <c r="T607" t="s">
        <v>2943</v>
      </c>
      <c r="V607" t="s">
        <v>2944</v>
      </c>
      <c r="AE607" t="s">
        <v>478</v>
      </c>
      <c r="AL607" t="s">
        <v>919</v>
      </c>
      <c r="AM607" t="s">
        <v>919</v>
      </c>
      <c r="AO607" t="s">
        <v>480</v>
      </c>
      <c r="AP607" t="s">
        <v>481</v>
      </c>
      <c r="BF607" s="1"/>
      <c r="BH607" t="s">
        <v>1013</v>
      </c>
      <c r="BP607" t="s">
        <v>1489</v>
      </c>
    </row>
    <row r="608" spans="1:68" x14ac:dyDescent="0.25">
      <c r="A608" t="s">
        <v>5713</v>
      </c>
      <c r="B608" t="s">
        <v>474</v>
      </c>
      <c r="C608" t="s">
        <v>1504</v>
      </c>
      <c r="E608" t="s">
        <v>475</v>
      </c>
      <c r="G608" s="1" t="s">
        <v>2945</v>
      </c>
      <c r="H608" t="s">
        <v>492</v>
      </c>
      <c r="J608">
        <v>714010</v>
      </c>
      <c r="R608" t="s">
        <v>918</v>
      </c>
      <c r="S608" t="s">
        <v>991</v>
      </c>
      <c r="T608" t="s">
        <v>2946</v>
      </c>
      <c r="V608" t="s">
        <v>2947</v>
      </c>
      <c r="AE608" t="s">
        <v>478</v>
      </c>
      <c r="AL608" t="s">
        <v>919</v>
      </c>
      <c r="AM608" t="s">
        <v>919</v>
      </c>
      <c r="AO608" t="s">
        <v>480</v>
      </c>
      <c r="AP608" t="s">
        <v>481</v>
      </c>
      <c r="BF608" s="1"/>
      <c r="BH608" t="s">
        <v>1013</v>
      </c>
      <c r="BP608" t="s">
        <v>1489</v>
      </c>
    </row>
    <row r="609" spans="1:68" x14ac:dyDescent="0.25">
      <c r="A609" t="s">
        <v>5713</v>
      </c>
      <c r="B609" t="s">
        <v>474</v>
      </c>
      <c r="C609" t="s">
        <v>1504</v>
      </c>
      <c r="E609" t="s">
        <v>475</v>
      </c>
      <c r="G609" s="1" t="s">
        <v>2948</v>
      </c>
      <c r="H609" t="s">
        <v>492</v>
      </c>
      <c r="J609">
        <v>714010</v>
      </c>
      <c r="R609" t="s">
        <v>918</v>
      </c>
      <c r="S609" t="s">
        <v>991</v>
      </c>
      <c r="T609" t="s">
        <v>2949</v>
      </c>
      <c r="V609" t="s">
        <v>2950</v>
      </c>
      <c r="AE609" t="s">
        <v>478</v>
      </c>
      <c r="AL609" t="s">
        <v>919</v>
      </c>
      <c r="AM609" t="s">
        <v>919</v>
      </c>
      <c r="AO609" t="s">
        <v>480</v>
      </c>
      <c r="AP609" t="s">
        <v>481</v>
      </c>
      <c r="BF609" s="1"/>
      <c r="BH609" t="s">
        <v>1013</v>
      </c>
      <c r="BP609" t="s">
        <v>1489</v>
      </c>
    </row>
    <row r="610" spans="1:68" x14ac:dyDescent="0.25">
      <c r="A610" t="s">
        <v>5713</v>
      </c>
      <c r="B610" t="s">
        <v>474</v>
      </c>
      <c r="C610" t="s">
        <v>1504</v>
      </c>
      <c r="E610" t="s">
        <v>475</v>
      </c>
      <c r="G610" s="1" t="s">
        <v>2951</v>
      </c>
      <c r="H610" t="s">
        <v>492</v>
      </c>
      <c r="J610">
        <v>714010</v>
      </c>
      <c r="R610" t="s">
        <v>918</v>
      </c>
      <c r="S610" t="s">
        <v>991</v>
      </c>
      <c r="T610" t="s">
        <v>2952</v>
      </c>
      <c r="V610" t="s">
        <v>2953</v>
      </c>
      <c r="AE610" t="s">
        <v>478</v>
      </c>
      <c r="AL610" t="s">
        <v>919</v>
      </c>
      <c r="AM610" t="s">
        <v>919</v>
      </c>
      <c r="AO610" t="s">
        <v>480</v>
      </c>
      <c r="AP610" t="s">
        <v>481</v>
      </c>
      <c r="BF610" s="1"/>
      <c r="BH610" t="s">
        <v>1013</v>
      </c>
      <c r="BP610" t="s">
        <v>1489</v>
      </c>
    </row>
    <row r="611" spans="1:68" x14ac:dyDescent="0.25">
      <c r="A611" t="s">
        <v>5713</v>
      </c>
      <c r="B611" t="s">
        <v>474</v>
      </c>
      <c r="C611" t="s">
        <v>1504</v>
      </c>
      <c r="E611" t="s">
        <v>475</v>
      </c>
      <c r="G611" s="1" t="s">
        <v>2954</v>
      </c>
      <c r="H611" t="s">
        <v>492</v>
      </c>
      <c r="J611">
        <v>714010</v>
      </c>
      <c r="R611" t="s">
        <v>918</v>
      </c>
      <c r="S611" t="s">
        <v>991</v>
      </c>
      <c r="T611" t="s">
        <v>2955</v>
      </c>
      <c r="V611" t="s">
        <v>2956</v>
      </c>
      <c r="AE611" t="s">
        <v>478</v>
      </c>
      <c r="AL611" t="s">
        <v>919</v>
      </c>
      <c r="AM611" t="s">
        <v>919</v>
      </c>
      <c r="AO611" t="s">
        <v>480</v>
      </c>
      <c r="AP611" t="s">
        <v>481</v>
      </c>
      <c r="BF611" s="1"/>
      <c r="BH611" t="s">
        <v>1013</v>
      </c>
      <c r="BP611" t="s">
        <v>1489</v>
      </c>
    </row>
    <row r="612" spans="1:68" x14ac:dyDescent="0.25">
      <c r="A612" t="s">
        <v>5713</v>
      </c>
      <c r="B612" t="s">
        <v>474</v>
      </c>
      <c r="C612" t="s">
        <v>1504</v>
      </c>
      <c r="E612" t="s">
        <v>475</v>
      </c>
      <c r="G612" s="1" t="s">
        <v>2957</v>
      </c>
      <c r="H612" t="s">
        <v>492</v>
      </c>
      <c r="J612">
        <v>714010</v>
      </c>
      <c r="R612" t="s">
        <v>918</v>
      </c>
      <c r="S612" t="s">
        <v>991</v>
      </c>
      <c r="T612" t="s">
        <v>2958</v>
      </c>
      <c r="V612" t="s">
        <v>2959</v>
      </c>
      <c r="AE612" t="s">
        <v>478</v>
      </c>
      <c r="AL612" t="s">
        <v>919</v>
      </c>
      <c r="AM612" t="s">
        <v>919</v>
      </c>
      <c r="AO612" t="s">
        <v>480</v>
      </c>
      <c r="AP612" t="s">
        <v>481</v>
      </c>
      <c r="BF612" s="1"/>
      <c r="BH612" t="s">
        <v>1013</v>
      </c>
      <c r="BP612" t="s">
        <v>1489</v>
      </c>
    </row>
    <row r="613" spans="1:68" x14ac:dyDescent="0.25">
      <c r="A613" t="s">
        <v>5713</v>
      </c>
      <c r="B613" t="s">
        <v>474</v>
      </c>
      <c r="C613" t="s">
        <v>1504</v>
      </c>
      <c r="E613" t="s">
        <v>475</v>
      </c>
      <c r="G613" s="1" t="s">
        <v>2960</v>
      </c>
      <c r="H613" t="s">
        <v>492</v>
      </c>
      <c r="J613">
        <v>714010</v>
      </c>
      <c r="R613" t="s">
        <v>918</v>
      </c>
      <c r="S613" t="s">
        <v>991</v>
      </c>
      <c r="T613" t="s">
        <v>2961</v>
      </c>
      <c r="V613" t="s">
        <v>2962</v>
      </c>
      <c r="AE613" t="s">
        <v>478</v>
      </c>
      <c r="AL613" t="s">
        <v>919</v>
      </c>
      <c r="AM613" t="s">
        <v>919</v>
      </c>
      <c r="AO613" t="s">
        <v>480</v>
      </c>
      <c r="AP613" t="s">
        <v>481</v>
      </c>
      <c r="BF613" s="1"/>
      <c r="BH613" t="s">
        <v>1013</v>
      </c>
      <c r="BP613" t="s">
        <v>1489</v>
      </c>
    </row>
    <row r="614" spans="1:68" x14ac:dyDescent="0.25">
      <c r="A614" t="s">
        <v>5713</v>
      </c>
      <c r="B614" t="s">
        <v>474</v>
      </c>
      <c r="C614" t="s">
        <v>1504</v>
      </c>
      <c r="E614" t="s">
        <v>475</v>
      </c>
      <c r="G614" s="1" t="s">
        <v>2963</v>
      </c>
      <c r="H614" t="s">
        <v>492</v>
      </c>
      <c r="J614">
        <v>714010</v>
      </c>
      <c r="R614" t="s">
        <v>918</v>
      </c>
      <c r="S614" t="s">
        <v>991</v>
      </c>
      <c r="T614" t="s">
        <v>2964</v>
      </c>
      <c r="V614" t="s">
        <v>2965</v>
      </c>
      <c r="AE614" t="s">
        <v>478</v>
      </c>
      <c r="AL614" t="s">
        <v>919</v>
      </c>
      <c r="AM614" t="s">
        <v>919</v>
      </c>
      <c r="AO614" t="s">
        <v>480</v>
      </c>
      <c r="AP614" t="s">
        <v>481</v>
      </c>
      <c r="BF614" s="1"/>
      <c r="BH614" t="s">
        <v>1013</v>
      </c>
      <c r="BP614" t="s">
        <v>1489</v>
      </c>
    </row>
    <row r="615" spans="1:68" x14ac:dyDescent="0.25">
      <c r="A615" t="s">
        <v>5713</v>
      </c>
      <c r="B615" t="s">
        <v>474</v>
      </c>
      <c r="C615" t="s">
        <v>1504</v>
      </c>
      <c r="E615" t="s">
        <v>475</v>
      </c>
      <c r="G615" s="1" t="s">
        <v>2966</v>
      </c>
      <c r="H615" t="s">
        <v>492</v>
      </c>
      <c r="J615">
        <v>714010</v>
      </c>
      <c r="R615" t="s">
        <v>918</v>
      </c>
      <c r="S615" t="s">
        <v>991</v>
      </c>
      <c r="T615" t="s">
        <v>2967</v>
      </c>
      <c r="V615" t="s">
        <v>2968</v>
      </c>
      <c r="AE615" t="s">
        <v>478</v>
      </c>
      <c r="AL615" t="s">
        <v>919</v>
      </c>
      <c r="AM615" t="s">
        <v>919</v>
      </c>
      <c r="AO615" t="s">
        <v>480</v>
      </c>
      <c r="AP615" t="s">
        <v>481</v>
      </c>
      <c r="BF615" s="1"/>
      <c r="BH615" t="s">
        <v>1013</v>
      </c>
      <c r="BP615" t="s">
        <v>1489</v>
      </c>
    </row>
    <row r="616" spans="1:68" x14ac:dyDescent="0.25">
      <c r="A616" t="s">
        <v>5713</v>
      </c>
      <c r="B616" t="s">
        <v>474</v>
      </c>
      <c r="C616" t="s">
        <v>1504</v>
      </c>
      <c r="E616" t="s">
        <v>475</v>
      </c>
      <c r="G616" s="1" t="s">
        <v>2969</v>
      </c>
      <c r="H616" t="s">
        <v>492</v>
      </c>
      <c r="J616">
        <v>714010</v>
      </c>
      <c r="R616" t="s">
        <v>918</v>
      </c>
      <c r="S616" t="s">
        <v>991</v>
      </c>
      <c r="T616" t="s">
        <v>2970</v>
      </c>
      <c r="V616" t="s">
        <v>2971</v>
      </c>
      <c r="AE616" t="s">
        <v>478</v>
      </c>
      <c r="AL616" t="s">
        <v>919</v>
      </c>
      <c r="AM616" t="s">
        <v>919</v>
      </c>
      <c r="AO616" t="s">
        <v>480</v>
      </c>
      <c r="AP616" t="s">
        <v>481</v>
      </c>
      <c r="BF616" s="1"/>
      <c r="BH616" t="s">
        <v>1013</v>
      </c>
      <c r="BP616" t="s">
        <v>1489</v>
      </c>
    </row>
    <row r="617" spans="1:68" x14ac:dyDescent="0.25">
      <c r="A617" t="s">
        <v>5713</v>
      </c>
      <c r="B617" t="s">
        <v>474</v>
      </c>
      <c r="C617" t="s">
        <v>1504</v>
      </c>
      <c r="E617" t="s">
        <v>475</v>
      </c>
      <c r="G617" s="1" t="s">
        <v>2972</v>
      </c>
      <c r="H617" t="s">
        <v>492</v>
      </c>
      <c r="J617">
        <v>714010</v>
      </c>
      <c r="R617" t="s">
        <v>918</v>
      </c>
      <c r="S617" t="s">
        <v>991</v>
      </c>
      <c r="T617" t="s">
        <v>2973</v>
      </c>
      <c r="V617" t="s">
        <v>2974</v>
      </c>
      <c r="AE617" t="s">
        <v>478</v>
      </c>
      <c r="AL617" t="s">
        <v>919</v>
      </c>
      <c r="AM617" t="s">
        <v>919</v>
      </c>
      <c r="AO617" t="s">
        <v>480</v>
      </c>
      <c r="AP617" t="s">
        <v>481</v>
      </c>
      <c r="BF617" s="1"/>
      <c r="BH617" t="s">
        <v>1013</v>
      </c>
      <c r="BP617" t="s">
        <v>1489</v>
      </c>
    </row>
    <row r="618" spans="1:68" x14ac:dyDescent="0.25">
      <c r="A618" t="s">
        <v>5713</v>
      </c>
      <c r="B618" t="s">
        <v>474</v>
      </c>
      <c r="C618" t="s">
        <v>1504</v>
      </c>
      <c r="E618" t="s">
        <v>475</v>
      </c>
      <c r="G618" s="1" t="s">
        <v>2975</v>
      </c>
      <c r="H618" t="s">
        <v>492</v>
      </c>
      <c r="J618">
        <v>714010</v>
      </c>
      <c r="R618" t="s">
        <v>918</v>
      </c>
      <c r="S618" t="s">
        <v>991</v>
      </c>
      <c r="T618" t="s">
        <v>2976</v>
      </c>
      <c r="V618" t="s">
        <v>2977</v>
      </c>
      <c r="AE618" t="s">
        <v>478</v>
      </c>
      <c r="AL618" t="s">
        <v>919</v>
      </c>
      <c r="AM618" t="s">
        <v>919</v>
      </c>
      <c r="AO618" t="s">
        <v>480</v>
      </c>
      <c r="AP618" t="s">
        <v>481</v>
      </c>
      <c r="BF618" s="1"/>
      <c r="BH618" t="s">
        <v>1013</v>
      </c>
      <c r="BP618" t="s">
        <v>1489</v>
      </c>
    </row>
    <row r="619" spans="1:68" x14ac:dyDescent="0.25">
      <c r="A619" t="s">
        <v>5713</v>
      </c>
      <c r="B619" t="s">
        <v>474</v>
      </c>
      <c r="C619" t="s">
        <v>1504</v>
      </c>
      <c r="E619" t="s">
        <v>475</v>
      </c>
      <c r="G619" s="1" t="s">
        <v>2978</v>
      </c>
      <c r="H619" t="s">
        <v>492</v>
      </c>
      <c r="J619">
        <v>714010</v>
      </c>
      <c r="R619" t="s">
        <v>918</v>
      </c>
      <c r="S619" t="s">
        <v>991</v>
      </c>
      <c r="T619" t="s">
        <v>2979</v>
      </c>
      <c r="V619" t="s">
        <v>2980</v>
      </c>
      <c r="AE619" t="s">
        <v>478</v>
      </c>
      <c r="AL619" t="s">
        <v>919</v>
      </c>
      <c r="AM619" t="s">
        <v>919</v>
      </c>
      <c r="AO619" t="s">
        <v>480</v>
      </c>
      <c r="AP619" t="s">
        <v>481</v>
      </c>
      <c r="BF619" s="1"/>
      <c r="BH619" t="s">
        <v>1013</v>
      </c>
      <c r="BP619" t="s">
        <v>1489</v>
      </c>
    </row>
    <row r="620" spans="1:68" x14ac:dyDescent="0.25">
      <c r="A620" t="s">
        <v>5713</v>
      </c>
      <c r="B620" t="s">
        <v>474</v>
      </c>
      <c r="C620" t="s">
        <v>1504</v>
      </c>
      <c r="E620" t="s">
        <v>475</v>
      </c>
      <c r="G620" s="1" t="s">
        <v>2981</v>
      </c>
      <c r="H620" t="s">
        <v>492</v>
      </c>
      <c r="J620">
        <v>714010</v>
      </c>
      <c r="R620" t="s">
        <v>918</v>
      </c>
      <c r="S620" t="s">
        <v>991</v>
      </c>
      <c r="T620" t="s">
        <v>2982</v>
      </c>
      <c r="V620" t="s">
        <v>2983</v>
      </c>
      <c r="AE620" t="s">
        <v>478</v>
      </c>
      <c r="AL620" t="s">
        <v>919</v>
      </c>
      <c r="AM620" t="s">
        <v>919</v>
      </c>
      <c r="AO620" t="s">
        <v>480</v>
      </c>
      <c r="AP620" t="s">
        <v>481</v>
      </c>
      <c r="BF620" s="1"/>
      <c r="BH620" t="s">
        <v>1013</v>
      </c>
      <c r="BP620" t="s">
        <v>1489</v>
      </c>
    </row>
    <row r="621" spans="1:68" x14ac:dyDescent="0.25">
      <c r="A621" t="s">
        <v>5713</v>
      </c>
      <c r="B621" t="s">
        <v>474</v>
      </c>
      <c r="C621" t="s">
        <v>1504</v>
      </c>
      <c r="E621" t="s">
        <v>475</v>
      </c>
      <c r="G621" s="1" t="s">
        <v>2984</v>
      </c>
      <c r="H621" t="s">
        <v>492</v>
      </c>
      <c r="J621">
        <v>714010</v>
      </c>
      <c r="R621" t="s">
        <v>918</v>
      </c>
      <c r="S621" t="s">
        <v>991</v>
      </c>
      <c r="T621" t="s">
        <v>2985</v>
      </c>
      <c r="V621" t="s">
        <v>2986</v>
      </c>
      <c r="AE621" t="s">
        <v>478</v>
      </c>
      <c r="AL621" t="s">
        <v>919</v>
      </c>
      <c r="AM621" t="s">
        <v>919</v>
      </c>
      <c r="AO621" t="s">
        <v>480</v>
      </c>
      <c r="AP621" t="s">
        <v>481</v>
      </c>
      <c r="BF621" s="1"/>
      <c r="BH621" t="s">
        <v>1013</v>
      </c>
      <c r="BP621" t="s">
        <v>1489</v>
      </c>
    </row>
    <row r="622" spans="1:68" x14ac:dyDescent="0.25">
      <c r="A622" t="s">
        <v>5713</v>
      </c>
      <c r="B622" t="s">
        <v>474</v>
      </c>
      <c r="C622" t="s">
        <v>1504</v>
      </c>
      <c r="E622" t="s">
        <v>475</v>
      </c>
      <c r="G622" s="1" t="s">
        <v>2987</v>
      </c>
      <c r="H622" t="s">
        <v>492</v>
      </c>
      <c r="J622">
        <v>714010</v>
      </c>
      <c r="R622" t="s">
        <v>918</v>
      </c>
      <c r="S622" t="s">
        <v>991</v>
      </c>
      <c r="T622" t="s">
        <v>1009</v>
      </c>
      <c r="V622" t="s">
        <v>2988</v>
      </c>
      <c r="AE622" t="s">
        <v>478</v>
      </c>
      <c r="AL622" t="s">
        <v>919</v>
      </c>
      <c r="AM622" t="s">
        <v>919</v>
      </c>
      <c r="AO622" t="s">
        <v>480</v>
      </c>
      <c r="AP622" t="s">
        <v>481</v>
      </c>
      <c r="BF622" s="1"/>
      <c r="BH622" t="s">
        <v>1013</v>
      </c>
      <c r="BP622" t="s">
        <v>1489</v>
      </c>
    </row>
    <row r="623" spans="1:68" x14ac:dyDescent="0.25">
      <c r="A623" t="s">
        <v>5713</v>
      </c>
      <c r="B623" t="s">
        <v>474</v>
      </c>
      <c r="C623" t="s">
        <v>1504</v>
      </c>
      <c r="E623" t="s">
        <v>475</v>
      </c>
      <c r="G623" s="1" t="s">
        <v>2989</v>
      </c>
      <c r="H623" t="s">
        <v>492</v>
      </c>
      <c r="J623">
        <v>714010</v>
      </c>
      <c r="R623" t="s">
        <v>918</v>
      </c>
      <c r="S623" t="s">
        <v>991</v>
      </c>
      <c r="T623" t="s">
        <v>2990</v>
      </c>
      <c r="V623" t="s">
        <v>2991</v>
      </c>
      <c r="AE623" t="s">
        <v>478</v>
      </c>
      <c r="AL623" t="s">
        <v>919</v>
      </c>
      <c r="AM623" t="s">
        <v>919</v>
      </c>
      <c r="AO623" t="s">
        <v>480</v>
      </c>
      <c r="AP623" t="s">
        <v>481</v>
      </c>
      <c r="BF623" s="1"/>
      <c r="BH623" t="s">
        <v>1013</v>
      </c>
      <c r="BP623" t="s">
        <v>1489</v>
      </c>
    </row>
    <row r="624" spans="1:68" x14ac:dyDescent="0.25">
      <c r="A624" t="s">
        <v>5713</v>
      </c>
      <c r="B624" t="s">
        <v>474</v>
      </c>
      <c r="C624" t="s">
        <v>1504</v>
      </c>
      <c r="E624" t="s">
        <v>475</v>
      </c>
      <c r="G624" s="1" t="s">
        <v>2992</v>
      </c>
      <c r="H624" t="s">
        <v>492</v>
      </c>
      <c r="J624">
        <v>714010</v>
      </c>
      <c r="R624" t="s">
        <v>918</v>
      </c>
      <c r="S624" t="s">
        <v>991</v>
      </c>
      <c r="T624" t="s">
        <v>2993</v>
      </c>
      <c r="V624" t="s">
        <v>2994</v>
      </c>
      <c r="AE624" t="s">
        <v>478</v>
      </c>
      <c r="AL624" t="s">
        <v>919</v>
      </c>
      <c r="AM624" t="s">
        <v>919</v>
      </c>
      <c r="AO624" t="s">
        <v>480</v>
      </c>
      <c r="AP624" t="s">
        <v>481</v>
      </c>
      <c r="BF624" s="1"/>
      <c r="BH624" t="s">
        <v>1013</v>
      </c>
      <c r="BP624" t="s">
        <v>1489</v>
      </c>
    </row>
    <row r="625" spans="1:68" x14ac:dyDescent="0.25">
      <c r="A625" t="s">
        <v>5713</v>
      </c>
      <c r="B625" t="s">
        <v>474</v>
      </c>
      <c r="C625" t="s">
        <v>1504</v>
      </c>
      <c r="E625" t="s">
        <v>475</v>
      </c>
      <c r="G625" s="1" t="s">
        <v>2995</v>
      </c>
      <c r="H625" t="s">
        <v>492</v>
      </c>
      <c r="J625">
        <v>714010</v>
      </c>
      <c r="R625" t="s">
        <v>918</v>
      </c>
      <c r="S625" t="s">
        <v>991</v>
      </c>
      <c r="T625" t="s">
        <v>2996</v>
      </c>
      <c r="V625" t="s">
        <v>2997</v>
      </c>
      <c r="AE625" t="s">
        <v>478</v>
      </c>
      <c r="AL625" t="s">
        <v>919</v>
      </c>
      <c r="AM625" t="s">
        <v>919</v>
      </c>
      <c r="AO625" t="s">
        <v>480</v>
      </c>
      <c r="AP625" t="s">
        <v>481</v>
      </c>
      <c r="BF625" s="1"/>
      <c r="BH625" t="s">
        <v>1013</v>
      </c>
      <c r="BP625" t="s">
        <v>1489</v>
      </c>
    </row>
    <row r="626" spans="1:68" x14ac:dyDescent="0.25">
      <c r="A626" t="s">
        <v>5713</v>
      </c>
      <c r="B626" t="s">
        <v>474</v>
      </c>
      <c r="C626" t="s">
        <v>1504</v>
      </c>
      <c r="E626" t="s">
        <v>475</v>
      </c>
      <c r="G626" s="1" t="s">
        <v>2998</v>
      </c>
      <c r="H626" t="s">
        <v>492</v>
      </c>
      <c r="J626">
        <v>714010</v>
      </c>
      <c r="R626" t="s">
        <v>918</v>
      </c>
      <c r="S626" t="s">
        <v>991</v>
      </c>
      <c r="T626" t="s">
        <v>2999</v>
      </c>
      <c r="V626" t="s">
        <v>3000</v>
      </c>
      <c r="AE626" t="s">
        <v>478</v>
      </c>
      <c r="AL626" t="s">
        <v>919</v>
      </c>
      <c r="AM626" t="s">
        <v>919</v>
      </c>
      <c r="AO626" t="s">
        <v>480</v>
      </c>
      <c r="AP626" t="s">
        <v>481</v>
      </c>
      <c r="BF626" s="1"/>
      <c r="BH626" t="s">
        <v>1013</v>
      </c>
      <c r="BP626" t="s">
        <v>1489</v>
      </c>
    </row>
    <row r="627" spans="1:68" x14ac:dyDescent="0.25">
      <c r="A627" t="s">
        <v>5713</v>
      </c>
      <c r="B627" t="s">
        <v>474</v>
      </c>
      <c r="C627" t="s">
        <v>1504</v>
      </c>
      <c r="E627" t="s">
        <v>475</v>
      </c>
      <c r="G627" s="1" t="s">
        <v>3001</v>
      </c>
      <c r="H627" t="s">
        <v>492</v>
      </c>
      <c r="J627">
        <v>714010</v>
      </c>
      <c r="R627" t="s">
        <v>918</v>
      </c>
      <c r="S627" t="s">
        <v>991</v>
      </c>
      <c r="T627" t="s">
        <v>3002</v>
      </c>
      <c r="V627" t="s">
        <v>3003</v>
      </c>
      <c r="AE627" t="s">
        <v>478</v>
      </c>
      <c r="AL627" t="s">
        <v>919</v>
      </c>
      <c r="AM627" t="s">
        <v>919</v>
      </c>
      <c r="AO627" t="s">
        <v>480</v>
      </c>
      <c r="AP627" t="s">
        <v>481</v>
      </c>
      <c r="BF627" s="1"/>
      <c r="BH627" t="s">
        <v>1013</v>
      </c>
      <c r="BP627" t="s">
        <v>1489</v>
      </c>
    </row>
    <row r="628" spans="1:68" x14ac:dyDescent="0.25">
      <c r="A628" t="s">
        <v>5713</v>
      </c>
      <c r="B628" t="s">
        <v>474</v>
      </c>
      <c r="C628" t="s">
        <v>1504</v>
      </c>
      <c r="E628" t="s">
        <v>475</v>
      </c>
      <c r="G628" s="1" t="s">
        <v>3004</v>
      </c>
      <c r="H628" t="s">
        <v>492</v>
      </c>
      <c r="J628">
        <v>714010</v>
      </c>
      <c r="R628" t="s">
        <v>918</v>
      </c>
      <c r="S628" t="s">
        <v>991</v>
      </c>
      <c r="T628" t="s">
        <v>3005</v>
      </c>
      <c r="V628" t="s">
        <v>3006</v>
      </c>
      <c r="AE628" t="s">
        <v>478</v>
      </c>
      <c r="AL628" t="s">
        <v>919</v>
      </c>
      <c r="AM628" t="s">
        <v>919</v>
      </c>
      <c r="AO628" t="s">
        <v>480</v>
      </c>
      <c r="AP628" t="s">
        <v>481</v>
      </c>
      <c r="BF628" s="1"/>
      <c r="BH628" t="s">
        <v>1013</v>
      </c>
      <c r="BP628" t="s">
        <v>1489</v>
      </c>
    </row>
    <row r="629" spans="1:68" x14ac:dyDescent="0.25">
      <c r="A629" t="s">
        <v>5713</v>
      </c>
      <c r="B629" t="s">
        <v>474</v>
      </c>
      <c r="C629" t="s">
        <v>1504</v>
      </c>
      <c r="E629" t="s">
        <v>475</v>
      </c>
      <c r="G629" s="1" t="s">
        <v>3007</v>
      </c>
      <c r="H629" t="s">
        <v>492</v>
      </c>
      <c r="J629">
        <v>714010</v>
      </c>
      <c r="R629" t="s">
        <v>918</v>
      </c>
      <c r="S629" t="s">
        <v>991</v>
      </c>
      <c r="T629" t="s">
        <v>1021</v>
      </c>
      <c r="V629" t="s">
        <v>3008</v>
      </c>
      <c r="AE629" t="s">
        <v>478</v>
      </c>
      <c r="AL629" t="s">
        <v>919</v>
      </c>
      <c r="AM629" t="s">
        <v>919</v>
      </c>
      <c r="AO629" t="s">
        <v>480</v>
      </c>
      <c r="AP629" t="s">
        <v>481</v>
      </c>
      <c r="BF629" s="1"/>
      <c r="BH629" t="s">
        <v>1013</v>
      </c>
      <c r="BP629" t="s">
        <v>1489</v>
      </c>
    </row>
    <row r="630" spans="1:68" x14ac:dyDescent="0.25">
      <c r="A630" t="s">
        <v>5713</v>
      </c>
      <c r="B630" t="s">
        <v>474</v>
      </c>
      <c r="C630" t="s">
        <v>1504</v>
      </c>
      <c r="E630" t="s">
        <v>475</v>
      </c>
      <c r="G630" s="1" t="s">
        <v>3009</v>
      </c>
      <c r="H630" t="s">
        <v>492</v>
      </c>
      <c r="J630">
        <v>714010</v>
      </c>
      <c r="R630" t="s">
        <v>918</v>
      </c>
      <c r="S630" t="s">
        <v>991</v>
      </c>
      <c r="T630" t="s">
        <v>3010</v>
      </c>
      <c r="V630" t="s">
        <v>3011</v>
      </c>
      <c r="AE630" t="s">
        <v>478</v>
      </c>
      <c r="AL630" t="s">
        <v>919</v>
      </c>
      <c r="AM630" t="s">
        <v>919</v>
      </c>
      <c r="AO630" t="s">
        <v>480</v>
      </c>
      <c r="AP630" t="s">
        <v>481</v>
      </c>
      <c r="BF630" s="1"/>
      <c r="BH630" t="s">
        <v>1013</v>
      </c>
      <c r="BP630" t="s">
        <v>1489</v>
      </c>
    </row>
    <row r="631" spans="1:68" x14ac:dyDescent="0.25">
      <c r="A631" t="s">
        <v>5713</v>
      </c>
      <c r="B631" t="s">
        <v>474</v>
      </c>
      <c r="C631" t="s">
        <v>1504</v>
      </c>
      <c r="E631" t="s">
        <v>475</v>
      </c>
      <c r="G631" s="1" t="s">
        <v>3012</v>
      </c>
      <c r="H631" t="s">
        <v>492</v>
      </c>
      <c r="J631">
        <v>714010</v>
      </c>
      <c r="R631" t="s">
        <v>918</v>
      </c>
      <c r="S631" t="s">
        <v>991</v>
      </c>
      <c r="T631" t="s">
        <v>3013</v>
      </c>
      <c r="V631" t="s">
        <v>3014</v>
      </c>
      <c r="AE631" t="s">
        <v>478</v>
      </c>
      <c r="AL631" t="s">
        <v>919</v>
      </c>
      <c r="AM631" t="s">
        <v>919</v>
      </c>
      <c r="AO631" t="s">
        <v>480</v>
      </c>
      <c r="AP631" t="s">
        <v>481</v>
      </c>
      <c r="BF631" s="1"/>
      <c r="BH631" t="s">
        <v>1013</v>
      </c>
      <c r="BP631" t="s">
        <v>1489</v>
      </c>
    </row>
    <row r="632" spans="1:68" x14ac:dyDescent="0.25">
      <c r="A632" t="s">
        <v>5713</v>
      </c>
      <c r="B632" t="s">
        <v>474</v>
      </c>
      <c r="C632" t="s">
        <v>1504</v>
      </c>
      <c r="E632" t="s">
        <v>475</v>
      </c>
      <c r="G632" s="1" t="s">
        <v>3015</v>
      </c>
      <c r="H632" t="s">
        <v>492</v>
      </c>
      <c r="J632">
        <v>714010</v>
      </c>
      <c r="R632" t="s">
        <v>918</v>
      </c>
      <c r="S632" t="s">
        <v>991</v>
      </c>
      <c r="T632" t="s">
        <v>3016</v>
      </c>
      <c r="V632" t="s">
        <v>3017</v>
      </c>
      <c r="AE632" t="s">
        <v>478</v>
      </c>
      <c r="AL632" t="s">
        <v>919</v>
      </c>
      <c r="AM632" t="s">
        <v>919</v>
      </c>
      <c r="AO632" t="s">
        <v>480</v>
      </c>
      <c r="AP632" t="s">
        <v>481</v>
      </c>
      <c r="BF632" s="1"/>
      <c r="BH632" t="s">
        <v>1013</v>
      </c>
      <c r="BP632" t="s">
        <v>1489</v>
      </c>
    </row>
    <row r="633" spans="1:68" x14ac:dyDescent="0.25">
      <c r="A633" t="s">
        <v>5713</v>
      </c>
      <c r="B633" t="s">
        <v>474</v>
      </c>
      <c r="C633" t="s">
        <v>1504</v>
      </c>
      <c r="E633" t="s">
        <v>475</v>
      </c>
      <c r="G633" s="1" t="s">
        <v>3018</v>
      </c>
      <c r="H633" t="s">
        <v>492</v>
      </c>
      <c r="J633">
        <v>714010</v>
      </c>
      <c r="R633" t="s">
        <v>918</v>
      </c>
      <c r="S633" t="s">
        <v>991</v>
      </c>
      <c r="T633" t="s">
        <v>3019</v>
      </c>
      <c r="V633" t="s">
        <v>3020</v>
      </c>
      <c r="AE633" t="s">
        <v>478</v>
      </c>
      <c r="AL633" t="s">
        <v>919</v>
      </c>
      <c r="AM633" t="s">
        <v>919</v>
      </c>
      <c r="AO633" t="s">
        <v>480</v>
      </c>
      <c r="AP633" t="s">
        <v>481</v>
      </c>
      <c r="BF633" s="1"/>
      <c r="BH633" t="s">
        <v>1013</v>
      </c>
      <c r="BP633" t="s">
        <v>1489</v>
      </c>
    </row>
    <row r="634" spans="1:68" x14ac:dyDescent="0.25">
      <c r="A634" t="s">
        <v>5713</v>
      </c>
      <c r="B634" t="s">
        <v>474</v>
      </c>
      <c r="C634" t="s">
        <v>1504</v>
      </c>
      <c r="E634" t="s">
        <v>475</v>
      </c>
      <c r="G634" s="1" t="s">
        <v>3021</v>
      </c>
      <c r="H634" t="s">
        <v>492</v>
      </c>
      <c r="J634">
        <v>714010</v>
      </c>
      <c r="R634" t="s">
        <v>918</v>
      </c>
      <c r="S634" t="s">
        <v>991</v>
      </c>
      <c r="T634" t="s">
        <v>3022</v>
      </c>
      <c r="V634" t="s">
        <v>3023</v>
      </c>
      <c r="AE634" t="s">
        <v>478</v>
      </c>
      <c r="AL634" t="s">
        <v>919</v>
      </c>
      <c r="AM634" t="s">
        <v>919</v>
      </c>
      <c r="AO634" t="s">
        <v>480</v>
      </c>
      <c r="AP634" t="s">
        <v>481</v>
      </c>
      <c r="BF634" s="1"/>
      <c r="BH634" t="s">
        <v>1013</v>
      </c>
      <c r="BP634" t="s">
        <v>1489</v>
      </c>
    </row>
    <row r="635" spans="1:68" x14ac:dyDescent="0.25">
      <c r="A635" t="s">
        <v>5713</v>
      </c>
      <c r="B635" t="s">
        <v>474</v>
      </c>
      <c r="C635" t="s">
        <v>1504</v>
      </c>
      <c r="E635" t="s">
        <v>475</v>
      </c>
      <c r="G635" s="1" t="s">
        <v>3024</v>
      </c>
      <c r="H635" t="s">
        <v>492</v>
      </c>
      <c r="J635">
        <v>714010</v>
      </c>
      <c r="R635" t="s">
        <v>918</v>
      </c>
      <c r="S635" t="s">
        <v>991</v>
      </c>
      <c r="T635" t="s">
        <v>3025</v>
      </c>
      <c r="V635" t="s">
        <v>3026</v>
      </c>
      <c r="AE635" t="s">
        <v>478</v>
      </c>
      <c r="AL635" t="s">
        <v>919</v>
      </c>
      <c r="AM635" t="s">
        <v>919</v>
      </c>
      <c r="AO635" t="s">
        <v>480</v>
      </c>
      <c r="AP635" t="s">
        <v>481</v>
      </c>
      <c r="BF635" s="1"/>
      <c r="BH635" t="s">
        <v>1013</v>
      </c>
      <c r="BP635" t="s">
        <v>1489</v>
      </c>
    </row>
    <row r="636" spans="1:68" x14ac:dyDescent="0.25">
      <c r="A636" t="s">
        <v>5713</v>
      </c>
      <c r="B636" t="s">
        <v>474</v>
      </c>
      <c r="C636" t="s">
        <v>1504</v>
      </c>
      <c r="E636" t="s">
        <v>475</v>
      </c>
      <c r="G636" s="1" t="s">
        <v>3027</v>
      </c>
      <c r="H636" t="s">
        <v>492</v>
      </c>
      <c r="J636">
        <v>714010</v>
      </c>
      <c r="R636" t="s">
        <v>918</v>
      </c>
      <c r="S636" t="s">
        <v>991</v>
      </c>
      <c r="T636" t="s">
        <v>3028</v>
      </c>
      <c r="V636" t="s">
        <v>3029</v>
      </c>
      <c r="AE636" t="s">
        <v>478</v>
      </c>
      <c r="AL636" t="s">
        <v>919</v>
      </c>
      <c r="AM636" t="s">
        <v>919</v>
      </c>
      <c r="AO636" t="s">
        <v>480</v>
      </c>
      <c r="AP636" t="s">
        <v>481</v>
      </c>
      <c r="BF636" s="1"/>
      <c r="BH636" t="s">
        <v>1013</v>
      </c>
      <c r="BP636" t="s">
        <v>1489</v>
      </c>
    </row>
    <row r="637" spans="1:68" x14ac:dyDescent="0.25">
      <c r="A637" t="s">
        <v>5713</v>
      </c>
      <c r="B637" t="s">
        <v>474</v>
      </c>
      <c r="C637" t="s">
        <v>1504</v>
      </c>
      <c r="E637" t="s">
        <v>475</v>
      </c>
      <c r="G637" s="1" t="s">
        <v>3030</v>
      </c>
      <c r="H637" t="s">
        <v>492</v>
      </c>
      <c r="J637">
        <v>714010</v>
      </c>
      <c r="R637" t="s">
        <v>918</v>
      </c>
      <c r="S637" t="s">
        <v>991</v>
      </c>
      <c r="T637" t="s">
        <v>3031</v>
      </c>
      <c r="V637" t="s">
        <v>3032</v>
      </c>
      <c r="AE637" t="s">
        <v>478</v>
      </c>
      <c r="AL637" t="s">
        <v>919</v>
      </c>
      <c r="AM637" t="s">
        <v>919</v>
      </c>
      <c r="AO637" t="s">
        <v>480</v>
      </c>
      <c r="AP637" t="s">
        <v>481</v>
      </c>
      <c r="BF637" s="1"/>
      <c r="BH637" t="s">
        <v>1013</v>
      </c>
      <c r="BP637" t="s">
        <v>1489</v>
      </c>
    </row>
    <row r="638" spans="1:68" x14ac:dyDescent="0.25">
      <c r="A638" t="s">
        <v>5713</v>
      </c>
      <c r="B638" t="s">
        <v>474</v>
      </c>
      <c r="C638" t="s">
        <v>1504</v>
      </c>
      <c r="E638" t="s">
        <v>475</v>
      </c>
      <c r="G638" s="1" t="s">
        <v>3033</v>
      </c>
      <c r="H638" t="s">
        <v>492</v>
      </c>
      <c r="J638">
        <v>714010</v>
      </c>
      <c r="R638" t="s">
        <v>918</v>
      </c>
      <c r="S638" t="s">
        <v>991</v>
      </c>
      <c r="T638" t="s">
        <v>3034</v>
      </c>
      <c r="V638" t="s">
        <v>3035</v>
      </c>
      <c r="AE638" t="s">
        <v>478</v>
      </c>
      <c r="AL638" t="s">
        <v>919</v>
      </c>
      <c r="AM638" t="s">
        <v>919</v>
      </c>
      <c r="AO638" t="s">
        <v>480</v>
      </c>
      <c r="AP638" t="s">
        <v>481</v>
      </c>
      <c r="BF638" s="1"/>
      <c r="BH638" t="s">
        <v>1013</v>
      </c>
      <c r="BP638" t="s">
        <v>1489</v>
      </c>
    </row>
    <row r="639" spans="1:68" x14ac:dyDescent="0.25">
      <c r="A639" t="s">
        <v>5713</v>
      </c>
      <c r="B639" t="s">
        <v>474</v>
      </c>
      <c r="C639" t="s">
        <v>1504</v>
      </c>
      <c r="E639" t="s">
        <v>475</v>
      </c>
      <c r="G639" s="1" t="s">
        <v>3036</v>
      </c>
      <c r="H639" t="s">
        <v>492</v>
      </c>
      <c r="J639">
        <v>714010</v>
      </c>
      <c r="R639" t="s">
        <v>918</v>
      </c>
      <c r="S639" t="s">
        <v>991</v>
      </c>
      <c r="T639" t="s">
        <v>3037</v>
      </c>
      <c r="V639" t="s">
        <v>3038</v>
      </c>
      <c r="AE639" t="s">
        <v>478</v>
      </c>
      <c r="AL639" t="s">
        <v>919</v>
      </c>
      <c r="AM639" t="s">
        <v>919</v>
      </c>
      <c r="AO639" t="s">
        <v>480</v>
      </c>
      <c r="AP639" t="s">
        <v>481</v>
      </c>
      <c r="BF639" s="1"/>
      <c r="BH639" t="s">
        <v>1013</v>
      </c>
      <c r="BP639" t="s">
        <v>1489</v>
      </c>
    </row>
    <row r="640" spans="1:68" x14ac:dyDescent="0.25">
      <c r="A640" t="s">
        <v>5713</v>
      </c>
      <c r="B640" t="s">
        <v>474</v>
      </c>
      <c r="C640" t="s">
        <v>1504</v>
      </c>
      <c r="E640" t="s">
        <v>475</v>
      </c>
      <c r="G640" s="1" t="s">
        <v>3039</v>
      </c>
      <c r="H640" t="s">
        <v>492</v>
      </c>
      <c r="J640">
        <v>714010</v>
      </c>
      <c r="R640" t="s">
        <v>918</v>
      </c>
      <c r="S640" t="s">
        <v>991</v>
      </c>
      <c r="T640" t="s">
        <v>3040</v>
      </c>
      <c r="V640" t="s">
        <v>3041</v>
      </c>
      <c r="AE640" t="s">
        <v>478</v>
      </c>
      <c r="AL640" t="s">
        <v>919</v>
      </c>
      <c r="AM640" t="s">
        <v>919</v>
      </c>
      <c r="AO640" t="s">
        <v>480</v>
      </c>
      <c r="AP640" t="s">
        <v>481</v>
      </c>
      <c r="BF640" s="1"/>
      <c r="BH640" t="s">
        <v>1013</v>
      </c>
      <c r="BP640" t="s">
        <v>1489</v>
      </c>
    </row>
    <row r="641" spans="1:68" x14ac:dyDescent="0.25">
      <c r="A641" t="s">
        <v>5713</v>
      </c>
      <c r="B641" t="s">
        <v>474</v>
      </c>
      <c r="C641" t="s">
        <v>1504</v>
      </c>
      <c r="E641" t="s">
        <v>475</v>
      </c>
      <c r="G641" s="1" t="s">
        <v>3042</v>
      </c>
      <c r="H641" t="s">
        <v>492</v>
      </c>
      <c r="J641">
        <v>714010</v>
      </c>
      <c r="R641" t="s">
        <v>918</v>
      </c>
      <c r="S641" t="s">
        <v>991</v>
      </c>
      <c r="T641" t="s">
        <v>3043</v>
      </c>
      <c r="V641" t="s">
        <v>3044</v>
      </c>
      <c r="AE641" t="s">
        <v>478</v>
      </c>
      <c r="AL641" t="s">
        <v>919</v>
      </c>
      <c r="AM641" t="s">
        <v>919</v>
      </c>
      <c r="AO641" t="s">
        <v>480</v>
      </c>
      <c r="AP641" t="s">
        <v>481</v>
      </c>
      <c r="BF641" s="1"/>
      <c r="BH641" t="s">
        <v>1013</v>
      </c>
      <c r="BP641" t="s">
        <v>1489</v>
      </c>
    </row>
    <row r="642" spans="1:68" x14ac:dyDescent="0.25">
      <c r="A642" t="s">
        <v>5713</v>
      </c>
      <c r="B642" t="s">
        <v>474</v>
      </c>
      <c r="C642" t="s">
        <v>1504</v>
      </c>
      <c r="E642" t="s">
        <v>475</v>
      </c>
      <c r="G642" s="1" t="s">
        <v>3045</v>
      </c>
      <c r="H642" t="s">
        <v>492</v>
      </c>
      <c r="J642">
        <v>714010</v>
      </c>
      <c r="R642" t="s">
        <v>918</v>
      </c>
      <c r="S642" t="s">
        <v>991</v>
      </c>
      <c r="T642" t="s">
        <v>3046</v>
      </c>
      <c r="V642" t="s">
        <v>3047</v>
      </c>
      <c r="AE642" t="s">
        <v>478</v>
      </c>
      <c r="AL642" t="s">
        <v>919</v>
      </c>
      <c r="AM642" t="s">
        <v>919</v>
      </c>
      <c r="AO642" t="s">
        <v>480</v>
      </c>
      <c r="AP642" t="s">
        <v>481</v>
      </c>
      <c r="BF642" s="1"/>
      <c r="BH642" t="s">
        <v>1013</v>
      </c>
      <c r="BP642" t="s">
        <v>1489</v>
      </c>
    </row>
    <row r="643" spans="1:68" x14ac:dyDescent="0.25">
      <c r="A643" t="s">
        <v>5713</v>
      </c>
      <c r="B643" t="s">
        <v>474</v>
      </c>
      <c r="C643" t="s">
        <v>1504</v>
      </c>
      <c r="E643" t="s">
        <v>475</v>
      </c>
      <c r="G643" s="1" t="s">
        <v>3048</v>
      </c>
      <c r="H643" t="s">
        <v>492</v>
      </c>
      <c r="J643">
        <v>714010</v>
      </c>
      <c r="R643" t="s">
        <v>918</v>
      </c>
      <c r="S643" t="s">
        <v>991</v>
      </c>
      <c r="T643" t="s">
        <v>3049</v>
      </c>
      <c r="V643" t="s">
        <v>3050</v>
      </c>
      <c r="AE643" t="s">
        <v>478</v>
      </c>
      <c r="AL643" t="s">
        <v>919</v>
      </c>
      <c r="AM643" t="s">
        <v>919</v>
      </c>
      <c r="AO643" t="s">
        <v>480</v>
      </c>
      <c r="AP643" t="s">
        <v>481</v>
      </c>
      <c r="BF643" s="1"/>
      <c r="BH643" t="s">
        <v>1013</v>
      </c>
      <c r="BP643" t="s">
        <v>1489</v>
      </c>
    </row>
    <row r="644" spans="1:68" x14ac:dyDescent="0.25">
      <c r="A644" t="s">
        <v>5713</v>
      </c>
      <c r="B644" t="s">
        <v>474</v>
      </c>
      <c r="C644" t="s">
        <v>1504</v>
      </c>
      <c r="E644" t="s">
        <v>475</v>
      </c>
      <c r="G644" s="1" t="s">
        <v>3051</v>
      </c>
      <c r="H644" t="s">
        <v>492</v>
      </c>
      <c r="J644">
        <v>714010</v>
      </c>
      <c r="R644" t="s">
        <v>918</v>
      </c>
      <c r="S644" t="s">
        <v>991</v>
      </c>
      <c r="T644" t="s">
        <v>3052</v>
      </c>
      <c r="V644" t="s">
        <v>3053</v>
      </c>
      <c r="AE644" t="s">
        <v>478</v>
      </c>
      <c r="AL644" t="s">
        <v>919</v>
      </c>
      <c r="AM644" t="s">
        <v>919</v>
      </c>
      <c r="AO644" t="s">
        <v>480</v>
      </c>
      <c r="AP644" t="s">
        <v>481</v>
      </c>
      <c r="BF644" s="1"/>
      <c r="BH644" t="s">
        <v>1013</v>
      </c>
      <c r="BP644" t="s">
        <v>1489</v>
      </c>
    </row>
    <row r="645" spans="1:68" x14ac:dyDescent="0.25">
      <c r="A645" t="s">
        <v>5713</v>
      </c>
      <c r="B645" t="s">
        <v>474</v>
      </c>
      <c r="C645" t="s">
        <v>1504</v>
      </c>
      <c r="E645" t="s">
        <v>475</v>
      </c>
      <c r="G645" s="1" t="s">
        <v>3054</v>
      </c>
      <c r="H645" t="s">
        <v>492</v>
      </c>
      <c r="J645">
        <v>745010</v>
      </c>
      <c r="R645" t="s">
        <v>918</v>
      </c>
      <c r="S645" t="s">
        <v>991</v>
      </c>
      <c r="T645" t="s">
        <v>1186</v>
      </c>
      <c r="V645" t="s">
        <v>3055</v>
      </c>
      <c r="AE645" t="s">
        <v>478</v>
      </c>
      <c r="AL645" t="s">
        <v>919</v>
      </c>
      <c r="AM645" t="s">
        <v>919</v>
      </c>
      <c r="AO645" t="s">
        <v>480</v>
      </c>
      <c r="AP645" t="s">
        <v>481</v>
      </c>
      <c r="BF645" s="1"/>
      <c r="BH645" t="s">
        <v>1013</v>
      </c>
      <c r="BP645" t="s">
        <v>1489</v>
      </c>
    </row>
    <row r="646" spans="1:68" x14ac:dyDescent="0.25">
      <c r="A646" t="s">
        <v>5713</v>
      </c>
      <c r="B646" t="s">
        <v>474</v>
      </c>
      <c r="C646" t="s">
        <v>1504</v>
      </c>
      <c r="E646" t="s">
        <v>475</v>
      </c>
      <c r="G646" s="1" t="s">
        <v>3056</v>
      </c>
      <c r="H646" t="s">
        <v>492</v>
      </c>
      <c r="J646">
        <v>714010</v>
      </c>
      <c r="R646" t="s">
        <v>918</v>
      </c>
      <c r="S646" t="s">
        <v>991</v>
      </c>
      <c r="T646" t="s">
        <v>3057</v>
      </c>
      <c r="V646" t="s">
        <v>3058</v>
      </c>
      <c r="AE646" t="s">
        <v>478</v>
      </c>
      <c r="AL646" t="s">
        <v>919</v>
      </c>
      <c r="AM646" t="s">
        <v>919</v>
      </c>
      <c r="AO646" t="s">
        <v>480</v>
      </c>
      <c r="AP646" t="s">
        <v>481</v>
      </c>
      <c r="BF646" s="1"/>
      <c r="BH646" t="s">
        <v>1013</v>
      </c>
      <c r="BP646" t="s">
        <v>1489</v>
      </c>
    </row>
    <row r="647" spans="1:68" x14ac:dyDescent="0.25">
      <c r="A647" t="s">
        <v>5713</v>
      </c>
      <c r="B647" t="s">
        <v>474</v>
      </c>
      <c r="C647" t="s">
        <v>1504</v>
      </c>
      <c r="E647" t="s">
        <v>475</v>
      </c>
      <c r="G647" s="1" t="s">
        <v>3059</v>
      </c>
      <c r="H647" t="s">
        <v>492</v>
      </c>
      <c r="J647">
        <v>714010</v>
      </c>
      <c r="R647" t="s">
        <v>918</v>
      </c>
      <c r="S647" t="s">
        <v>991</v>
      </c>
      <c r="T647" t="s">
        <v>3060</v>
      </c>
      <c r="V647" t="s">
        <v>3058</v>
      </c>
      <c r="AE647" t="s">
        <v>478</v>
      </c>
      <c r="AL647" t="s">
        <v>919</v>
      </c>
      <c r="AM647" t="s">
        <v>919</v>
      </c>
      <c r="AO647" t="s">
        <v>480</v>
      </c>
      <c r="AP647" t="s">
        <v>481</v>
      </c>
      <c r="BF647" s="1"/>
      <c r="BH647" t="s">
        <v>1013</v>
      </c>
      <c r="BP647" t="s">
        <v>1489</v>
      </c>
    </row>
    <row r="648" spans="1:68" x14ac:dyDescent="0.25">
      <c r="A648" t="s">
        <v>5713</v>
      </c>
      <c r="B648" t="s">
        <v>474</v>
      </c>
      <c r="C648" t="s">
        <v>1504</v>
      </c>
      <c r="E648" t="s">
        <v>475</v>
      </c>
      <c r="G648" s="1" t="s">
        <v>3061</v>
      </c>
      <c r="H648" t="s">
        <v>492</v>
      </c>
      <c r="J648">
        <v>714010</v>
      </c>
      <c r="R648" t="s">
        <v>918</v>
      </c>
      <c r="S648" t="s">
        <v>991</v>
      </c>
      <c r="T648" t="s">
        <v>3062</v>
      </c>
      <c r="V648" t="s">
        <v>3063</v>
      </c>
      <c r="AE648" t="s">
        <v>478</v>
      </c>
      <c r="AL648" t="s">
        <v>919</v>
      </c>
      <c r="AM648" t="s">
        <v>919</v>
      </c>
      <c r="AO648" t="s">
        <v>480</v>
      </c>
      <c r="AP648" t="s">
        <v>481</v>
      </c>
      <c r="BF648" s="1"/>
      <c r="BH648" t="s">
        <v>1013</v>
      </c>
      <c r="BP648" t="s">
        <v>1489</v>
      </c>
    </row>
    <row r="649" spans="1:68" x14ac:dyDescent="0.25">
      <c r="A649" t="s">
        <v>5713</v>
      </c>
      <c r="B649" t="s">
        <v>474</v>
      </c>
      <c r="C649" t="s">
        <v>1504</v>
      </c>
      <c r="E649" t="s">
        <v>475</v>
      </c>
      <c r="G649" s="1" t="s">
        <v>3064</v>
      </c>
      <c r="H649" t="s">
        <v>492</v>
      </c>
      <c r="J649">
        <v>714010</v>
      </c>
      <c r="R649" t="s">
        <v>918</v>
      </c>
      <c r="S649" t="s">
        <v>991</v>
      </c>
      <c r="T649" t="s">
        <v>3065</v>
      </c>
      <c r="V649" t="s">
        <v>3066</v>
      </c>
      <c r="AE649" t="s">
        <v>478</v>
      </c>
      <c r="AL649" t="s">
        <v>919</v>
      </c>
      <c r="AM649" t="s">
        <v>919</v>
      </c>
      <c r="AO649" t="s">
        <v>480</v>
      </c>
      <c r="AP649" t="s">
        <v>481</v>
      </c>
      <c r="BF649" s="1"/>
      <c r="BH649" t="s">
        <v>1013</v>
      </c>
      <c r="BP649" t="s">
        <v>1489</v>
      </c>
    </row>
    <row r="650" spans="1:68" x14ac:dyDescent="0.25">
      <c r="A650" t="s">
        <v>5713</v>
      </c>
      <c r="B650" t="s">
        <v>474</v>
      </c>
      <c r="C650" t="s">
        <v>1504</v>
      </c>
      <c r="E650" t="s">
        <v>475</v>
      </c>
      <c r="G650" s="1" t="s">
        <v>3067</v>
      </c>
      <c r="H650" t="s">
        <v>492</v>
      </c>
      <c r="J650">
        <v>714010</v>
      </c>
      <c r="R650" t="s">
        <v>918</v>
      </c>
      <c r="S650" t="s">
        <v>991</v>
      </c>
      <c r="T650" t="s">
        <v>3068</v>
      </c>
      <c r="V650" t="s">
        <v>3069</v>
      </c>
      <c r="AE650" t="s">
        <v>478</v>
      </c>
      <c r="AL650" t="s">
        <v>919</v>
      </c>
      <c r="AM650" t="s">
        <v>919</v>
      </c>
      <c r="AO650" t="s">
        <v>480</v>
      </c>
      <c r="AP650" t="s">
        <v>481</v>
      </c>
      <c r="BF650" s="1"/>
      <c r="BH650" t="s">
        <v>1013</v>
      </c>
      <c r="BP650" t="s">
        <v>1489</v>
      </c>
    </row>
    <row r="651" spans="1:68" x14ac:dyDescent="0.25">
      <c r="A651" t="s">
        <v>5713</v>
      </c>
      <c r="B651" t="s">
        <v>474</v>
      </c>
      <c r="C651" t="s">
        <v>1504</v>
      </c>
      <c r="E651" t="s">
        <v>475</v>
      </c>
      <c r="G651" s="1" t="s">
        <v>3070</v>
      </c>
      <c r="H651" t="s">
        <v>492</v>
      </c>
      <c r="J651">
        <v>714010</v>
      </c>
      <c r="R651" t="s">
        <v>918</v>
      </c>
      <c r="S651" t="s">
        <v>991</v>
      </c>
      <c r="T651" t="s">
        <v>3071</v>
      </c>
      <c r="V651" t="s">
        <v>3072</v>
      </c>
      <c r="AE651" t="s">
        <v>478</v>
      </c>
      <c r="AL651" t="s">
        <v>919</v>
      </c>
      <c r="AM651" t="s">
        <v>919</v>
      </c>
      <c r="AO651" t="s">
        <v>480</v>
      </c>
      <c r="AP651" t="s">
        <v>481</v>
      </c>
      <c r="BF651" s="1"/>
      <c r="BH651" t="s">
        <v>1013</v>
      </c>
      <c r="BP651" t="s">
        <v>1489</v>
      </c>
    </row>
    <row r="652" spans="1:68" x14ac:dyDescent="0.25">
      <c r="A652" t="s">
        <v>5713</v>
      </c>
      <c r="B652" t="s">
        <v>474</v>
      </c>
      <c r="C652" t="s">
        <v>1504</v>
      </c>
      <c r="E652" t="s">
        <v>475</v>
      </c>
      <c r="G652" s="1" t="s">
        <v>3073</v>
      </c>
      <c r="H652" t="s">
        <v>492</v>
      </c>
      <c r="J652">
        <v>714010</v>
      </c>
      <c r="R652" t="s">
        <v>918</v>
      </c>
      <c r="S652" t="s">
        <v>991</v>
      </c>
      <c r="T652" t="s">
        <v>3074</v>
      </c>
      <c r="V652" t="s">
        <v>3075</v>
      </c>
      <c r="AE652" t="s">
        <v>478</v>
      </c>
      <c r="AL652" t="s">
        <v>919</v>
      </c>
      <c r="AM652" t="s">
        <v>919</v>
      </c>
      <c r="AO652" t="s">
        <v>480</v>
      </c>
      <c r="AP652" t="s">
        <v>481</v>
      </c>
      <c r="BF652" s="1"/>
      <c r="BH652" t="s">
        <v>1013</v>
      </c>
      <c r="BP652" t="s">
        <v>1489</v>
      </c>
    </row>
    <row r="653" spans="1:68" x14ac:dyDescent="0.25">
      <c r="A653" t="s">
        <v>5713</v>
      </c>
      <c r="B653" t="s">
        <v>474</v>
      </c>
      <c r="C653" t="s">
        <v>1504</v>
      </c>
      <c r="E653" t="s">
        <v>475</v>
      </c>
      <c r="G653" s="1" t="s">
        <v>3076</v>
      </c>
      <c r="H653" t="s">
        <v>492</v>
      </c>
      <c r="J653">
        <v>714010</v>
      </c>
      <c r="R653" t="s">
        <v>918</v>
      </c>
      <c r="S653" t="s">
        <v>991</v>
      </c>
      <c r="T653" t="s">
        <v>1015</v>
      </c>
      <c r="V653" t="s">
        <v>3077</v>
      </c>
      <c r="AE653" t="s">
        <v>478</v>
      </c>
      <c r="AL653" t="s">
        <v>919</v>
      </c>
      <c r="AM653" t="s">
        <v>919</v>
      </c>
      <c r="AO653" t="s">
        <v>480</v>
      </c>
      <c r="AP653" t="s">
        <v>481</v>
      </c>
      <c r="BF653" s="1"/>
      <c r="BH653" t="s">
        <v>1013</v>
      </c>
      <c r="BP653" t="s">
        <v>1489</v>
      </c>
    </row>
    <row r="654" spans="1:68" x14ac:dyDescent="0.25">
      <c r="A654" t="s">
        <v>5713</v>
      </c>
      <c r="B654" t="s">
        <v>474</v>
      </c>
      <c r="C654" t="s">
        <v>1504</v>
      </c>
      <c r="E654" t="s">
        <v>475</v>
      </c>
      <c r="G654" s="1" t="s">
        <v>3078</v>
      </c>
      <c r="H654" t="s">
        <v>492</v>
      </c>
      <c r="J654">
        <v>714010</v>
      </c>
      <c r="R654" t="s">
        <v>918</v>
      </c>
      <c r="S654" t="s">
        <v>991</v>
      </c>
      <c r="T654" t="s">
        <v>3079</v>
      </c>
      <c r="V654" t="s">
        <v>3080</v>
      </c>
      <c r="AE654" t="s">
        <v>478</v>
      </c>
      <c r="AL654" t="s">
        <v>919</v>
      </c>
      <c r="AM654" t="s">
        <v>919</v>
      </c>
      <c r="AO654" t="s">
        <v>480</v>
      </c>
      <c r="AP654" t="s">
        <v>481</v>
      </c>
      <c r="BF654" s="1"/>
      <c r="BH654" t="s">
        <v>1013</v>
      </c>
      <c r="BP654" t="s">
        <v>1489</v>
      </c>
    </row>
    <row r="655" spans="1:68" x14ac:dyDescent="0.25">
      <c r="A655" t="s">
        <v>5713</v>
      </c>
      <c r="B655" t="s">
        <v>474</v>
      </c>
      <c r="C655" t="s">
        <v>1504</v>
      </c>
      <c r="E655" t="s">
        <v>475</v>
      </c>
      <c r="G655" s="1" t="s">
        <v>3081</v>
      </c>
      <c r="H655" t="s">
        <v>492</v>
      </c>
      <c r="J655">
        <v>714010</v>
      </c>
      <c r="R655" t="s">
        <v>918</v>
      </c>
      <c r="S655" t="s">
        <v>991</v>
      </c>
      <c r="T655" t="s">
        <v>3082</v>
      </c>
      <c r="V655" t="s">
        <v>3080</v>
      </c>
      <c r="AE655" t="s">
        <v>478</v>
      </c>
      <c r="AL655" t="s">
        <v>919</v>
      </c>
      <c r="AM655" t="s">
        <v>919</v>
      </c>
      <c r="AO655" t="s">
        <v>480</v>
      </c>
      <c r="AP655" t="s">
        <v>481</v>
      </c>
      <c r="BF655" s="1"/>
      <c r="BH655" t="s">
        <v>1013</v>
      </c>
      <c r="BP655" t="s">
        <v>1489</v>
      </c>
    </row>
    <row r="656" spans="1:68" x14ac:dyDescent="0.25">
      <c r="A656" t="s">
        <v>5713</v>
      </c>
      <c r="B656" t="s">
        <v>474</v>
      </c>
      <c r="C656" t="s">
        <v>1504</v>
      </c>
      <c r="E656" t="s">
        <v>475</v>
      </c>
      <c r="G656" s="1" t="s">
        <v>3083</v>
      </c>
      <c r="H656" t="s">
        <v>492</v>
      </c>
      <c r="J656">
        <v>714010</v>
      </c>
      <c r="R656" t="s">
        <v>918</v>
      </c>
      <c r="S656" t="s">
        <v>991</v>
      </c>
      <c r="T656" t="s">
        <v>3084</v>
      </c>
      <c r="V656" t="s">
        <v>3085</v>
      </c>
      <c r="AE656" t="s">
        <v>478</v>
      </c>
      <c r="AL656" t="s">
        <v>919</v>
      </c>
      <c r="AM656" t="s">
        <v>919</v>
      </c>
      <c r="AO656" t="s">
        <v>480</v>
      </c>
      <c r="AP656" t="s">
        <v>481</v>
      </c>
      <c r="BF656" s="1"/>
      <c r="BH656" t="s">
        <v>1013</v>
      </c>
      <c r="BP656" t="s">
        <v>1489</v>
      </c>
    </row>
    <row r="657" spans="1:68" x14ac:dyDescent="0.25">
      <c r="A657" t="s">
        <v>5713</v>
      </c>
      <c r="B657" t="s">
        <v>474</v>
      </c>
      <c r="C657" t="s">
        <v>1486</v>
      </c>
      <c r="E657" t="s">
        <v>475</v>
      </c>
      <c r="G657" s="1" t="s">
        <v>3086</v>
      </c>
      <c r="H657" t="s">
        <v>492</v>
      </c>
      <c r="J657">
        <v>714010</v>
      </c>
      <c r="R657" t="s">
        <v>918</v>
      </c>
      <c r="S657" t="s">
        <v>991</v>
      </c>
      <c r="T657" t="s">
        <v>2689</v>
      </c>
      <c r="V657" t="s">
        <v>3087</v>
      </c>
      <c r="AE657" t="s">
        <v>478</v>
      </c>
      <c r="AL657" t="s">
        <v>919</v>
      </c>
      <c r="AM657" t="s">
        <v>919</v>
      </c>
      <c r="AO657" t="s">
        <v>480</v>
      </c>
      <c r="AP657" t="s">
        <v>481</v>
      </c>
      <c r="BF657" s="1"/>
      <c r="BH657" t="s">
        <v>1013</v>
      </c>
      <c r="BP657" t="s">
        <v>1489</v>
      </c>
    </row>
    <row r="658" spans="1:68" x14ac:dyDescent="0.25">
      <c r="A658" t="s">
        <v>5713</v>
      </c>
      <c r="B658" t="s">
        <v>474</v>
      </c>
      <c r="C658" t="s">
        <v>1486</v>
      </c>
      <c r="E658" t="s">
        <v>475</v>
      </c>
      <c r="G658" s="1" t="s">
        <v>3088</v>
      </c>
      <c r="H658" t="s">
        <v>492</v>
      </c>
      <c r="J658">
        <v>714010</v>
      </c>
      <c r="R658" t="s">
        <v>918</v>
      </c>
      <c r="S658" t="s">
        <v>991</v>
      </c>
      <c r="T658" t="s">
        <v>1021</v>
      </c>
      <c r="V658" t="s">
        <v>3089</v>
      </c>
      <c r="AE658" t="s">
        <v>478</v>
      </c>
      <c r="AL658" t="s">
        <v>919</v>
      </c>
      <c r="AM658" t="s">
        <v>919</v>
      </c>
      <c r="AO658" t="s">
        <v>480</v>
      </c>
      <c r="AP658" t="s">
        <v>481</v>
      </c>
      <c r="BF658" s="1"/>
      <c r="BH658" t="s">
        <v>1013</v>
      </c>
      <c r="BP658" t="s">
        <v>1489</v>
      </c>
    </row>
    <row r="659" spans="1:68" x14ac:dyDescent="0.25">
      <c r="A659" t="s">
        <v>5713</v>
      </c>
      <c r="B659" t="s">
        <v>474</v>
      </c>
      <c r="C659" t="s">
        <v>1486</v>
      </c>
      <c r="E659" t="s">
        <v>475</v>
      </c>
      <c r="G659" s="1" t="s">
        <v>3090</v>
      </c>
      <c r="H659" t="s">
        <v>492</v>
      </c>
      <c r="J659">
        <v>714010</v>
      </c>
      <c r="R659" t="s">
        <v>918</v>
      </c>
      <c r="S659" t="s">
        <v>991</v>
      </c>
      <c r="T659" t="s">
        <v>1021</v>
      </c>
      <c r="V659" t="s">
        <v>3091</v>
      </c>
      <c r="AE659" t="s">
        <v>478</v>
      </c>
      <c r="AL659" t="s">
        <v>919</v>
      </c>
      <c r="AM659" t="s">
        <v>919</v>
      </c>
      <c r="AO659" t="s">
        <v>480</v>
      </c>
      <c r="AP659" t="s">
        <v>481</v>
      </c>
      <c r="BF659" s="1"/>
      <c r="BH659" t="s">
        <v>1013</v>
      </c>
      <c r="BP659" t="s">
        <v>1489</v>
      </c>
    </row>
    <row r="660" spans="1:68" x14ac:dyDescent="0.25">
      <c r="A660" t="s">
        <v>5713</v>
      </c>
      <c r="B660" t="s">
        <v>474</v>
      </c>
      <c r="C660" t="s">
        <v>1486</v>
      </c>
      <c r="E660" t="s">
        <v>1008</v>
      </c>
      <c r="G660" s="1" t="s">
        <v>3092</v>
      </c>
      <c r="H660" t="s">
        <v>498</v>
      </c>
      <c r="J660">
        <v>714010</v>
      </c>
      <c r="R660" t="s">
        <v>918</v>
      </c>
      <c r="S660" t="s">
        <v>991</v>
      </c>
      <c r="T660" t="s">
        <v>3093</v>
      </c>
      <c r="V660" t="s">
        <v>3094</v>
      </c>
      <c r="AE660" t="s">
        <v>478</v>
      </c>
      <c r="AL660" t="s">
        <v>919</v>
      </c>
      <c r="AM660" t="s">
        <v>919</v>
      </c>
      <c r="AO660" t="s">
        <v>480</v>
      </c>
      <c r="AP660" t="s">
        <v>481</v>
      </c>
      <c r="BF660" s="1"/>
      <c r="BH660" t="s">
        <v>1013</v>
      </c>
      <c r="BP660" t="s">
        <v>1489</v>
      </c>
    </row>
    <row r="661" spans="1:68" x14ac:dyDescent="0.25">
      <c r="A661" t="s">
        <v>5713</v>
      </c>
      <c r="B661" t="s">
        <v>474</v>
      </c>
      <c r="C661" t="s">
        <v>1504</v>
      </c>
      <c r="E661" t="s">
        <v>475</v>
      </c>
      <c r="G661" s="1" t="s">
        <v>3095</v>
      </c>
      <c r="H661" t="s">
        <v>492</v>
      </c>
      <c r="J661">
        <v>714010</v>
      </c>
      <c r="R661" t="s">
        <v>918</v>
      </c>
      <c r="S661" t="s">
        <v>991</v>
      </c>
      <c r="T661" t="s">
        <v>3096</v>
      </c>
      <c r="V661" t="s">
        <v>3080</v>
      </c>
      <c r="AE661" t="s">
        <v>478</v>
      </c>
      <c r="AL661" t="s">
        <v>919</v>
      </c>
      <c r="AM661" t="s">
        <v>919</v>
      </c>
      <c r="AO661" t="s">
        <v>480</v>
      </c>
      <c r="AP661" t="s">
        <v>481</v>
      </c>
      <c r="BF661" s="1"/>
      <c r="BH661" t="s">
        <v>1013</v>
      </c>
      <c r="BP661" t="s">
        <v>1489</v>
      </c>
    </row>
    <row r="662" spans="1:68" x14ac:dyDescent="0.25">
      <c r="A662" t="s">
        <v>5713</v>
      </c>
      <c r="B662" t="s">
        <v>474</v>
      </c>
      <c r="C662" t="s">
        <v>2066</v>
      </c>
      <c r="E662" t="s">
        <v>480</v>
      </c>
      <c r="G662" s="1" t="s">
        <v>3097</v>
      </c>
      <c r="H662" t="s">
        <v>476</v>
      </c>
      <c r="J662">
        <v>713080</v>
      </c>
      <c r="R662" t="s">
        <v>918</v>
      </c>
      <c r="S662" t="s">
        <v>3098</v>
      </c>
      <c r="T662" t="s">
        <v>3099</v>
      </c>
      <c r="V662" t="s">
        <v>3100</v>
      </c>
      <c r="AE662" t="s">
        <v>478</v>
      </c>
      <c r="AL662" t="s">
        <v>919</v>
      </c>
      <c r="AM662" t="s">
        <v>919</v>
      </c>
      <c r="AO662" t="s">
        <v>480</v>
      </c>
      <c r="AP662" t="s">
        <v>481</v>
      </c>
      <c r="AS662" t="s">
        <v>483</v>
      </c>
      <c r="AU662" t="s">
        <v>3101</v>
      </c>
      <c r="AW662" t="s">
        <v>486</v>
      </c>
      <c r="BF662" s="1"/>
      <c r="BH662" t="s">
        <v>1025</v>
      </c>
      <c r="BP662" t="s">
        <v>1489</v>
      </c>
    </row>
    <row r="663" spans="1:68" x14ac:dyDescent="0.25">
      <c r="A663" t="s">
        <v>5713</v>
      </c>
      <c r="B663" t="s">
        <v>474</v>
      </c>
      <c r="C663" t="s">
        <v>1486</v>
      </c>
      <c r="E663" t="s">
        <v>480</v>
      </c>
      <c r="G663" s="1" t="s">
        <v>3102</v>
      </c>
      <c r="H663" t="s">
        <v>476</v>
      </c>
      <c r="J663">
        <v>662202</v>
      </c>
      <c r="M663">
        <v>1213</v>
      </c>
      <c r="R663" t="s">
        <v>918</v>
      </c>
      <c r="S663" t="s">
        <v>3103</v>
      </c>
      <c r="T663" t="s">
        <v>3104</v>
      </c>
      <c r="V663" t="s">
        <v>3105</v>
      </c>
      <c r="AE663" t="s">
        <v>478</v>
      </c>
      <c r="AL663" t="s">
        <v>919</v>
      </c>
      <c r="AM663" t="s">
        <v>919</v>
      </c>
      <c r="AO663" t="s">
        <v>480</v>
      </c>
      <c r="AP663" t="s">
        <v>481</v>
      </c>
      <c r="BF663" s="1" t="s">
        <v>1026</v>
      </c>
      <c r="BH663" t="s">
        <v>1025</v>
      </c>
      <c r="BP663" t="s">
        <v>1489</v>
      </c>
    </row>
    <row r="664" spans="1:68" x14ac:dyDescent="0.25">
      <c r="A664" t="s">
        <v>5713</v>
      </c>
      <c r="B664" t="s">
        <v>474</v>
      </c>
      <c r="C664" t="s">
        <v>1486</v>
      </c>
      <c r="E664" t="s">
        <v>480</v>
      </c>
      <c r="G664" s="1" t="s">
        <v>3102</v>
      </c>
      <c r="H664" t="s">
        <v>498</v>
      </c>
      <c r="J664">
        <v>662202</v>
      </c>
      <c r="M664">
        <v>1213</v>
      </c>
      <c r="R664" t="s">
        <v>918</v>
      </c>
      <c r="S664" t="s">
        <v>3106</v>
      </c>
      <c r="T664" t="s">
        <v>3107</v>
      </c>
      <c r="V664" t="s">
        <v>3108</v>
      </c>
      <c r="AE664" t="s">
        <v>478</v>
      </c>
      <c r="AL664" t="s">
        <v>919</v>
      </c>
      <c r="AM664" t="s">
        <v>919</v>
      </c>
      <c r="AO664" t="s">
        <v>480</v>
      </c>
      <c r="AP664" t="s">
        <v>481</v>
      </c>
      <c r="BF664" s="1" t="s">
        <v>1026</v>
      </c>
      <c r="BH664" t="s">
        <v>1025</v>
      </c>
      <c r="BP664" t="s">
        <v>1489</v>
      </c>
    </row>
    <row r="665" spans="1:68" x14ac:dyDescent="0.25">
      <c r="A665" t="s">
        <v>5713</v>
      </c>
      <c r="B665" t="s">
        <v>474</v>
      </c>
      <c r="C665" t="s">
        <v>1504</v>
      </c>
      <c r="E665" t="s">
        <v>480</v>
      </c>
      <c r="G665" s="1" t="s">
        <v>3109</v>
      </c>
      <c r="H665" t="s">
        <v>476</v>
      </c>
      <c r="J665">
        <v>400089</v>
      </c>
      <c r="R665" t="s">
        <v>918</v>
      </c>
      <c r="S665" t="s">
        <v>3110</v>
      </c>
      <c r="T665" t="s">
        <v>3111</v>
      </c>
      <c r="V665" t="s">
        <v>2573</v>
      </c>
      <c r="AE665" t="s">
        <v>478</v>
      </c>
      <c r="AL665" t="s">
        <v>919</v>
      </c>
      <c r="AM665" t="s">
        <v>919</v>
      </c>
      <c r="AO665" t="s">
        <v>480</v>
      </c>
      <c r="AP665" t="s">
        <v>481</v>
      </c>
      <c r="AW665" t="s">
        <v>486</v>
      </c>
      <c r="BF665" s="1"/>
      <c r="BH665" t="s">
        <v>1025</v>
      </c>
      <c r="BP665" t="s">
        <v>1489</v>
      </c>
    </row>
    <row r="666" spans="1:68" x14ac:dyDescent="0.25">
      <c r="A666" t="s">
        <v>5713</v>
      </c>
      <c r="B666" t="s">
        <v>474</v>
      </c>
      <c r="C666" t="s">
        <v>1486</v>
      </c>
      <c r="E666" t="s">
        <v>475</v>
      </c>
      <c r="G666" s="1" t="s">
        <v>3112</v>
      </c>
      <c r="H666" t="s">
        <v>476</v>
      </c>
      <c r="J666">
        <v>624134</v>
      </c>
      <c r="M666">
        <v>1213</v>
      </c>
      <c r="R666" t="s">
        <v>918</v>
      </c>
      <c r="S666" t="s">
        <v>3113</v>
      </c>
      <c r="T666" t="s">
        <v>3114</v>
      </c>
      <c r="V666" t="s">
        <v>3115</v>
      </c>
      <c r="AE666" t="s">
        <v>478</v>
      </c>
      <c r="AL666" t="s">
        <v>919</v>
      </c>
      <c r="AM666" t="s">
        <v>919</v>
      </c>
      <c r="AO666" t="s">
        <v>480</v>
      </c>
      <c r="AP666" t="s">
        <v>481</v>
      </c>
      <c r="BF666" s="1" t="s">
        <v>1027</v>
      </c>
      <c r="BH666" t="s">
        <v>1025</v>
      </c>
      <c r="BP666" t="s">
        <v>1489</v>
      </c>
    </row>
    <row r="667" spans="1:68" x14ac:dyDescent="0.25">
      <c r="A667" t="s">
        <v>5713</v>
      </c>
      <c r="B667" t="s">
        <v>474</v>
      </c>
      <c r="C667" t="s">
        <v>2704</v>
      </c>
      <c r="E667" t="s">
        <v>475</v>
      </c>
      <c r="G667" s="1" t="s">
        <v>3116</v>
      </c>
      <c r="H667" t="s">
        <v>959</v>
      </c>
      <c r="J667">
        <v>667011</v>
      </c>
      <c r="M667">
        <v>1213</v>
      </c>
      <c r="R667" t="s">
        <v>918</v>
      </c>
      <c r="S667" t="s">
        <v>3117</v>
      </c>
      <c r="T667" t="s">
        <v>3118</v>
      </c>
      <c r="V667" t="s">
        <v>3119</v>
      </c>
      <c r="AE667" t="s">
        <v>478</v>
      </c>
      <c r="AL667" t="s">
        <v>919</v>
      </c>
      <c r="AM667" t="s">
        <v>919</v>
      </c>
      <c r="AO667" t="s">
        <v>480</v>
      </c>
      <c r="AP667" t="s">
        <v>481</v>
      </c>
      <c r="BF667" s="1" t="s">
        <v>1028</v>
      </c>
      <c r="BH667" t="s">
        <v>1029</v>
      </c>
      <c r="BP667" t="s">
        <v>1489</v>
      </c>
    </row>
    <row r="668" spans="1:68" x14ac:dyDescent="0.25">
      <c r="A668" t="s">
        <v>5713</v>
      </c>
      <c r="B668" t="s">
        <v>474</v>
      </c>
      <c r="C668" t="s">
        <v>2704</v>
      </c>
      <c r="E668" t="s">
        <v>475</v>
      </c>
      <c r="G668" s="1" t="s">
        <v>3116</v>
      </c>
      <c r="H668" t="s">
        <v>500</v>
      </c>
      <c r="J668">
        <v>667011</v>
      </c>
      <c r="M668">
        <v>1213</v>
      </c>
      <c r="R668" t="s">
        <v>918</v>
      </c>
      <c r="S668" t="s">
        <v>3120</v>
      </c>
      <c r="T668" t="s">
        <v>3121</v>
      </c>
      <c r="V668" t="s">
        <v>3119</v>
      </c>
      <c r="AE668" t="s">
        <v>478</v>
      </c>
      <c r="AL668" t="s">
        <v>919</v>
      </c>
      <c r="AM668" t="s">
        <v>919</v>
      </c>
      <c r="AO668" t="s">
        <v>480</v>
      </c>
      <c r="AP668" t="s">
        <v>481</v>
      </c>
      <c r="BF668" s="1" t="s">
        <v>1028</v>
      </c>
      <c r="BH668" t="s">
        <v>1029</v>
      </c>
      <c r="BP668" t="s">
        <v>1489</v>
      </c>
    </row>
    <row r="669" spans="1:68" x14ac:dyDescent="0.25">
      <c r="A669" t="s">
        <v>5713</v>
      </c>
      <c r="B669" t="s">
        <v>474</v>
      </c>
      <c r="C669" t="s">
        <v>2704</v>
      </c>
      <c r="E669" t="s">
        <v>475</v>
      </c>
      <c r="G669" s="1" t="s">
        <v>3116</v>
      </c>
      <c r="H669" t="s">
        <v>546</v>
      </c>
      <c r="J669">
        <v>667011</v>
      </c>
      <c r="M669">
        <v>1213</v>
      </c>
      <c r="R669" t="s">
        <v>918</v>
      </c>
      <c r="S669" t="s">
        <v>3122</v>
      </c>
      <c r="T669" t="s">
        <v>3123</v>
      </c>
      <c r="V669" t="s">
        <v>3119</v>
      </c>
      <c r="AE669" t="s">
        <v>478</v>
      </c>
      <c r="AL669" t="s">
        <v>919</v>
      </c>
      <c r="AM669" t="s">
        <v>919</v>
      </c>
      <c r="AO669" t="s">
        <v>480</v>
      </c>
      <c r="AP669" t="s">
        <v>481</v>
      </c>
      <c r="BF669" s="1" t="s">
        <v>1028</v>
      </c>
      <c r="BH669" t="s">
        <v>1029</v>
      </c>
      <c r="BP669" t="s">
        <v>1489</v>
      </c>
    </row>
    <row r="670" spans="1:68" x14ac:dyDescent="0.25">
      <c r="A670" t="s">
        <v>5713</v>
      </c>
      <c r="B670" t="s">
        <v>474</v>
      </c>
      <c r="C670" t="s">
        <v>2704</v>
      </c>
      <c r="E670" t="s">
        <v>475</v>
      </c>
      <c r="G670" s="1" t="s">
        <v>3116</v>
      </c>
      <c r="H670" t="s">
        <v>559</v>
      </c>
      <c r="J670">
        <v>667011</v>
      </c>
      <c r="M670">
        <v>1213</v>
      </c>
      <c r="R670" t="s">
        <v>918</v>
      </c>
      <c r="S670" t="s">
        <v>3124</v>
      </c>
      <c r="T670" t="s">
        <v>3125</v>
      </c>
      <c r="V670" t="s">
        <v>3126</v>
      </c>
      <c r="AE670" t="s">
        <v>478</v>
      </c>
      <c r="AL670" t="s">
        <v>919</v>
      </c>
      <c r="AM670" t="s">
        <v>919</v>
      </c>
      <c r="AO670" t="s">
        <v>480</v>
      </c>
      <c r="AP670" t="s">
        <v>481</v>
      </c>
      <c r="BF670" s="1" t="s">
        <v>1030</v>
      </c>
      <c r="BH670" t="s">
        <v>1029</v>
      </c>
      <c r="BP670" t="s">
        <v>1489</v>
      </c>
    </row>
    <row r="671" spans="1:68" x14ac:dyDescent="0.25">
      <c r="A671" t="s">
        <v>5713</v>
      </c>
      <c r="B671" t="s">
        <v>474</v>
      </c>
      <c r="C671" t="s">
        <v>2704</v>
      </c>
      <c r="E671" t="s">
        <v>475</v>
      </c>
      <c r="G671" s="1" t="s">
        <v>3116</v>
      </c>
      <c r="H671" t="s">
        <v>571</v>
      </c>
      <c r="J671">
        <v>643011</v>
      </c>
      <c r="M671" t="s">
        <v>1031</v>
      </c>
      <c r="R671" t="s">
        <v>918</v>
      </c>
      <c r="S671" t="s">
        <v>3127</v>
      </c>
      <c r="T671" t="s">
        <v>3128</v>
      </c>
      <c r="V671" t="s">
        <v>3129</v>
      </c>
      <c r="AE671" t="s">
        <v>478</v>
      </c>
      <c r="AL671" t="s">
        <v>919</v>
      </c>
      <c r="AM671" t="s">
        <v>919</v>
      </c>
      <c r="AO671" t="s">
        <v>480</v>
      </c>
      <c r="AP671" t="s">
        <v>481</v>
      </c>
      <c r="BF671" s="1" t="s">
        <v>1032</v>
      </c>
      <c r="BH671" t="s">
        <v>1029</v>
      </c>
      <c r="BP671" t="s">
        <v>1489</v>
      </c>
    </row>
    <row r="672" spans="1:68" x14ac:dyDescent="0.25">
      <c r="A672" t="s">
        <v>5713</v>
      </c>
      <c r="B672" t="s">
        <v>474</v>
      </c>
      <c r="C672" t="s">
        <v>2704</v>
      </c>
      <c r="E672" t="s">
        <v>475</v>
      </c>
      <c r="G672" s="1" t="s">
        <v>3116</v>
      </c>
      <c r="H672" t="s">
        <v>585</v>
      </c>
      <c r="J672">
        <v>668010</v>
      </c>
      <c r="M672">
        <v>1511</v>
      </c>
      <c r="R672" t="s">
        <v>918</v>
      </c>
      <c r="S672" t="s">
        <v>1033</v>
      </c>
      <c r="T672" t="s">
        <v>1018</v>
      </c>
      <c r="V672" t="s">
        <v>3130</v>
      </c>
      <c r="AE672" t="s">
        <v>478</v>
      </c>
      <c r="AL672" t="s">
        <v>919</v>
      </c>
      <c r="AM672" t="s">
        <v>919</v>
      </c>
      <c r="AO672" t="s">
        <v>480</v>
      </c>
      <c r="AP672" t="s">
        <v>481</v>
      </c>
      <c r="BF672" s="1" t="s">
        <v>1034</v>
      </c>
      <c r="BH672" t="s">
        <v>1029</v>
      </c>
      <c r="BP672" t="s">
        <v>1489</v>
      </c>
    </row>
    <row r="673" spans="1:68" x14ac:dyDescent="0.25">
      <c r="A673" t="s">
        <v>5713</v>
      </c>
      <c r="B673" t="s">
        <v>474</v>
      </c>
      <c r="C673" t="s">
        <v>2704</v>
      </c>
      <c r="E673" t="s">
        <v>475</v>
      </c>
      <c r="G673" s="1" t="s">
        <v>3131</v>
      </c>
      <c r="H673" t="s">
        <v>959</v>
      </c>
      <c r="J673">
        <v>667011</v>
      </c>
      <c r="M673">
        <v>1213</v>
      </c>
      <c r="R673" t="s">
        <v>918</v>
      </c>
      <c r="S673" t="s">
        <v>1064</v>
      </c>
      <c r="T673" t="s">
        <v>1065</v>
      </c>
      <c r="V673" t="s">
        <v>3132</v>
      </c>
      <c r="AE673" t="s">
        <v>478</v>
      </c>
      <c r="AL673" t="s">
        <v>919</v>
      </c>
      <c r="AM673" t="s">
        <v>919</v>
      </c>
      <c r="AO673" t="s">
        <v>480</v>
      </c>
      <c r="AP673" t="s">
        <v>481</v>
      </c>
      <c r="BF673" s="1" t="s">
        <v>1028</v>
      </c>
      <c r="BH673" t="s">
        <v>1029</v>
      </c>
      <c r="BP673" t="s">
        <v>1489</v>
      </c>
    </row>
    <row r="674" spans="1:68" x14ac:dyDescent="0.25">
      <c r="A674" t="s">
        <v>5713</v>
      </c>
      <c r="B674" t="s">
        <v>474</v>
      </c>
      <c r="C674" t="s">
        <v>2704</v>
      </c>
      <c r="E674" t="s">
        <v>475</v>
      </c>
      <c r="G674" s="1" t="s">
        <v>3131</v>
      </c>
      <c r="H674" t="s">
        <v>500</v>
      </c>
      <c r="J674">
        <v>667011</v>
      </c>
      <c r="M674">
        <v>1213</v>
      </c>
      <c r="R674" t="s">
        <v>918</v>
      </c>
      <c r="S674" t="s">
        <v>1066</v>
      </c>
      <c r="T674" t="s">
        <v>1067</v>
      </c>
      <c r="V674" t="s">
        <v>3132</v>
      </c>
      <c r="AE674" t="s">
        <v>478</v>
      </c>
      <c r="AL674" t="s">
        <v>919</v>
      </c>
      <c r="AM674" t="s">
        <v>919</v>
      </c>
      <c r="AO674" t="s">
        <v>480</v>
      </c>
      <c r="AP674" t="s">
        <v>481</v>
      </c>
      <c r="BF674" s="1" t="s">
        <v>1028</v>
      </c>
      <c r="BH674" t="s">
        <v>1029</v>
      </c>
      <c r="BP674" t="s">
        <v>1489</v>
      </c>
    </row>
    <row r="675" spans="1:68" x14ac:dyDescent="0.25">
      <c r="A675" t="s">
        <v>5713</v>
      </c>
      <c r="B675" t="s">
        <v>474</v>
      </c>
      <c r="C675" t="s">
        <v>2704</v>
      </c>
      <c r="E675" t="s">
        <v>475</v>
      </c>
      <c r="G675" s="1" t="s">
        <v>3131</v>
      </c>
      <c r="H675" t="s">
        <v>546</v>
      </c>
      <c r="J675">
        <v>667011</v>
      </c>
      <c r="M675">
        <v>1213</v>
      </c>
      <c r="R675" t="s">
        <v>918</v>
      </c>
      <c r="S675" t="s">
        <v>1068</v>
      </c>
      <c r="T675" t="s">
        <v>1069</v>
      </c>
      <c r="V675" t="s">
        <v>3132</v>
      </c>
      <c r="AE675" t="s">
        <v>478</v>
      </c>
      <c r="AL675" t="s">
        <v>919</v>
      </c>
      <c r="AM675" t="s">
        <v>919</v>
      </c>
      <c r="AO675" t="s">
        <v>480</v>
      </c>
      <c r="AP675" t="s">
        <v>481</v>
      </c>
      <c r="BF675" s="1" t="s">
        <v>1028</v>
      </c>
      <c r="BH675" t="s">
        <v>1029</v>
      </c>
      <c r="BP675" t="s">
        <v>1489</v>
      </c>
    </row>
    <row r="676" spans="1:68" x14ac:dyDescent="0.25">
      <c r="A676" t="s">
        <v>5713</v>
      </c>
      <c r="B676" t="s">
        <v>474</v>
      </c>
      <c r="C676" t="s">
        <v>2704</v>
      </c>
      <c r="E676" t="s">
        <v>475</v>
      </c>
      <c r="G676" s="1" t="s">
        <v>3131</v>
      </c>
      <c r="H676" t="s">
        <v>559</v>
      </c>
      <c r="J676">
        <v>667011</v>
      </c>
      <c r="M676">
        <v>1213</v>
      </c>
      <c r="R676" t="s">
        <v>918</v>
      </c>
      <c r="S676" t="s">
        <v>1070</v>
      </c>
      <c r="T676" t="s">
        <v>1071</v>
      </c>
      <c r="V676" t="s">
        <v>3133</v>
      </c>
      <c r="AE676" t="s">
        <v>478</v>
      </c>
      <c r="AL676" t="s">
        <v>919</v>
      </c>
      <c r="AM676" t="s">
        <v>919</v>
      </c>
      <c r="AO676" t="s">
        <v>480</v>
      </c>
      <c r="AP676" t="s">
        <v>481</v>
      </c>
      <c r="BF676" s="1" t="s">
        <v>1030</v>
      </c>
      <c r="BH676" t="s">
        <v>1029</v>
      </c>
      <c r="BP676" t="s">
        <v>1489</v>
      </c>
    </row>
    <row r="677" spans="1:68" x14ac:dyDescent="0.25">
      <c r="A677" t="s">
        <v>5713</v>
      </c>
      <c r="B677" t="s">
        <v>474</v>
      </c>
      <c r="C677" t="s">
        <v>2704</v>
      </c>
      <c r="E677" t="s">
        <v>475</v>
      </c>
      <c r="G677" s="1" t="s">
        <v>3131</v>
      </c>
      <c r="H677" t="s">
        <v>571</v>
      </c>
      <c r="J677">
        <v>643011</v>
      </c>
      <c r="M677" t="s">
        <v>1031</v>
      </c>
      <c r="R677" t="s">
        <v>918</v>
      </c>
      <c r="S677" t="s">
        <v>1072</v>
      </c>
      <c r="T677" t="s">
        <v>1073</v>
      </c>
      <c r="V677" t="s">
        <v>3134</v>
      </c>
      <c r="AE677" t="s">
        <v>478</v>
      </c>
      <c r="AL677" t="s">
        <v>919</v>
      </c>
      <c r="AM677" t="s">
        <v>919</v>
      </c>
      <c r="AO677" t="s">
        <v>480</v>
      </c>
      <c r="AP677" t="s">
        <v>481</v>
      </c>
      <c r="BF677" s="1" t="s">
        <v>1032</v>
      </c>
      <c r="BH677" t="s">
        <v>1029</v>
      </c>
      <c r="BP677" t="s">
        <v>1489</v>
      </c>
    </row>
    <row r="678" spans="1:68" x14ac:dyDescent="0.25">
      <c r="A678" t="s">
        <v>5713</v>
      </c>
      <c r="B678" t="s">
        <v>474</v>
      </c>
      <c r="C678" t="s">
        <v>2704</v>
      </c>
      <c r="E678" t="s">
        <v>475</v>
      </c>
      <c r="G678" s="1" t="s">
        <v>3131</v>
      </c>
      <c r="H678" t="s">
        <v>585</v>
      </c>
      <c r="J678">
        <v>668010</v>
      </c>
      <c r="M678">
        <v>1511</v>
      </c>
      <c r="R678" t="s">
        <v>918</v>
      </c>
      <c r="S678" t="s">
        <v>1035</v>
      </c>
      <c r="T678" t="s">
        <v>1074</v>
      </c>
      <c r="V678" t="s">
        <v>3135</v>
      </c>
      <c r="AE678" t="s">
        <v>478</v>
      </c>
      <c r="AL678" t="s">
        <v>919</v>
      </c>
      <c r="AM678" t="s">
        <v>919</v>
      </c>
      <c r="AO678" t="s">
        <v>480</v>
      </c>
      <c r="AP678" t="s">
        <v>481</v>
      </c>
      <c r="BF678" s="1" t="s">
        <v>1034</v>
      </c>
      <c r="BH678" t="s">
        <v>1029</v>
      </c>
      <c r="BP678" t="s">
        <v>1489</v>
      </c>
    </row>
    <row r="679" spans="1:68" x14ac:dyDescent="0.25">
      <c r="A679" t="s">
        <v>5713</v>
      </c>
      <c r="B679" t="s">
        <v>474</v>
      </c>
      <c r="C679" t="s">
        <v>2319</v>
      </c>
      <c r="E679" t="s">
        <v>475</v>
      </c>
      <c r="G679" s="1" t="s">
        <v>3136</v>
      </c>
      <c r="H679" t="s">
        <v>959</v>
      </c>
      <c r="J679">
        <v>662202</v>
      </c>
      <c r="M679">
        <v>1213</v>
      </c>
      <c r="R679" t="s">
        <v>918</v>
      </c>
      <c r="S679" t="s">
        <v>3137</v>
      </c>
      <c r="T679" t="s">
        <v>3138</v>
      </c>
      <c r="V679" t="s">
        <v>3139</v>
      </c>
      <c r="AE679" t="s">
        <v>478</v>
      </c>
      <c r="AL679" t="s">
        <v>919</v>
      </c>
      <c r="AM679" t="s">
        <v>919</v>
      </c>
      <c r="AO679" t="s">
        <v>480</v>
      </c>
      <c r="AP679" t="s">
        <v>481</v>
      </c>
      <c r="BF679" s="1" t="s">
        <v>1026</v>
      </c>
      <c r="BH679" t="s">
        <v>1029</v>
      </c>
      <c r="BP679" t="s">
        <v>1489</v>
      </c>
    </row>
    <row r="680" spans="1:68" x14ac:dyDescent="0.25">
      <c r="A680" t="s">
        <v>5713</v>
      </c>
      <c r="B680" t="s">
        <v>474</v>
      </c>
      <c r="C680" t="s">
        <v>2319</v>
      </c>
      <c r="E680" t="s">
        <v>475</v>
      </c>
      <c r="G680" s="1" t="s">
        <v>3140</v>
      </c>
      <c r="H680" t="s">
        <v>959</v>
      </c>
      <c r="J680">
        <v>643011</v>
      </c>
      <c r="M680" t="s">
        <v>1031</v>
      </c>
      <c r="R680" t="s">
        <v>918</v>
      </c>
      <c r="S680" t="s">
        <v>3141</v>
      </c>
      <c r="T680" t="s">
        <v>3142</v>
      </c>
      <c r="V680" t="s">
        <v>3143</v>
      </c>
      <c r="AE680" t="s">
        <v>478</v>
      </c>
      <c r="AL680" t="s">
        <v>919</v>
      </c>
      <c r="AM680" t="s">
        <v>919</v>
      </c>
      <c r="AO680" t="s">
        <v>480</v>
      </c>
      <c r="AP680" t="s">
        <v>481</v>
      </c>
      <c r="BF680" s="1" t="s">
        <v>1036</v>
      </c>
      <c r="BH680" t="s">
        <v>1029</v>
      </c>
      <c r="BP680" t="s">
        <v>1489</v>
      </c>
    </row>
    <row r="681" spans="1:68" x14ac:dyDescent="0.25">
      <c r="A681" t="s">
        <v>5713</v>
      </c>
      <c r="B681" t="s">
        <v>474</v>
      </c>
      <c r="C681" t="s">
        <v>1552</v>
      </c>
      <c r="E681" t="s">
        <v>480</v>
      </c>
      <c r="G681" s="1" t="s">
        <v>3144</v>
      </c>
      <c r="H681" t="s">
        <v>959</v>
      </c>
      <c r="J681">
        <v>668011</v>
      </c>
      <c r="M681">
        <v>1511</v>
      </c>
      <c r="R681" t="s">
        <v>918</v>
      </c>
      <c r="S681" t="s">
        <v>1267</v>
      </c>
      <c r="T681" t="s">
        <v>1268</v>
      </c>
      <c r="V681" t="s">
        <v>3145</v>
      </c>
      <c r="AE681" t="s">
        <v>478</v>
      </c>
      <c r="AL681" t="s">
        <v>919</v>
      </c>
      <c r="AM681" t="s">
        <v>919</v>
      </c>
      <c r="AO681" t="s">
        <v>480</v>
      </c>
      <c r="AP681" t="s">
        <v>481</v>
      </c>
      <c r="BF681" s="1" t="s">
        <v>2559</v>
      </c>
      <c r="BH681" t="s">
        <v>1029</v>
      </c>
      <c r="BP681" t="s">
        <v>1489</v>
      </c>
    </row>
    <row r="682" spans="1:68" x14ac:dyDescent="0.25">
      <c r="A682" t="s">
        <v>5713</v>
      </c>
      <c r="B682" t="s">
        <v>474</v>
      </c>
      <c r="C682" t="s">
        <v>1552</v>
      </c>
      <c r="E682" t="s">
        <v>480</v>
      </c>
      <c r="G682" s="1" t="s">
        <v>3144</v>
      </c>
      <c r="H682" t="s">
        <v>492</v>
      </c>
      <c r="J682">
        <v>668001</v>
      </c>
      <c r="M682">
        <v>1511</v>
      </c>
      <c r="R682" t="s">
        <v>918</v>
      </c>
      <c r="S682" t="s">
        <v>1267</v>
      </c>
      <c r="T682" t="s">
        <v>1268</v>
      </c>
      <c r="V682" t="s">
        <v>3145</v>
      </c>
      <c r="AE682" t="s">
        <v>478</v>
      </c>
      <c r="AL682" t="s">
        <v>919</v>
      </c>
      <c r="AM682" t="s">
        <v>919</v>
      </c>
      <c r="AO682" t="s">
        <v>480</v>
      </c>
      <c r="AP682" t="s">
        <v>481</v>
      </c>
      <c r="BF682" s="1" t="s">
        <v>3146</v>
      </c>
      <c r="BH682" t="s">
        <v>1029</v>
      </c>
      <c r="BP682" t="s">
        <v>1489</v>
      </c>
    </row>
    <row r="683" spans="1:68" x14ac:dyDescent="0.25">
      <c r="A683" t="s">
        <v>5713</v>
      </c>
      <c r="B683" t="s">
        <v>474</v>
      </c>
      <c r="C683" t="s">
        <v>1552</v>
      </c>
      <c r="E683" t="s">
        <v>480</v>
      </c>
      <c r="G683" s="1" t="s">
        <v>3144</v>
      </c>
      <c r="H683" t="s">
        <v>500</v>
      </c>
      <c r="J683">
        <v>668011</v>
      </c>
      <c r="M683">
        <v>1511</v>
      </c>
      <c r="R683" t="s">
        <v>918</v>
      </c>
      <c r="S683" t="s">
        <v>1269</v>
      </c>
      <c r="T683" t="s">
        <v>1270</v>
      </c>
      <c r="V683" t="s">
        <v>3147</v>
      </c>
      <c r="AE683" t="s">
        <v>478</v>
      </c>
      <c r="AL683" t="s">
        <v>919</v>
      </c>
      <c r="AM683" t="s">
        <v>919</v>
      </c>
      <c r="AO683" t="s">
        <v>480</v>
      </c>
      <c r="AP683" t="s">
        <v>481</v>
      </c>
      <c r="BF683" s="1" t="s">
        <v>2559</v>
      </c>
      <c r="BH683" t="s">
        <v>1029</v>
      </c>
      <c r="BP683" t="s">
        <v>1489</v>
      </c>
    </row>
    <row r="684" spans="1:68" x14ac:dyDescent="0.25">
      <c r="A684" t="s">
        <v>5713</v>
      </c>
      <c r="B684" t="s">
        <v>474</v>
      </c>
      <c r="C684" t="s">
        <v>1552</v>
      </c>
      <c r="E684" t="s">
        <v>480</v>
      </c>
      <c r="G684" s="1" t="s">
        <v>3144</v>
      </c>
      <c r="H684" t="s">
        <v>537</v>
      </c>
      <c r="J684">
        <v>668001</v>
      </c>
      <c r="M684">
        <v>1511</v>
      </c>
      <c r="R684" t="s">
        <v>918</v>
      </c>
      <c r="S684" t="s">
        <v>1269</v>
      </c>
      <c r="T684" t="s">
        <v>1270</v>
      </c>
      <c r="V684" t="s">
        <v>3147</v>
      </c>
      <c r="AE684" t="s">
        <v>478</v>
      </c>
      <c r="AL684" t="s">
        <v>919</v>
      </c>
      <c r="AM684" t="s">
        <v>919</v>
      </c>
      <c r="AO684" t="s">
        <v>480</v>
      </c>
      <c r="AP684" t="s">
        <v>481</v>
      </c>
      <c r="BF684" s="1" t="s">
        <v>3146</v>
      </c>
      <c r="BH684" t="s">
        <v>1029</v>
      </c>
      <c r="BP684" t="s">
        <v>1489</v>
      </c>
    </row>
    <row r="685" spans="1:68" x14ac:dyDescent="0.25">
      <c r="A685" t="s">
        <v>5713</v>
      </c>
      <c r="B685" t="s">
        <v>474</v>
      </c>
      <c r="C685" t="s">
        <v>1552</v>
      </c>
      <c r="E685" t="s">
        <v>480</v>
      </c>
      <c r="G685" s="1" t="s">
        <v>3144</v>
      </c>
      <c r="H685" t="s">
        <v>546</v>
      </c>
      <c r="J685">
        <v>668011</v>
      </c>
      <c r="M685">
        <v>1511</v>
      </c>
      <c r="R685" t="s">
        <v>918</v>
      </c>
      <c r="S685" t="s">
        <v>1271</v>
      </c>
      <c r="T685" t="s">
        <v>1272</v>
      </c>
      <c r="V685" t="s">
        <v>3148</v>
      </c>
      <c r="AE685" t="s">
        <v>478</v>
      </c>
      <c r="AL685" t="s">
        <v>919</v>
      </c>
      <c r="AM685" t="s">
        <v>919</v>
      </c>
      <c r="AO685" t="s">
        <v>480</v>
      </c>
      <c r="AP685" t="s">
        <v>481</v>
      </c>
      <c r="BF685" s="1" t="s">
        <v>2559</v>
      </c>
      <c r="BH685" t="s">
        <v>1029</v>
      </c>
      <c r="BP685" t="s">
        <v>1489</v>
      </c>
    </row>
    <row r="686" spans="1:68" x14ac:dyDescent="0.25">
      <c r="A686" t="s">
        <v>5713</v>
      </c>
      <c r="B686" t="s">
        <v>474</v>
      </c>
      <c r="C686" t="s">
        <v>1552</v>
      </c>
      <c r="E686" t="s">
        <v>480</v>
      </c>
      <c r="G686" s="1" t="s">
        <v>3144</v>
      </c>
      <c r="H686" t="s">
        <v>553</v>
      </c>
      <c r="J686">
        <v>668001</v>
      </c>
      <c r="M686">
        <v>1511</v>
      </c>
      <c r="R686" t="s">
        <v>918</v>
      </c>
      <c r="S686" t="s">
        <v>1271</v>
      </c>
      <c r="T686" t="s">
        <v>1272</v>
      </c>
      <c r="V686" t="s">
        <v>3148</v>
      </c>
      <c r="AE686" t="s">
        <v>478</v>
      </c>
      <c r="AL686" t="s">
        <v>919</v>
      </c>
      <c r="AM686" t="s">
        <v>919</v>
      </c>
      <c r="AO686" t="s">
        <v>480</v>
      </c>
      <c r="AP686" t="s">
        <v>481</v>
      </c>
      <c r="BF686" s="1" t="s">
        <v>3146</v>
      </c>
      <c r="BH686" t="s">
        <v>1029</v>
      </c>
      <c r="BP686" t="s">
        <v>1489</v>
      </c>
    </row>
    <row r="687" spans="1:68" x14ac:dyDescent="0.25">
      <c r="A687" t="s">
        <v>5713</v>
      </c>
      <c r="B687" t="s">
        <v>474</v>
      </c>
      <c r="C687" t="s">
        <v>1552</v>
      </c>
      <c r="E687" t="s">
        <v>480</v>
      </c>
      <c r="G687" s="1" t="s">
        <v>3144</v>
      </c>
      <c r="H687" t="s">
        <v>559</v>
      </c>
      <c r="J687">
        <v>668011</v>
      </c>
      <c r="M687">
        <v>1511</v>
      </c>
      <c r="R687" t="s">
        <v>918</v>
      </c>
      <c r="S687" t="s">
        <v>1273</v>
      </c>
      <c r="T687" t="s">
        <v>1274</v>
      </c>
      <c r="V687" t="s">
        <v>3149</v>
      </c>
      <c r="AE687" t="s">
        <v>478</v>
      </c>
      <c r="AL687" t="s">
        <v>919</v>
      </c>
      <c r="AM687" t="s">
        <v>919</v>
      </c>
      <c r="AO687" t="s">
        <v>480</v>
      </c>
      <c r="AP687" t="s">
        <v>481</v>
      </c>
      <c r="BF687" s="1" t="s">
        <v>2559</v>
      </c>
      <c r="BH687" t="s">
        <v>1029</v>
      </c>
      <c r="BP687" t="s">
        <v>1489</v>
      </c>
    </row>
    <row r="688" spans="1:68" x14ac:dyDescent="0.25">
      <c r="A688" t="s">
        <v>5713</v>
      </c>
      <c r="B688" t="s">
        <v>474</v>
      </c>
      <c r="C688" t="s">
        <v>1552</v>
      </c>
      <c r="E688" t="s">
        <v>480</v>
      </c>
      <c r="G688" s="1" t="s">
        <v>3144</v>
      </c>
      <c r="H688" t="s">
        <v>564</v>
      </c>
      <c r="J688">
        <v>668001</v>
      </c>
      <c r="M688">
        <v>1511</v>
      </c>
      <c r="R688" t="s">
        <v>918</v>
      </c>
      <c r="S688" t="s">
        <v>1273</v>
      </c>
      <c r="T688" t="s">
        <v>1274</v>
      </c>
      <c r="V688" t="s">
        <v>3149</v>
      </c>
      <c r="AE688" t="s">
        <v>478</v>
      </c>
      <c r="AL688" t="s">
        <v>919</v>
      </c>
      <c r="AM688" t="s">
        <v>919</v>
      </c>
      <c r="AO688" t="s">
        <v>480</v>
      </c>
      <c r="AP688" t="s">
        <v>481</v>
      </c>
      <c r="BF688" s="1" t="s">
        <v>3146</v>
      </c>
      <c r="BH688" t="s">
        <v>1029</v>
      </c>
      <c r="BP688" t="s">
        <v>1489</v>
      </c>
    </row>
    <row r="689" spans="1:68" x14ac:dyDescent="0.25">
      <c r="A689" t="s">
        <v>5713</v>
      </c>
      <c r="B689" t="s">
        <v>474</v>
      </c>
      <c r="C689" t="s">
        <v>1552</v>
      </c>
      <c r="E689" t="s">
        <v>480</v>
      </c>
      <c r="G689" s="1" t="s">
        <v>3144</v>
      </c>
      <c r="H689" t="s">
        <v>571</v>
      </c>
      <c r="J689">
        <v>668011</v>
      </c>
      <c r="M689">
        <v>1511</v>
      </c>
      <c r="R689" t="s">
        <v>918</v>
      </c>
      <c r="S689" t="s">
        <v>1275</v>
      </c>
      <c r="T689" t="s">
        <v>1276</v>
      </c>
      <c r="V689" t="s">
        <v>3150</v>
      </c>
      <c r="AE689" t="s">
        <v>478</v>
      </c>
      <c r="AL689" t="s">
        <v>919</v>
      </c>
      <c r="AM689" t="s">
        <v>919</v>
      </c>
      <c r="AO689" t="s">
        <v>480</v>
      </c>
      <c r="AP689" t="s">
        <v>481</v>
      </c>
      <c r="BF689" s="1" t="s">
        <v>2559</v>
      </c>
      <c r="BH689" t="s">
        <v>1029</v>
      </c>
      <c r="BP689" t="s">
        <v>1489</v>
      </c>
    </row>
    <row r="690" spans="1:68" x14ac:dyDescent="0.25">
      <c r="A690" t="s">
        <v>5713</v>
      </c>
      <c r="B690" t="s">
        <v>474</v>
      </c>
      <c r="C690" t="s">
        <v>1552</v>
      </c>
      <c r="E690" t="s">
        <v>480</v>
      </c>
      <c r="G690" s="1" t="s">
        <v>3144</v>
      </c>
      <c r="H690" t="s">
        <v>578</v>
      </c>
      <c r="J690">
        <v>668001</v>
      </c>
      <c r="M690">
        <v>1511</v>
      </c>
      <c r="R690" t="s">
        <v>918</v>
      </c>
      <c r="S690" t="s">
        <v>1275</v>
      </c>
      <c r="T690" t="s">
        <v>1276</v>
      </c>
      <c r="V690" t="s">
        <v>3150</v>
      </c>
      <c r="AE690" t="s">
        <v>478</v>
      </c>
      <c r="AL690" t="s">
        <v>919</v>
      </c>
      <c r="AM690" t="s">
        <v>919</v>
      </c>
      <c r="AO690" t="s">
        <v>480</v>
      </c>
      <c r="AP690" t="s">
        <v>481</v>
      </c>
      <c r="BF690" s="1" t="s">
        <v>3146</v>
      </c>
      <c r="BH690" t="s">
        <v>1029</v>
      </c>
      <c r="BP690" t="s">
        <v>1489</v>
      </c>
    </row>
    <row r="691" spans="1:68" x14ac:dyDescent="0.25">
      <c r="A691" t="s">
        <v>5713</v>
      </c>
      <c r="B691" t="s">
        <v>474</v>
      </c>
      <c r="C691" t="s">
        <v>1552</v>
      </c>
      <c r="E691" t="s">
        <v>480</v>
      </c>
      <c r="G691" s="1" t="s">
        <v>3144</v>
      </c>
      <c r="H691" t="s">
        <v>585</v>
      </c>
      <c r="J691">
        <v>668011</v>
      </c>
      <c r="M691">
        <v>1511</v>
      </c>
      <c r="R691" t="s">
        <v>918</v>
      </c>
      <c r="S691" t="s">
        <v>1277</v>
      </c>
      <c r="T691" t="s">
        <v>1278</v>
      </c>
      <c r="V691" t="s">
        <v>3151</v>
      </c>
      <c r="AE691" t="s">
        <v>478</v>
      </c>
      <c r="AL691" t="s">
        <v>919</v>
      </c>
      <c r="AM691" t="s">
        <v>919</v>
      </c>
      <c r="AO691" t="s">
        <v>480</v>
      </c>
      <c r="AP691" t="s">
        <v>481</v>
      </c>
      <c r="BF691" s="1" t="s">
        <v>2559</v>
      </c>
      <c r="BH691" t="s">
        <v>1029</v>
      </c>
      <c r="BP691" t="s">
        <v>1489</v>
      </c>
    </row>
    <row r="692" spans="1:68" x14ac:dyDescent="0.25">
      <c r="A692" t="s">
        <v>5713</v>
      </c>
      <c r="B692" t="s">
        <v>474</v>
      </c>
      <c r="C692" t="s">
        <v>1552</v>
      </c>
      <c r="E692" t="s">
        <v>480</v>
      </c>
      <c r="G692" s="1" t="s">
        <v>3144</v>
      </c>
      <c r="H692" t="s">
        <v>592</v>
      </c>
      <c r="J692">
        <v>668001</v>
      </c>
      <c r="M692">
        <v>1511</v>
      </c>
      <c r="R692" t="s">
        <v>918</v>
      </c>
      <c r="S692" t="s">
        <v>1277</v>
      </c>
      <c r="T692" t="s">
        <v>1278</v>
      </c>
      <c r="V692" t="s">
        <v>3151</v>
      </c>
      <c r="AE692" t="s">
        <v>478</v>
      </c>
      <c r="AL692" t="s">
        <v>919</v>
      </c>
      <c r="AM692" t="s">
        <v>919</v>
      </c>
      <c r="AO692" t="s">
        <v>480</v>
      </c>
      <c r="AP692" t="s">
        <v>481</v>
      </c>
      <c r="BF692" s="1" t="s">
        <v>3146</v>
      </c>
      <c r="BH692" t="s">
        <v>1029</v>
      </c>
      <c r="BP692" t="s">
        <v>1489</v>
      </c>
    </row>
    <row r="693" spans="1:68" x14ac:dyDescent="0.25">
      <c r="A693" t="s">
        <v>5713</v>
      </c>
      <c r="B693" t="s">
        <v>474</v>
      </c>
      <c r="C693" t="s">
        <v>1552</v>
      </c>
      <c r="E693" t="s">
        <v>480</v>
      </c>
      <c r="G693" s="1" t="s">
        <v>3144</v>
      </c>
      <c r="H693" t="s">
        <v>600</v>
      </c>
      <c r="J693">
        <v>668011</v>
      </c>
      <c r="M693">
        <v>1511</v>
      </c>
      <c r="R693" t="s">
        <v>918</v>
      </c>
      <c r="S693" t="s">
        <v>1279</v>
      </c>
      <c r="T693" t="s">
        <v>1280</v>
      </c>
      <c r="V693" t="s">
        <v>3152</v>
      </c>
      <c r="AE693" t="s">
        <v>478</v>
      </c>
      <c r="AL693" t="s">
        <v>919</v>
      </c>
      <c r="AM693" t="s">
        <v>919</v>
      </c>
      <c r="AO693" t="s">
        <v>480</v>
      </c>
      <c r="AP693" t="s">
        <v>481</v>
      </c>
      <c r="BF693" s="1" t="s">
        <v>2559</v>
      </c>
      <c r="BH693" t="s">
        <v>1029</v>
      </c>
      <c r="BP693" t="s">
        <v>1489</v>
      </c>
    </row>
    <row r="694" spans="1:68" x14ac:dyDescent="0.25">
      <c r="A694" t="s">
        <v>5713</v>
      </c>
      <c r="B694" t="s">
        <v>474</v>
      </c>
      <c r="C694" t="s">
        <v>1552</v>
      </c>
      <c r="E694" t="s">
        <v>480</v>
      </c>
      <c r="G694" s="1" t="s">
        <v>3144</v>
      </c>
      <c r="H694" t="s">
        <v>608</v>
      </c>
      <c r="J694">
        <v>668001</v>
      </c>
      <c r="M694">
        <v>1511</v>
      </c>
      <c r="R694" t="s">
        <v>918</v>
      </c>
      <c r="S694" t="s">
        <v>1279</v>
      </c>
      <c r="T694" t="s">
        <v>1280</v>
      </c>
      <c r="V694" t="s">
        <v>3152</v>
      </c>
      <c r="AE694" t="s">
        <v>478</v>
      </c>
      <c r="AL694" t="s">
        <v>919</v>
      </c>
      <c r="AM694" t="s">
        <v>919</v>
      </c>
      <c r="AO694" t="s">
        <v>480</v>
      </c>
      <c r="AP694" t="s">
        <v>481</v>
      </c>
      <c r="BF694" s="1" t="s">
        <v>3146</v>
      </c>
      <c r="BH694" t="s">
        <v>1029</v>
      </c>
      <c r="BP694" t="s">
        <v>1489</v>
      </c>
    </row>
    <row r="695" spans="1:68" x14ac:dyDescent="0.25">
      <c r="A695" t="s">
        <v>5713</v>
      </c>
      <c r="B695" t="s">
        <v>474</v>
      </c>
      <c r="C695" t="s">
        <v>1552</v>
      </c>
      <c r="E695" t="s">
        <v>480</v>
      </c>
      <c r="G695" s="1" t="s">
        <v>3144</v>
      </c>
      <c r="H695" t="s">
        <v>612</v>
      </c>
      <c r="J695">
        <v>668011</v>
      </c>
      <c r="M695">
        <v>1511</v>
      </c>
      <c r="R695" t="s">
        <v>918</v>
      </c>
      <c r="S695" t="s">
        <v>1281</v>
      </c>
      <c r="T695" t="s">
        <v>1282</v>
      </c>
      <c r="V695" t="s">
        <v>3153</v>
      </c>
      <c r="AE695" t="s">
        <v>478</v>
      </c>
      <c r="AL695" t="s">
        <v>919</v>
      </c>
      <c r="AM695" t="s">
        <v>919</v>
      </c>
      <c r="AO695" t="s">
        <v>480</v>
      </c>
      <c r="AP695" t="s">
        <v>481</v>
      </c>
      <c r="BF695" s="1" t="s">
        <v>2559</v>
      </c>
      <c r="BH695" t="s">
        <v>1029</v>
      </c>
      <c r="BP695" t="s">
        <v>1489</v>
      </c>
    </row>
    <row r="696" spans="1:68" x14ac:dyDescent="0.25">
      <c r="A696" t="s">
        <v>5713</v>
      </c>
      <c r="B696" t="s">
        <v>474</v>
      </c>
      <c r="C696" t="s">
        <v>1552</v>
      </c>
      <c r="E696" t="s">
        <v>480</v>
      </c>
      <c r="G696" s="1" t="s">
        <v>3144</v>
      </c>
      <c r="H696" t="s">
        <v>619</v>
      </c>
      <c r="J696">
        <v>668001</v>
      </c>
      <c r="M696">
        <v>1511</v>
      </c>
      <c r="R696" t="s">
        <v>918</v>
      </c>
      <c r="S696" t="s">
        <v>1281</v>
      </c>
      <c r="T696" t="s">
        <v>1282</v>
      </c>
      <c r="V696" t="s">
        <v>3153</v>
      </c>
      <c r="AE696" t="s">
        <v>478</v>
      </c>
      <c r="AL696" t="s">
        <v>919</v>
      </c>
      <c r="AM696" t="s">
        <v>919</v>
      </c>
      <c r="AO696" t="s">
        <v>480</v>
      </c>
      <c r="AP696" t="s">
        <v>481</v>
      </c>
      <c r="BF696" s="1" t="s">
        <v>3146</v>
      </c>
      <c r="BH696" t="s">
        <v>1029</v>
      </c>
      <c r="BP696" t="s">
        <v>1489</v>
      </c>
    </row>
    <row r="697" spans="1:68" x14ac:dyDescent="0.25">
      <c r="A697" t="s">
        <v>5713</v>
      </c>
      <c r="B697" t="s">
        <v>474</v>
      </c>
      <c r="C697" t="s">
        <v>1552</v>
      </c>
      <c r="E697" t="s">
        <v>480</v>
      </c>
      <c r="G697" s="1" t="s">
        <v>3144</v>
      </c>
      <c r="H697" t="s">
        <v>811</v>
      </c>
      <c r="J697">
        <v>668011</v>
      </c>
      <c r="M697">
        <v>1511</v>
      </c>
      <c r="R697" t="s">
        <v>918</v>
      </c>
      <c r="S697" t="s">
        <v>1283</v>
      </c>
      <c r="T697" t="s">
        <v>1284</v>
      </c>
      <c r="V697" t="s">
        <v>3154</v>
      </c>
      <c r="AE697" t="s">
        <v>478</v>
      </c>
      <c r="AL697" t="s">
        <v>919</v>
      </c>
      <c r="AM697" t="s">
        <v>919</v>
      </c>
      <c r="AO697" t="s">
        <v>480</v>
      </c>
      <c r="AP697" t="s">
        <v>481</v>
      </c>
      <c r="BF697" s="1" t="s">
        <v>2559</v>
      </c>
      <c r="BH697" t="s">
        <v>1029</v>
      </c>
      <c r="BP697" t="s">
        <v>1489</v>
      </c>
    </row>
    <row r="698" spans="1:68" x14ac:dyDescent="0.25">
      <c r="A698" t="s">
        <v>5713</v>
      </c>
      <c r="B698" t="s">
        <v>474</v>
      </c>
      <c r="C698" t="s">
        <v>1552</v>
      </c>
      <c r="E698" t="s">
        <v>480</v>
      </c>
      <c r="G698" s="1" t="s">
        <v>3144</v>
      </c>
      <c r="H698" t="s">
        <v>817</v>
      </c>
      <c r="J698">
        <v>668011</v>
      </c>
      <c r="M698">
        <v>1511</v>
      </c>
      <c r="R698" t="s">
        <v>918</v>
      </c>
      <c r="S698" t="s">
        <v>1285</v>
      </c>
      <c r="T698" t="s">
        <v>1286</v>
      </c>
      <c r="V698" t="s">
        <v>3155</v>
      </c>
      <c r="AE698" t="s">
        <v>478</v>
      </c>
      <c r="AL698" t="s">
        <v>919</v>
      </c>
      <c r="AM698" t="s">
        <v>919</v>
      </c>
      <c r="AO698" t="s">
        <v>480</v>
      </c>
      <c r="AP698" t="s">
        <v>481</v>
      </c>
      <c r="BF698" s="1" t="s">
        <v>2559</v>
      </c>
      <c r="BH698" t="s">
        <v>1029</v>
      </c>
      <c r="BP698" t="s">
        <v>1489</v>
      </c>
    </row>
    <row r="699" spans="1:68" x14ac:dyDescent="0.25">
      <c r="A699" t="s">
        <v>5713</v>
      </c>
      <c r="B699" t="s">
        <v>474</v>
      </c>
      <c r="C699" t="s">
        <v>1552</v>
      </c>
      <c r="E699" t="s">
        <v>480</v>
      </c>
      <c r="G699" s="1" t="s">
        <v>3144</v>
      </c>
      <c r="H699" t="s">
        <v>820</v>
      </c>
      <c r="J699">
        <v>668011</v>
      </c>
      <c r="M699">
        <v>1511</v>
      </c>
      <c r="R699" t="s">
        <v>918</v>
      </c>
      <c r="S699" t="s">
        <v>1287</v>
      </c>
      <c r="T699" t="s">
        <v>1288</v>
      </c>
      <c r="V699" t="s">
        <v>3156</v>
      </c>
      <c r="AE699" t="s">
        <v>478</v>
      </c>
      <c r="AL699" t="s">
        <v>919</v>
      </c>
      <c r="AM699" t="s">
        <v>919</v>
      </c>
      <c r="AO699" t="s">
        <v>480</v>
      </c>
      <c r="AP699" t="s">
        <v>481</v>
      </c>
      <c r="BF699" s="1" t="s">
        <v>2559</v>
      </c>
      <c r="BH699" t="s">
        <v>1029</v>
      </c>
      <c r="BP699" t="s">
        <v>1489</v>
      </c>
    </row>
    <row r="700" spans="1:68" x14ac:dyDescent="0.25">
      <c r="A700" t="s">
        <v>5713</v>
      </c>
      <c r="B700" t="s">
        <v>474</v>
      </c>
      <c r="C700" t="s">
        <v>1552</v>
      </c>
      <c r="E700" t="s">
        <v>480</v>
      </c>
      <c r="G700" s="1" t="s">
        <v>3144</v>
      </c>
      <c r="H700" t="s">
        <v>960</v>
      </c>
      <c r="J700">
        <v>668001</v>
      </c>
      <c r="M700">
        <v>1511</v>
      </c>
      <c r="R700" t="s">
        <v>918</v>
      </c>
      <c r="S700" t="s">
        <v>1287</v>
      </c>
      <c r="T700" t="s">
        <v>1288</v>
      </c>
      <c r="V700" t="s">
        <v>3156</v>
      </c>
      <c r="AE700" t="s">
        <v>478</v>
      </c>
      <c r="AL700" t="s">
        <v>919</v>
      </c>
      <c r="AM700" t="s">
        <v>919</v>
      </c>
      <c r="AO700" t="s">
        <v>480</v>
      </c>
      <c r="AP700" t="s">
        <v>481</v>
      </c>
      <c r="BF700" s="1" t="s">
        <v>3146</v>
      </c>
      <c r="BH700" t="s">
        <v>1029</v>
      </c>
      <c r="BP700" t="s">
        <v>1489</v>
      </c>
    </row>
    <row r="701" spans="1:68" x14ac:dyDescent="0.25">
      <c r="A701" t="s">
        <v>5713</v>
      </c>
      <c r="B701" t="s">
        <v>474</v>
      </c>
      <c r="C701" t="s">
        <v>1552</v>
      </c>
      <c r="E701" t="s">
        <v>480</v>
      </c>
      <c r="G701" s="1" t="s">
        <v>3144</v>
      </c>
      <c r="H701" t="s">
        <v>965</v>
      </c>
      <c r="J701">
        <v>668011</v>
      </c>
      <c r="M701">
        <v>1511</v>
      </c>
      <c r="R701" t="s">
        <v>918</v>
      </c>
      <c r="S701" t="s">
        <v>1289</v>
      </c>
      <c r="T701" t="s">
        <v>1290</v>
      </c>
      <c r="V701" t="s">
        <v>3157</v>
      </c>
      <c r="AE701" t="s">
        <v>478</v>
      </c>
      <c r="AL701" t="s">
        <v>919</v>
      </c>
      <c r="AM701" t="s">
        <v>919</v>
      </c>
      <c r="AO701" t="s">
        <v>480</v>
      </c>
      <c r="AP701" t="s">
        <v>481</v>
      </c>
      <c r="BF701" s="1" t="s">
        <v>2559</v>
      </c>
      <c r="BH701" t="s">
        <v>1029</v>
      </c>
      <c r="BP701" t="s">
        <v>1489</v>
      </c>
    </row>
    <row r="702" spans="1:68" x14ac:dyDescent="0.25">
      <c r="A702" t="s">
        <v>5713</v>
      </c>
      <c r="B702" t="s">
        <v>474</v>
      </c>
      <c r="C702" t="s">
        <v>1552</v>
      </c>
      <c r="E702" t="s">
        <v>480</v>
      </c>
      <c r="G702" s="1" t="s">
        <v>3144</v>
      </c>
      <c r="H702" t="s">
        <v>961</v>
      </c>
      <c r="J702">
        <v>668001</v>
      </c>
      <c r="M702">
        <v>1511</v>
      </c>
      <c r="R702" t="s">
        <v>918</v>
      </c>
      <c r="S702" t="s">
        <v>1289</v>
      </c>
      <c r="T702" t="s">
        <v>1290</v>
      </c>
      <c r="V702" t="s">
        <v>3157</v>
      </c>
      <c r="AE702" t="s">
        <v>478</v>
      </c>
      <c r="AL702" t="s">
        <v>919</v>
      </c>
      <c r="AM702" t="s">
        <v>919</v>
      </c>
      <c r="AO702" t="s">
        <v>480</v>
      </c>
      <c r="AP702" t="s">
        <v>481</v>
      </c>
      <c r="BF702" s="1" t="s">
        <v>3146</v>
      </c>
      <c r="BH702" t="s">
        <v>1029</v>
      </c>
      <c r="BP702" t="s">
        <v>1489</v>
      </c>
    </row>
    <row r="703" spans="1:68" x14ac:dyDescent="0.25">
      <c r="A703" t="s">
        <v>5713</v>
      </c>
      <c r="B703" t="s">
        <v>474</v>
      </c>
      <c r="C703" t="s">
        <v>1552</v>
      </c>
      <c r="E703" t="s">
        <v>480</v>
      </c>
      <c r="G703" s="1" t="s">
        <v>3144</v>
      </c>
      <c r="H703" t="s">
        <v>966</v>
      </c>
      <c r="J703">
        <v>668011</v>
      </c>
      <c r="M703">
        <v>1511</v>
      </c>
      <c r="R703" t="s">
        <v>918</v>
      </c>
      <c r="S703" t="s">
        <v>1291</v>
      </c>
      <c r="T703" t="s">
        <v>1292</v>
      </c>
      <c r="V703" t="s">
        <v>3158</v>
      </c>
      <c r="AE703" t="s">
        <v>478</v>
      </c>
      <c r="AL703" t="s">
        <v>919</v>
      </c>
      <c r="AM703" t="s">
        <v>919</v>
      </c>
      <c r="AO703" t="s">
        <v>480</v>
      </c>
      <c r="AP703" t="s">
        <v>481</v>
      </c>
      <c r="BF703" s="1" t="s">
        <v>2559</v>
      </c>
      <c r="BH703" t="s">
        <v>1029</v>
      </c>
      <c r="BP703" t="s">
        <v>1489</v>
      </c>
    </row>
    <row r="704" spans="1:68" x14ac:dyDescent="0.25">
      <c r="A704" t="s">
        <v>5713</v>
      </c>
      <c r="B704" t="s">
        <v>474</v>
      </c>
      <c r="C704" t="s">
        <v>1552</v>
      </c>
      <c r="E704" t="s">
        <v>480</v>
      </c>
      <c r="G704" s="1" t="s">
        <v>3144</v>
      </c>
      <c r="H704" t="s">
        <v>967</v>
      </c>
      <c r="J704">
        <v>668001</v>
      </c>
      <c r="M704">
        <v>1511</v>
      </c>
      <c r="R704" t="s">
        <v>918</v>
      </c>
      <c r="S704" t="s">
        <v>1291</v>
      </c>
      <c r="T704" t="s">
        <v>1292</v>
      </c>
      <c r="V704" t="s">
        <v>3158</v>
      </c>
      <c r="AE704" t="s">
        <v>478</v>
      </c>
      <c r="AL704" t="s">
        <v>919</v>
      </c>
      <c r="AM704" t="s">
        <v>919</v>
      </c>
      <c r="AO704" t="s">
        <v>480</v>
      </c>
      <c r="AP704" t="s">
        <v>481</v>
      </c>
      <c r="BF704" s="1" t="s">
        <v>3146</v>
      </c>
      <c r="BH704" t="s">
        <v>1029</v>
      </c>
      <c r="BP704" t="s">
        <v>1489</v>
      </c>
    </row>
    <row r="705" spans="1:68" x14ac:dyDescent="0.25">
      <c r="A705" t="s">
        <v>5713</v>
      </c>
      <c r="B705" t="s">
        <v>474</v>
      </c>
      <c r="C705" t="s">
        <v>1487</v>
      </c>
      <c r="E705" t="s">
        <v>475</v>
      </c>
      <c r="G705" s="1" t="s">
        <v>3159</v>
      </c>
      <c r="H705" t="s">
        <v>959</v>
      </c>
      <c r="J705">
        <v>643011</v>
      </c>
      <c r="M705" t="s">
        <v>1031</v>
      </c>
      <c r="R705" t="s">
        <v>918</v>
      </c>
      <c r="S705" t="s">
        <v>3160</v>
      </c>
      <c r="T705" t="s">
        <v>3161</v>
      </c>
      <c r="V705" t="s">
        <v>3162</v>
      </c>
      <c r="AE705" t="s">
        <v>478</v>
      </c>
      <c r="AL705" t="s">
        <v>919</v>
      </c>
      <c r="AM705" t="s">
        <v>919</v>
      </c>
      <c r="AO705" t="s">
        <v>480</v>
      </c>
      <c r="AP705" t="s">
        <v>481</v>
      </c>
      <c r="BF705" s="1" t="s">
        <v>1036</v>
      </c>
      <c r="BH705" t="s">
        <v>1029</v>
      </c>
      <c r="BP705" t="s">
        <v>1489</v>
      </c>
    </row>
    <row r="706" spans="1:68" x14ac:dyDescent="0.25">
      <c r="A706" t="s">
        <v>5713</v>
      </c>
      <c r="B706" t="s">
        <v>474</v>
      </c>
      <c r="C706" t="s">
        <v>3163</v>
      </c>
      <c r="E706" t="s">
        <v>475</v>
      </c>
      <c r="G706" s="1" t="s">
        <v>3164</v>
      </c>
      <c r="H706" t="s">
        <v>492</v>
      </c>
      <c r="J706">
        <v>624112</v>
      </c>
      <c r="M706">
        <v>1212</v>
      </c>
      <c r="R706" t="s">
        <v>918</v>
      </c>
      <c r="S706" t="s">
        <v>3165</v>
      </c>
      <c r="T706" t="s">
        <v>3166</v>
      </c>
      <c r="V706" t="s">
        <v>3167</v>
      </c>
      <c r="AE706" t="s">
        <v>478</v>
      </c>
      <c r="AL706" t="s">
        <v>919</v>
      </c>
      <c r="AM706" t="s">
        <v>919</v>
      </c>
      <c r="AO706" t="s">
        <v>480</v>
      </c>
      <c r="AP706" t="s">
        <v>481</v>
      </c>
      <c r="BF706" s="1" t="s">
        <v>3168</v>
      </c>
      <c r="BH706" t="s">
        <v>1029</v>
      </c>
      <c r="BP706" t="s">
        <v>1489</v>
      </c>
    </row>
    <row r="707" spans="1:68" x14ac:dyDescent="0.25">
      <c r="A707" t="s">
        <v>5713</v>
      </c>
      <c r="B707" t="s">
        <v>474</v>
      </c>
      <c r="C707" t="s">
        <v>1552</v>
      </c>
      <c r="E707" t="s">
        <v>475</v>
      </c>
      <c r="G707" s="1" t="s">
        <v>3169</v>
      </c>
      <c r="H707" t="s">
        <v>959</v>
      </c>
      <c r="J707">
        <v>630407</v>
      </c>
      <c r="M707">
        <v>3221</v>
      </c>
      <c r="R707" t="s">
        <v>918</v>
      </c>
      <c r="S707" t="s">
        <v>3170</v>
      </c>
      <c r="T707" t="s">
        <v>3171</v>
      </c>
      <c r="V707" t="s">
        <v>3172</v>
      </c>
      <c r="AE707" t="s">
        <v>478</v>
      </c>
      <c r="AL707" t="s">
        <v>919</v>
      </c>
      <c r="AM707" t="s">
        <v>919</v>
      </c>
      <c r="AO707" t="s">
        <v>480</v>
      </c>
      <c r="AP707" t="s">
        <v>481</v>
      </c>
      <c r="BF707" s="1" t="s">
        <v>1038</v>
      </c>
      <c r="BH707" t="s">
        <v>1029</v>
      </c>
      <c r="BP707" t="s">
        <v>1489</v>
      </c>
    </row>
    <row r="708" spans="1:68" x14ac:dyDescent="0.25">
      <c r="A708" t="s">
        <v>5713</v>
      </c>
      <c r="B708" t="s">
        <v>474</v>
      </c>
      <c r="C708" t="s">
        <v>1552</v>
      </c>
      <c r="E708" t="s">
        <v>475</v>
      </c>
      <c r="G708" s="1" t="s">
        <v>3173</v>
      </c>
      <c r="H708" t="s">
        <v>959</v>
      </c>
      <c r="J708">
        <v>630407</v>
      </c>
      <c r="M708">
        <v>3221</v>
      </c>
      <c r="R708" t="s">
        <v>918</v>
      </c>
      <c r="S708" t="s">
        <v>3174</v>
      </c>
      <c r="T708" t="s">
        <v>3175</v>
      </c>
      <c r="V708" t="s">
        <v>3176</v>
      </c>
      <c r="AE708" t="s">
        <v>478</v>
      </c>
      <c r="AL708" t="s">
        <v>919</v>
      </c>
      <c r="AM708" t="s">
        <v>919</v>
      </c>
      <c r="AO708" t="s">
        <v>480</v>
      </c>
      <c r="AP708" t="s">
        <v>481</v>
      </c>
      <c r="BF708" s="1" t="s">
        <v>1038</v>
      </c>
      <c r="BH708" t="s">
        <v>1029</v>
      </c>
      <c r="BP708" t="s">
        <v>1489</v>
      </c>
    </row>
    <row r="709" spans="1:68" x14ac:dyDescent="0.25">
      <c r="A709" t="s">
        <v>5713</v>
      </c>
      <c r="B709" t="s">
        <v>474</v>
      </c>
      <c r="C709" t="s">
        <v>1486</v>
      </c>
      <c r="E709" t="s">
        <v>475</v>
      </c>
      <c r="G709" s="1" t="s">
        <v>3177</v>
      </c>
      <c r="H709" t="s">
        <v>959</v>
      </c>
      <c r="J709">
        <v>612000</v>
      </c>
      <c r="M709">
        <v>3312</v>
      </c>
      <c r="R709" t="s">
        <v>918</v>
      </c>
      <c r="S709" t="s">
        <v>3178</v>
      </c>
      <c r="T709" t="s">
        <v>3179</v>
      </c>
      <c r="V709" t="s">
        <v>3180</v>
      </c>
      <c r="AE709" t="s">
        <v>478</v>
      </c>
      <c r="AL709" t="s">
        <v>919</v>
      </c>
      <c r="AM709" t="s">
        <v>919</v>
      </c>
      <c r="AO709" t="s">
        <v>480</v>
      </c>
      <c r="AP709" t="s">
        <v>481</v>
      </c>
      <c r="BF709" s="1" t="s">
        <v>1077</v>
      </c>
      <c r="BH709" t="s">
        <v>1029</v>
      </c>
      <c r="BP709" t="s">
        <v>1489</v>
      </c>
    </row>
    <row r="710" spans="1:68" x14ac:dyDescent="0.25">
      <c r="A710" t="s">
        <v>5713</v>
      </c>
      <c r="B710" t="s">
        <v>474</v>
      </c>
      <c r="C710" t="s">
        <v>1486</v>
      </c>
      <c r="E710" t="s">
        <v>475</v>
      </c>
      <c r="G710" s="1" t="s">
        <v>3177</v>
      </c>
      <c r="H710" t="s">
        <v>492</v>
      </c>
      <c r="J710">
        <v>612000</v>
      </c>
      <c r="M710">
        <v>3312</v>
      </c>
      <c r="R710" t="s">
        <v>918</v>
      </c>
      <c r="S710" t="s">
        <v>3181</v>
      </c>
      <c r="T710" t="s">
        <v>3182</v>
      </c>
      <c r="V710" t="s">
        <v>3183</v>
      </c>
      <c r="AE710" t="s">
        <v>478</v>
      </c>
      <c r="AL710" t="s">
        <v>919</v>
      </c>
      <c r="AM710" t="s">
        <v>919</v>
      </c>
      <c r="AO710" t="s">
        <v>480</v>
      </c>
      <c r="AP710" t="s">
        <v>481</v>
      </c>
      <c r="BF710" s="1" t="s">
        <v>1077</v>
      </c>
      <c r="BH710" t="s">
        <v>1029</v>
      </c>
      <c r="BP710" t="s">
        <v>1489</v>
      </c>
    </row>
    <row r="711" spans="1:68" x14ac:dyDescent="0.25">
      <c r="A711" t="s">
        <v>5713</v>
      </c>
      <c r="B711" t="s">
        <v>474</v>
      </c>
      <c r="C711" t="s">
        <v>1486</v>
      </c>
      <c r="E711" t="s">
        <v>475</v>
      </c>
      <c r="G711" s="1" t="s">
        <v>3177</v>
      </c>
      <c r="H711" t="s">
        <v>500</v>
      </c>
      <c r="J711">
        <v>612000</v>
      </c>
      <c r="M711">
        <v>3312</v>
      </c>
      <c r="R711" t="s">
        <v>918</v>
      </c>
      <c r="S711" t="s">
        <v>3178</v>
      </c>
      <c r="T711" t="s">
        <v>3179</v>
      </c>
      <c r="V711" t="s">
        <v>3184</v>
      </c>
      <c r="AE711" t="s">
        <v>478</v>
      </c>
      <c r="AL711" t="s">
        <v>919</v>
      </c>
      <c r="AM711" t="s">
        <v>919</v>
      </c>
      <c r="AO711" t="s">
        <v>480</v>
      </c>
      <c r="AP711" t="s">
        <v>481</v>
      </c>
      <c r="BF711" s="1" t="s">
        <v>1077</v>
      </c>
      <c r="BH711" t="s">
        <v>1029</v>
      </c>
      <c r="BP711" t="s">
        <v>1489</v>
      </c>
    </row>
    <row r="712" spans="1:68" x14ac:dyDescent="0.25">
      <c r="A712" t="s">
        <v>5713</v>
      </c>
      <c r="B712" t="s">
        <v>474</v>
      </c>
      <c r="C712" t="s">
        <v>1486</v>
      </c>
      <c r="E712" t="s">
        <v>475</v>
      </c>
      <c r="G712" s="1" t="s">
        <v>3177</v>
      </c>
      <c r="H712" t="s">
        <v>537</v>
      </c>
      <c r="J712">
        <v>612000</v>
      </c>
      <c r="M712">
        <v>3312</v>
      </c>
      <c r="R712" t="s">
        <v>918</v>
      </c>
      <c r="S712" t="s">
        <v>3181</v>
      </c>
      <c r="T712" t="s">
        <v>3182</v>
      </c>
      <c r="V712" t="s">
        <v>3185</v>
      </c>
      <c r="AE712" t="s">
        <v>478</v>
      </c>
      <c r="AL712" t="s">
        <v>919</v>
      </c>
      <c r="AM712" t="s">
        <v>919</v>
      </c>
      <c r="AO712" t="s">
        <v>480</v>
      </c>
      <c r="AP712" t="s">
        <v>481</v>
      </c>
      <c r="BF712" s="1" t="s">
        <v>1077</v>
      </c>
      <c r="BH712" t="s">
        <v>1029</v>
      </c>
      <c r="BP712" t="s">
        <v>1489</v>
      </c>
    </row>
    <row r="713" spans="1:68" x14ac:dyDescent="0.25">
      <c r="A713" t="s">
        <v>5713</v>
      </c>
      <c r="B713" t="s">
        <v>474</v>
      </c>
      <c r="C713" t="s">
        <v>1486</v>
      </c>
      <c r="E713" t="s">
        <v>475</v>
      </c>
      <c r="G713" s="1" t="s">
        <v>3177</v>
      </c>
      <c r="H713" t="s">
        <v>546</v>
      </c>
      <c r="J713">
        <v>612000</v>
      </c>
      <c r="M713">
        <v>3312</v>
      </c>
      <c r="R713" t="s">
        <v>918</v>
      </c>
      <c r="S713" t="s">
        <v>3178</v>
      </c>
      <c r="T713" t="s">
        <v>3179</v>
      </c>
      <c r="V713" t="s">
        <v>3186</v>
      </c>
      <c r="AE713" t="s">
        <v>478</v>
      </c>
      <c r="AL713" t="s">
        <v>919</v>
      </c>
      <c r="AM713" t="s">
        <v>919</v>
      </c>
      <c r="AO713" t="s">
        <v>480</v>
      </c>
      <c r="AP713" t="s">
        <v>481</v>
      </c>
      <c r="BF713" s="1" t="s">
        <v>1077</v>
      </c>
      <c r="BH713" t="s">
        <v>1029</v>
      </c>
      <c r="BP713" t="s">
        <v>1489</v>
      </c>
    </row>
    <row r="714" spans="1:68" x14ac:dyDescent="0.25">
      <c r="A714" t="s">
        <v>5713</v>
      </c>
      <c r="B714" t="s">
        <v>474</v>
      </c>
      <c r="C714" t="s">
        <v>1486</v>
      </c>
      <c r="E714" t="s">
        <v>475</v>
      </c>
      <c r="G714" s="1" t="s">
        <v>3177</v>
      </c>
      <c r="H714" t="s">
        <v>553</v>
      </c>
      <c r="J714">
        <v>612000</v>
      </c>
      <c r="M714">
        <v>3312</v>
      </c>
      <c r="R714" t="s">
        <v>918</v>
      </c>
      <c r="S714" t="s">
        <v>3181</v>
      </c>
      <c r="T714" t="s">
        <v>3182</v>
      </c>
      <c r="V714" t="s">
        <v>3187</v>
      </c>
      <c r="AE714" t="s">
        <v>478</v>
      </c>
      <c r="AL714" t="s">
        <v>919</v>
      </c>
      <c r="AM714" t="s">
        <v>919</v>
      </c>
      <c r="AO714" t="s">
        <v>480</v>
      </c>
      <c r="AP714" t="s">
        <v>481</v>
      </c>
      <c r="BF714" s="1" t="s">
        <v>1077</v>
      </c>
      <c r="BH714" t="s">
        <v>1029</v>
      </c>
      <c r="BP714" t="s">
        <v>1489</v>
      </c>
    </row>
    <row r="715" spans="1:68" x14ac:dyDescent="0.25">
      <c r="A715" t="s">
        <v>5713</v>
      </c>
      <c r="B715" t="s">
        <v>474</v>
      </c>
      <c r="C715" t="s">
        <v>1486</v>
      </c>
      <c r="E715" t="s">
        <v>475</v>
      </c>
      <c r="G715" s="1" t="s">
        <v>3188</v>
      </c>
      <c r="H715" t="s">
        <v>959</v>
      </c>
      <c r="J715">
        <v>612000</v>
      </c>
      <c r="M715">
        <v>3312</v>
      </c>
      <c r="R715" t="s">
        <v>918</v>
      </c>
      <c r="S715" t="s">
        <v>3189</v>
      </c>
      <c r="T715" t="s">
        <v>3190</v>
      </c>
      <c r="V715" t="s">
        <v>3180</v>
      </c>
      <c r="AE715" t="s">
        <v>478</v>
      </c>
      <c r="AL715" t="s">
        <v>919</v>
      </c>
      <c r="AM715" t="s">
        <v>919</v>
      </c>
      <c r="AO715" t="s">
        <v>480</v>
      </c>
      <c r="AP715" t="s">
        <v>481</v>
      </c>
      <c r="BF715" s="1" t="s">
        <v>1077</v>
      </c>
      <c r="BH715" t="s">
        <v>1029</v>
      </c>
      <c r="BP715" t="s">
        <v>1489</v>
      </c>
    </row>
    <row r="716" spans="1:68" x14ac:dyDescent="0.25">
      <c r="A716" t="s">
        <v>5713</v>
      </c>
      <c r="B716" t="s">
        <v>474</v>
      </c>
      <c r="C716" t="s">
        <v>1486</v>
      </c>
      <c r="E716" t="s">
        <v>475</v>
      </c>
      <c r="G716" s="1" t="s">
        <v>3188</v>
      </c>
      <c r="H716" t="s">
        <v>492</v>
      </c>
      <c r="J716">
        <v>612000</v>
      </c>
      <c r="M716">
        <v>3312</v>
      </c>
      <c r="R716" t="s">
        <v>918</v>
      </c>
      <c r="S716" t="s">
        <v>3191</v>
      </c>
      <c r="T716" t="s">
        <v>3192</v>
      </c>
      <c r="V716" t="s">
        <v>3183</v>
      </c>
      <c r="AE716" t="s">
        <v>478</v>
      </c>
      <c r="AL716" t="s">
        <v>919</v>
      </c>
      <c r="AM716" t="s">
        <v>919</v>
      </c>
      <c r="AO716" t="s">
        <v>480</v>
      </c>
      <c r="AP716" t="s">
        <v>481</v>
      </c>
      <c r="BF716" s="1" t="s">
        <v>1077</v>
      </c>
      <c r="BH716" t="s">
        <v>1029</v>
      </c>
      <c r="BP716" t="s">
        <v>1489</v>
      </c>
    </row>
    <row r="717" spans="1:68" x14ac:dyDescent="0.25">
      <c r="A717" t="s">
        <v>5713</v>
      </c>
      <c r="B717" t="s">
        <v>474</v>
      </c>
      <c r="C717" t="s">
        <v>1486</v>
      </c>
      <c r="E717" t="s">
        <v>475</v>
      </c>
      <c r="G717" s="1" t="s">
        <v>3188</v>
      </c>
      <c r="H717" t="s">
        <v>500</v>
      </c>
      <c r="J717">
        <v>612000</v>
      </c>
      <c r="M717">
        <v>3312</v>
      </c>
      <c r="R717" t="s">
        <v>918</v>
      </c>
      <c r="S717" t="s">
        <v>3189</v>
      </c>
      <c r="T717" t="s">
        <v>3190</v>
      </c>
      <c r="V717" t="s">
        <v>3184</v>
      </c>
      <c r="AE717" t="s">
        <v>478</v>
      </c>
      <c r="AL717" t="s">
        <v>919</v>
      </c>
      <c r="AM717" t="s">
        <v>919</v>
      </c>
      <c r="AO717" t="s">
        <v>480</v>
      </c>
      <c r="AP717" t="s">
        <v>481</v>
      </c>
      <c r="BF717" s="1" t="s">
        <v>1077</v>
      </c>
      <c r="BH717" t="s">
        <v>1029</v>
      </c>
      <c r="BP717" t="s">
        <v>1489</v>
      </c>
    </row>
    <row r="718" spans="1:68" x14ac:dyDescent="0.25">
      <c r="A718" t="s">
        <v>5713</v>
      </c>
      <c r="B718" t="s">
        <v>474</v>
      </c>
      <c r="C718" t="s">
        <v>1486</v>
      </c>
      <c r="E718" t="s">
        <v>475</v>
      </c>
      <c r="G718" s="1" t="s">
        <v>3188</v>
      </c>
      <c r="H718" t="s">
        <v>537</v>
      </c>
      <c r="J718">
        <v>612000</v>
      </c>
      <c r="M718">
        <v>3312</v>
      </c>
      <c r="R718" t="s">
        <v>918</v>
      </c>
      <c r="S718" t="s">
        <v>3191</v>
      </c>
      <c r="T718" t="s">
        <v>3192</v>
      </c>
      <c r="V718" t="s">
        <v>3185</v>
      </c>
      <c r="AE718" t="s">
        <v>478</v>
      </c>
      <c r="AL718" t="s">
        <v>919</v>
      </c>
      <c r="AM718" t="s">
        <v>919</v>
      </c>
      <c r="AO718" t="s">
        <v>480</v>
      </c>
      <c r="AP718" t="s">
        <v>481</v>
      </c>
      <c r="BF718" s="1" t="s">
        <v>1077</v>
      </c>
      <c r="BH718" t="s">
        <v>1029</v>
      </c>
      <c r="BP718" t="s">
        <v>1489</v>
      </c>
    </row>
    <row r="719" spans="1:68" x14ac:dyDescent="0.25">
      <c r="A719" t="s">
        <v>5713</v>
      </c>
      <c r="B719" t="s">
        <v>474</v>
      </c>
      <c r="C719" t="s">
        <v>1486</v>
      </c>
      <c r="E719" t="s">
        <v>475</v>
      </c>
      <c r="G719" s="1" t="s">
        <v>3188</v>
      </c>
      <c r="H719" t="s">
        <v>546</v>
      </c>
      <c r="J719">
        <v>612000</v>
      </c>
      <c r="M719">
        <v>3312</v>
      </c>
      <c r="R719" t="s">
        <v>918</v>
      </c>
      <c r="S719" t="s">
        <v>3189</v>
      </c>
      <c r="T719" t="s">
        <v>3190</v>
      </c>
      <c r="V719" t="s">
        <v>3186</v>
      </c>
      <c r="AE719" t="s">
        <v>478</v>
      </c>
      <c r="AL719" t="s">
        <v>919</v>
      </c>
      <c r="AM719" t="s">
        <v>919</v>
      </c>
      <c r="AO719" t="s">
        <v>480</v>
      </c>
      <c r="AP719" t="s">
        <v>481</v>
      </c>
      <c r="BF719" s="1" t="s">
        <v>1077</v>
      </c>
      <c r="BH719" t="s">
        <v>1029</v>
      </c>
      <c r="BP719" t="s">
        <v>1489</v>
      </c>
    </row>
    <row r="720" spans="1:68" x14ac:dyDescent="0.25">
      <c r="A720" t="s">
        <v>5713</v>
      </c>
      <c r="B720" t="s">
        <v>474</v>
      </c>
      <c r="C720" t="s">
        <v>1486</v>
      </c>
      <c r="E720" t="s">
        <v>475</v>
      </c>
      <c r="G720" s="1" t="s">
        <v>3188</v>
      </c>
      <c r="H720" t="s">
        <v>553</v>
      </c>
      <c r="J720">
        <v>612000</v>
      </c>
      <c r="M720">
        <v>3312</v>
      </c>
      <c r="R720" t="s">
        <v>918</v>
      </c>
      <c r="S720" t="s">
        <v>3191</v>
      </c>
      <c r="T720" t="s">
        <v>3192</v>
      </c>
      <c r="V720" t="s">
        <v>3187</v>
      </c>
      <c r="AE720" t="s">
        <v>478</v>
      </c>
      <c r="AL720" t="s">
        <v>919</v>
      </c>
      <c r="AM720" t="s">
        <v>919</v>
      </c>
      <c r="AO720" t="s">
        <v>480</v>
      </c>
      <c r="AP720" t="s">
        <v>481</v>
      </c>
      <c r="BF720" s="1" t="s">
        <v>1077</v>
      </c>
      <c r="BH720" t="s">
        <v>1029</v>
      </c>
      <c r="BP720" t="s">
        <v>1489</v>
      </c>
    </row>
    <row r="721" spans="1:68" x14ac:dyDescent="0.25">
      <c r="A721" t="s">
        <v>5713</v>
      </c>
      <c r="B721" t="s">
        <v>474</v>
      </c>
      <c r="C721" t="s">
        <v>1486</v>
      </c>
      <c r="E721" t="s">
        <v>475</v>
      </c>
      <c r="G721" s="1" t="s">
        <v>3193</v>
      </c>
      <c r="H721" t="s">
        <v>959</v>
      </c>
      <c r="J721">
        <v>630902</v>
      </c>
      <c r="M721">
        <v>1311</v>
      </c>
      <c r="R721" t="s">
        <v>918</v>
      </c>
      <c r="S721" t="s">
        <v>3194</v>
      </c>
      <c r="T721" t="s">
        <v>3195</v>
      </c>
      <c r="V721" t="s">
        <v>3196</v>
      </c>
      <c r="AE721" t="s">
        <v>478</v>
      </c>
      <c r="AL721" t="s">
        <v>919</v>
      </c>
      <c r="AM721" t="s">
        <v>919</v>
      </c>
      <c r="AO721" t="s">
        <v>480</v>
      </c>
      <c r="AP721" t="s">
        <v>481</v>
      </c>
      <c r="BF721" s="1" t="s">
        <v>3197</v>
      </c>
      <c r="BH721" t="s">
        <v>1029</v>
      </c>
      <c r="BP721" t="s">
        <v>1489</v>
      </c>
    </row>
    <row r="722" spans="1:68" x14ac:dyDescent="0.25">
      <c r="A722" t="s">
        <v>5713</v>
      </c>
      <c r="B722" t="s">
        <v>474</v>
      </c>
      <c r="C722" t="s">
        <v>1486</v>
      </c>
      <c r="E722" t="s">
        <v>475</v>
      </c>
      <c r="G722" s="1" t="s">
        <v>3198</v>
      </c>
      <c r="H722" t="s">
        <v>959</v>
      </c>
      <c r="J722">
        <v>667811</v>
      </c>
      <c r="M722">
        <v>1611</v>
      </c>
      <c r="R722" t="s">
        <v>918</v>
      </c>
      <c r="S722" t="s">
        <v>1050</v>
      </c>
      <c r="T722" t="s">
        <v>3199</v>
      </c>
      <c r="V722" t="s">
        <v>3200</v>
      </c>
      <c r="AE722" t="s">
        <v>478</v>
      </c>
      <c r="AL722" t="s">
        <v>919</v>
      </c>
      <c r="AM722" t="s">
        <v>919</v>
      </c>
      <c r="AO722" t="s">
        <v>480</v>
      </c>
      <c r="AP722" t="s">
        <v>481</v>
      </c>
      <c r="BF722" s="1" t="s">
        <v>1051</v>
      </c>
      <c r="BH722" t="s">
        <v>1029</v>
      </c>
      <c r="BP722" t="s">
        <v>1489</v>
      </c>
    </row>
    <row r="723" spans="1:68" x14ac:dyDescent="0.25">
      <c r="A723" t="s">
        <v>5713</v>
      </c>
      <c r="B723" t="s">
        <v>474</v>
      </c>
      <c r="C723" t="s">
        <v>1486</v>
      </c>
      <c r="E723" t="s">
        <v>475</v>
      </c>
      <c r="G723" s="1" t="s">
        <v>3201</v>
      </c>
      <c r="H723" t="s">
        <v>959</v>
      </c>
      <c r="J723">
        <v>644042</v>
      </c>
      <c r="M723">
        <v>8312</v>
      </c>
      <c r="R723" t="s">
        <v>918</v>
      </c>
      <c r="S723" t="s">
        <v>3202</v>
      </c>
      <c r="T723" t="s">
        <v>3203</v>
      </c>
      <c r="V723" t="s">
        <v>3204</v>
      </c>
      <c r="AE723" t="s">
        <v>478</v>
      </c>
      <c r="AL723" t="s">
        <v>919</v>
      </c>
      <c r="AM723" t="s">
        <v>919</v>
      </c>
      <c r="AO723" t="s">
        <v>480</v>
      </c>
      <c r="AP723" t="s">
        <v>481</v>
      </c>
      <c r="BF723" s="1" t="s">
        <v>1044</v>
      </c>
      <c r="BH723" t="s">
        <v>1029</v>
      </c>
      <c r="BP723" t="s">
        <v>1489</v>
      </c>
    </row>
    <row r="724" spans="1:68" x14ac:dyDescent="0.25">
      <c r="A724" t="s">
        <v>5713</v>
      </c>
      <c r="B724" t="s">
        <v>474</v>
      </c>
      <c r="C724" t="s">
        <v>1486</v>
      </c>
      <c r="E724" t="s">
        <v>475</v>
      </c>
      <c r="G724" s="1" t="s">
        <v>3205</v>
      </c>
      <c r="H724" t="s">
        <v>959</v>
      </c>
      <c r="J724">
        <v>644042</v>
      </c>
      <c r="M724">
        <v>8312</v>
      </c>
      <c r="R724" t="s">
        <v>918</v>
      </c>
      <c r="S724" t="s">
        <v>3206</v>
      </c>
      <c r="T724" t="s">
        <v>3207</v>
      </c>
      <c r="V724" t="s">
        <v>3208</v>
      </c>
      <c r="AE724" t="s">
        <v>478</v>
      </c>
      <c r="AL724" t="s">
        <v>919</v>
      </c>
      <c r="AM724" t="s">
        <v>919</v>
      </c>
      <c r="AO724" t="s">
        <v>480</v>
      </c>
      <c r="AP724" t="s">
        <v>481</v>
      </c>
      <c r="BF724" s="1" t="s">
        <v>1043</v>
      </c>
      <c r="BH724" t="s">
        <v>1029</v>
      </c>
      <c r="BP724" t="s">
        <v>1489</v>
      </c>
    </row>
    <row r="725" spans="1:68" x14ac:dyDescent="0.25">
      <c r="A725" t="s">
        <v>5713</v>
      </c>
      <c r="B725" t="s">
        <v>474</v>
      </c>
      <c r="C725" t="s">
        <v>1504</v>
      </c>
      <c r="E725" t="s">
        <v>475</v>
      </c>
      <c r="G725" s="1" t="s">
        <v>3209</v>
      </c>
      <c r="H725" t="s">
        <v>959</v>
      </c>
      <c r="J725">
        <v>661002</v>
      </c>
      <c r="M725">
        <v>1311</v>
      </c>
      <c r="R725" t="s">
        <v>918</v>
      </c>
      <c r="S725" t="s">
        <v>3165</v>
      </c>
      <c r="T725" t="s">
        <v>3210</v>
      </c>
      <c r="V725" t="s">
        <v>3211</v>
      </c>
      <c r="AE725" t="s">
        <v>478</v>
      </c>
      <c r="AL725" t="s">
        <v>919</v>
      </c>
      <c r="AM725" t="s">
        <v>919</v>
      </c>
      <c r="AO725" t="s">
        <v>480</v>
      </c>
      <c r="AP725" t="s">
        <v>481</v>
      </c>
      <c r="BF725" s="1" t="s">
        <v>1266</v>
      </c>
      <c r="BH725" t="s">
        <v>1029</v>
      </c>
      <c r="BP725" t="s">
        <v>1489</v>
      </c>
    </row>
    <row r="726" spans="1:68" x14ac:dyDescent="0.25">
      <c r="A726" t="s">
        <v>5713</v>
      </c>
      <c r="B726" t="s">
        <v>474</v>
      </c>
      <c r="C726" t="s">
        <v>1504</v>
      </c>
      <c r="E726" t="s">
        <v>475</v>
      </c>
      <c r="G726" s="1" t="s">
        <v>3209</v>
      </c>
      <c r="H726" t="s">
        <v>492</v>
      </c>
      <c r="J726">
        <v>661002</v>
      </c>
      <c r="M726">
        <v>1311</v>
      </c>
      <c r="R726" t="s">
        <v>918</v>
      </c>
      <c r="S726" t="s">
        <v>3212</v>
      </c>
      <c r="T726" t="s">
        <v>3213</v>
      </c>
      <c r="V726" t="s">
        <v>3214</v>
      </c>
      <c r="AE726" t="s">
        <v>478</v>
      </c>
      <c r="AL726" t="s">
        <v>919</v>
      </c>
      <c r="AM726" t="s">
        <v>919</v>
      </c>
      <c r="AO726" t="s">
        <v>480</v>
      </c>
      <c r="AP726" t="s">
        <v>481</v>
      </c>
      <c r="BF726" s="1" t="s">
        <v>1266</v>
      </c>
      <c r="BH726" t="s">
        <v>1029</v>
      </c>
      <c r="BP726" t="s">
        <v>1489</v>
      </c>
    </row>
    <row r="727" spans="1:68" x14ac:dyDescent="0.25">
      <c r="A727" t="s">
        <v>5713</v>
      </c>
      <c r="B727" t="s">
        <v>474</v>
      </c>
      <c r="C727" t="s">
        <v>1504</v>
      </c>
      <c r="E727" t="s">
        <v>475</v>
      </c>
      <c r="G727" s="1" t="s">
        <v>3215</v>
      </c>
      <c r="H727" t="s">
        <v>959</v>
      </c>
      <c r="J727">
        <v>661002</v>
      </c>
      <c r="M727">
        <v>1311</v>
      </c>
      <c r="R727" t="s">
        <v>918</v>
      </c>
      <c r="S727" t="s">
        <v>3165</v>
      </c>
      <c r="T727" t="s">
        <v>3210</v>
      </c>
      <c r="V727" t="s">
        <v>3216</v>
      </c>
      <c r="AE727" t="s">
        <v>478</v>
      </c>
      <c r="AL727" t="s">
        <v>919</v>
      </c>
      <c r="AM727" t="s">
        <v>919</v>
      </c>
      <c r="AO727" t="s">
        <v>480</v>
      </c>
      <c r="AP727" t="s">
        <v>481</v>
      </c>
      <c r="BF727" s="1" t="s">
        <v>1266</v>
      </c>
      <c r="BH727" t="s">
        <v>1029</v>
      </c>
      <c r="BP727" t="s">
        <v>1489</v>
      </c>
    </row>
    <row r="728" spans="1:68" x14ac:dyDescent="0.25">
      <c r="A728" t="s">
        <v>5713</v>
      </c>
      <c r="B728" t="s">
        <v>474</v>
      </c>
      <c r="C728" t="s">
        <v>1504</v>
      </c>
      <c r="E728" t="s">
        <v>475</v>
      </c>
      <c r="G728" s="1" t="s">
        <v>3215</v>
      </c>
      <c r="H728" t="s">
        <v>492</v>
      </c>
      <c r="J728">
        <v>661002</v>
      </c>
      <c r="M728">
        <v>1311</v>
      </c>
      <c r="R728" t="s">
        <v>918</v>
      </c>
      <c r="S728" t="s">
        <v>3212</v>
      </c>
      <c r="T728" t="s">
        <v>3213</v>
      </c>
      <c r="V728" t="s">
        <v>3217</v>
      </c>
      <c r="AE728" t="s">
        <v>478</v>
      </c>
      <c r="AL728" t="s">
        <v>919</v>
      </c>
      <c r="AM728" t="s">
        <v>919</v>
      </c>
      <c r="AO728" t="s">
        <v>480</v>
      </c>
      <c r="AP728" t="s">
        <v>481</v>
      </c>
      <c r="BF728" s="1" t="s">
        <v>1266</v>
      </c>
      <c r="BH728" t="s">
        <v>1029</v>
      </c>
      <c r="BP728" t="s">
        <v>1489</v>
      </c>
    </row>
    <row r="729" spans="1:68" x14ac:dyDescent="0.25">
      <c r="A729" t="s">
        <v>5713</v>
      </c>
      <c r="B729" t="s">
        <v>474</v>
      </c>
      <c r="C729" t="s">
        <v>1486</v>
      </c>
      <c r="E729" t="s">
        <v>475</v>
      </c>
      <c r="G729" s="1" t="s">
        <v>3218</v>
      </c>
      <c r="H729" t="s">
        <v>959</v>
      </c>
      <c r="J729">
        <v>630405</v>
      </c>
      <c r="M729">
        <v>1213</v>
      </c>
      <c r="R729" t="s">
        <v>918</v>
      </c>
      <c r="S729" t="s">
        <v>1053</v>
      </c>
      <c r="T729" t="s">
        <v>3219</v>
      </c>
      <c r="V729" t="s">
        <v>3220</v>
      </c>
      <c r="AE729" t="s">
        <v>478</v>
      </c>
      <c r="AL729" t="s">
        <v>919</v>
      </c>
      <c r="AM729" t="s">
        <v>919</v>
      </c>
      <c r="AO729" t="s">
        <v>480</v>
      </c>
      <c r="AP729" t="s">
        <v>481</v>
      </c>
      <c r="BF729" s="1" t="s">
        <v>1054</v>
      </c>
      <c r="BH729" t="s">
        <v>1029</v>
      </c>
      <c r="BP729" t="s">
        <v>1489</v>
      </c>
    </row>
    <row r="730" spans="1:68" x14ac:dyDescent="0.25">
      <c r="A730" t="s">
        <v>5713</v>
      </c>
      <c r="B730" t="s">
        <v>474</v>
      </c>
      <c r="C730" t="s">
        <v>1486</v>
      </c>
      <c r="E730" t="s">
        <v>475</v>
      </c>
      <c r="G730" s="1" t="s">
        <v>3221</v>
      </c>
      <c r="H730" t="s">
        <v>959</v>
      </c>
      <c r="J730">
        <v>667822</v>
      </c>
      <c r="M730">
        <v>1213</v>
      </c>
      <c r="R730" t="s">
        <v>918</v>
      </c>
      <c r="S730" t="s">
        <v>3222</v>
      </c>
      <c r="T730" t="s">
        <v>3223</v>
      </c>
      <c r="V730" t="s">
        <v>3224</v>
      </c>
      <c r="AE730" t="s">
        <v>478</v>
      </c>
      <c r="AL730" t="s">
        <v>919</v>
      </c>
      <c r="AM730" t="s">
        <v>919</v>
      </c>
      <c r="AO730" t="s">
        <v>480</v>
      </c>
      <c r="AP730" t="s">
        <v>481</v>
      </c>
      <c r="BF730" s="1" t="s">
        <v>1042</v>
      </c>
      <c r="BH730" t="s">
        <v>1029</v>
      </c>
      <c r="BP730" t="s">
        <v>1489</v>
      </c>
    </row>
    <row r="731" spans="1:68" x14ac:dyDescent="0.25">
      <c r="A731" t="s">
        <v>5713</v>
      </c>
      <c r="B731" t="s">
        <v>474</v>
      </c>
      <c r="C731" t="s">
        <v>1486</v>
      </c>
      <c r="E731" t="s">
        <v>480</v>
      </c>
      <c r="G731" s="1" t="s">
        <v>3225</v>
      </c>
      <c r="H731" t="s">
        <v>959</v>
      </c>
      <c r="J731">
        <v>621022</v>
      </c>
      <c r="M731">
        <v>1000</v>
      </c>
      <c r="R731" t="s">
        <v>918</v>
      </c>
      <c r="S731" t="s">
        <v>1045</v>
      </c>
      <c r="T731" t="s">
        <v>1046</v>
      </c>
      <c r="V731" t="s">
        <v>3226</v>
      </c>
      <c r="AE731" t="s">
        <v>478</v>
      </c>
      <c r="AL731" t="s">
        <v>919</v>
      </c>
      <c r="AM731" t="s">
        <v>919</v>
      </c>
      <c r="AO731" t="s">
        <v>480</v>
      </c>
      <c r="AP731" t="s">
        <v>481</v>
      </c>
      <c r="BF731" s="1" t="s">
        <v>1047</v>
      </c>
      <c r="BH731" t="s">
        <v>1029</v>
      </c>
      <c r="BP731" t="s">
        <v>1489</v>
      </c>
    </row>
    <row r="732" spans="1:68" x14ac:dyDescent="0.25">
      <c r="A732" t="s">
        <v>5713</v>
      </c>
      <c r="B732" t="s">
        <v>474</v>
      </c>
      <c r="C732" t="s">
        <v>1486</v>
      </c>
      <c r="E732" t="s">
        <v>480</v>
      </c>
      <c r="G732" s="1" t="s">
        <v>3225</v>
      </c>
      <c r="H732" t="s">
        <v>492</v>
      </c>
      <c r="J732">
        <v>621022</v>
      </c>
      <c r="M732">
        <v>1000</v>
      </c>
      <c r="R732" t="s">
        <v>918</v>
      </c>
      <c r="S732" t="s">
        <v>1048</v>
      </c>
      <c r="T732" t="s">
        <v>1049</v>
      </c>
      <c r="V732" t="s">
        <v>3227</v>
      </c>
      <c r="AE732" t="s">
        <v>478</v>
      </c>
      <c r="AL732" t="s">
        <v>919</v>
      </c>
      <c r="AM732" t="s">
        <v>919</v>
      </c>
      <c r="AO732" t="s">
        <v>480</v>
      </c>
      <c r="AP732" t="s">
        <v>481</v>
      </c>
      <c r="BF732" s="1" t="s">
        <v>1047</v>
      </c>
      <c r="BH732" t="s">
        <v>1029</v>
      </c>
      <c r="BP732" t="s">
        <v>1489</v>
      </c>
    </row>
    <row r="733" spans="1:68" x14ac:dyDescent="0.25">
      <c r="A733" t="s">
        <v>5713</v>
      </c>
      <c r="B733" t="s">
        <v>474</v>
      </c>
      <c r="C733" t="s">
        <v>1486</v>
      </c>
      <c r="E733" t="s">
        <v>475</v>
      </c>
      <c r="G733" s="1" t="s">
        <v>3228</v>
      </c>
      <c r="H733" t="s">
        <v>959</v>
      </c>
      <c r="J733">
        <v>673011</v>
      </c>
      <c r="M733">
        <v>1611</v>
      </c>
      <c r="R733" t="s">
        <v>918</v>
      </c>
      <c r="S733" t="s">
        <v>1039</v>
      </c>
      <c r="T733" t="s">
        <v>1040</v>
      </c>
      <c r="V733" t="s">
        <v>3229</v>
      </c>
      <c r="AE733" t="s">
        <v>478</v>
      </c>
      <c r="AL733" t="s">
        <v>919</v>
      </c>
      <c r="AM733" t="s">
        <v>919</v>
      </c>
      <c r="AO733" t="s">
        <v>480</v>
      </c>
      <c r="AP733" t="s">
        <v>481</v>
      </c>
      <c r="BF733" s="1" t="s">
        <v>1041</v>
      </c>
      <c r="BH733" t="s">
        <v>1029</v>
      </c>
      <c r="BP733" t="s">
        <v>1489</v>
      </c>
    </row>
    <row r="734" spans="1:68" x14ac:dyDescent="0.25">
      <c r="A734" t="s">
        <v>5713</v>
      </c>
      <c r="B734" t="s">
        <v>474</v>
      </c>
      <c r="C734" t="s">
        <v>1486</v>
      </c>
      <c r="E734" t="s">
        <v>475</v>
      </c>
      <c r="G734" s="1" t="s">
        <v>3230</v>
      </c>
      <c r="H734" t="s">
        <v>492</v>
      </c>
      <c r="J734">
        <v>667011</v>
      </c>
      <c r="M734">
        <v>3312</v>
      </c>
      <c r="R734" t="s">
        <v>918</v>
      </c>
      <c r="S734" t="s">
        <v>3231</v>
      </c>
      <c r="T734" t="s">
        <v>1091</v>
      </c>
      <c r="V734" t="s">
        <v>3232</v>
      </c>
      <c r="AE734" t="s">
        <v>478</v>
      </c>
      <c r="AL734" t="s">
        <v>919</v>
      </c>
      <c r="AM734" t="s">
        <v>919</v>
      </c>
      <c r="AO734" t="s">
        <v>480</v>
      </c>
      <c r="AP734" t="s">
        <v>481</v>
      </c>
      <c r="BF734" s="1" t="s">
        <v>1055</v>
      </c>
      <c r="BH734" t="s">
        <v>1029</v>
      </c>
      <c r="BP734" t="s">
        <v>1489</v>
      </c>
    </row>
    <row r="735" spans="1:68" x14ac:dyDescent="0.25">
      <c r="A735" t="s">
        <v>5713</v>
      </c>
      <c r="B735" t="s">
        <v>474</v>
      </c>
      <c r="C735" t="s">
        <v>1486</v>
      </c>
      <c r="E735" t="s">
        <v>480</v>
      </c>
      <c r="G735" s="1" t="s">
        <v>3233</v>
      </c>
      <c r="H735" t="s">
        <v>476</v>
      </c>
      <c r="J735">
        <v>622022</v>
      </c>
      <c r="M735">
        <v>1000</v>
      </c>
      <c r="R735" t="s">
        <v>918</v>
      </c>
      <c r="S735" t="s">
        <v>3234</v>
      </c>
      <c r="T735" t="s">
        <v>3235</v>
      </c>
      <c r="V735" t="s">
        <v>3236</v>
      </c>
      <c r="AE735" t="s">
        <v>478</v>
      </c>
      <c r="AL735" t="s">
        <v>919</v>
      </c>
      <c r="AM735" t="s">
        <v>919</v>
      </c>
      <c r="AO735" t="s">
        <v>480</v>
      </c>
      <c r="AP735" t="s">
        <v>481</v>
      </c>
      <c r="BF735" s="1" t="s">
        <v>1081</v>
      </c>
      <c r="BH735" t="s">
        <v>1029</v>
      </c>
      <c r="BP735" t="s">
        <v>1489</v>
      </c>
    </row>
    <row r="736" spans="1:68" x14ac:dyDescent="0.25">
      <c r="A736" t="s">
        <v>5713</v>
      </c>
      <c r="B736" t="s">
        <v>474</v>
      </c>
      <c r="C736" t="s">
        <v>1486</v>
      </c>
      <c r="E736" t="s">
        <v>480</v>
      </c>
      <c r="G736" s="1" t="s">
        <v>3233</v>
      </c>
      <c r="H736" t="s">
        <v>498</v>
      </c>
      <c r="J736">
        <v>622022</v>
      </c>
      <c r="M736">
        <v>1000</v>
      </c>
      <c r="R736" t="s">
        <v>918</v>
      </c>
      <c r="S736" t="s">
        <v>3237</v>
      </c>
      <c r="T736" t="s">
        <v>3238</v>
      </c>
      <c r="V736" t="s">
        <v>3239</v>
      </c>
      <c r="AE736" t="s">
        <v>478</v>
      </c>
      <c r="AL736" t="s">
        <v>919</v>
      </c>
      <c r="AM736" t="s">
        <v>919</v>
      </c>
      <c r="AO736" t="s">
        <v>480</v>
      </c>
      <c r="AP736" t="s">
        <v>481</v>
      </c>
      <c r="BF736" s="1" t="s">
        <v>1081</v>
      </c>
      <c r="BH736" t="s">
        <v>1029</v>
      </c>
      <c r="BP736" t="s">
        <v>1489</v>
      </c>
    </row>
    <row r="737" spans="1:68" x14ac:dyDescent="0.25">
      <c r="A737" t="s">
        <v>5713</v>
      </c>
      <c r="B737" t="s">
        <v>474</v>
      </c>
      <c r="C737" t="s">
        <v>1486</v>
      </c>
      <c r="E737" t="s">
        <v>480</v>
      </c>
      <c r="G737" s="1" t="s">
        <v>3233</v>
      </c>
      <c r="H737" t="s">
        <v>542</v>
      </c>
      <c r="J737">
        <v>621022</v>
      </c>
      <c r="M737">
        <v>1000</v>
      </c>
      <c r="R737" t="s">
        <v>918</v>
      </c>
      <c r="S737" t="s">
        <v>3240</v>
      </c>
      <c r="T737" t="s">
        <v>3241</v>
      </c>
      <c r="V737" t="s">
        <v>3242</v>
      </c>
      <c r="AE737" t="s">
        <v>478</v>
      </c>
      <c r="AL737" t="s">
        <v>919</v>
      </c>
      <c r="AM737" t="s">
        <v>919</v>
      </c>
      <c r="AO737" t="s">
        <v>480</v>
      </c>
      <c r="AP737" t="s">
        <v>481</v>
      </c>
      <c r="BF737" s="1" t="s">
        <v>1047</v>
      </c>
      <c r="BH737" t="s">
        <v>1029</v>
      </c>
      <c r="BP737" t="s">
        <v>1489</v>
      </c>
    </row>
    <row r="738" spans="1:68" x14ac:dyDescent="0.25">
      <c r="A738" t="s">
        <v>5713</v>
      </c>
      <c r="B738" t="s">
        <v>474</v>
      </c>
      <c r="C738" t="s">
        <v>1486</v>
      </c>
      <c r="E738" t="s">
        <v>480</v>
      </c>
      <c r="G738" s="1" t="s">
        <v>3233</v>
      </c>
      <c r="H738" t="s">
        <v>549</v>
      </c>
      <c r="J738">
        <v>621022</v>
      </c>
      <c r="M738">
        <v>1000</v>
      </c>
      <c r="R738" t="s">
        <v>918</v>
      </c>
      <c r="S738" t="s">
        <v>3243</v>
      </c>
      <c r="T738" t="s">
        <v>3244</v>
      </c>
      <c r="V738" t="s">
        <v>3245</v>
      </c>
      <c r="AE738" t="s">
        <v>478</v>
      </c>
      <c r="AL738" t="s">
        <v>919</v>
      </c>
      <c r="AM738" t="s">
        <v>919</v>
      </c>
      <c r="AO738" t="s">
        <v>480</v>
      </c>
      <c r="AP738" t="s">
        <v>481</v>
      </c>
      <c r="BF738" s="1" t="s">
        <v>1047</v>
      </c>
      <c r="BH738" t="s">
        <v>1029</v>
      </c>
      <c r="BP738" t="s">
        <v>1489</v>
      </c>
    </row>
    <row r="739" spans="1:68" x14ac:dyDescent="0.25">
      <c r="A739" t="s">
        <v>5713</v>
      </c>
      <c r="B739" t="s">
        <v>474</v>
      </c>
      <c r="C739" t="s">
        <v>1486</v>
      </c>
      <c r="E739" t="s">
        <v>1008</v>
      </c>
      <c r="G739" s="1" t="s">
        <v>3246</v>
      </c>
      <c r="H739" t="s">
        <v>959</v>
      </c>
      <c r="J739">
        <v>622022</v>
      </c>
      <c r="M739">
        <v>1000</v>
      </c>
      <c r="R739" t="s">
        <v>918</v>
      </c>
      <c r="S739" t="s">
        <v>1082</v>
      </c>
      <c r="T739" t="s">
        <v>3247</v>
      </c>
      <c r="V739" t="s">
        <v>3248</v>
      </c>
      <c r="AE739" t="s">
        <v>478</v>
      </c>
      <c r="AL739" t="s">
        <v>919</v>
      </c>
      <c r="AM739" t="s">
        <v>919</v>
      </c>
      <c r="AO739" t="s">
        <v>480</v>
      </c>
      <c r="AP739" t="s">
        <v>481</v>
      </c>
      <c r="BF739" s="1" t="s">
        <v>1081</v>
      </c>
      <c r="BH739" t="s">
        <v>1029</v>
      </c>
      <c r="BP739" t="s">
        <v>1489</v>
      </c>
    </row>
    <row r="740" spans="1:68" x14ac:dyDescent="0.25">
      <c r="A740" t="s">
        <v>5713</v>
      </c>
      <c r="B740" t="s">
        <v>474</v>
      </c>
      <c r="C740" t="s">
        <v>1486</v>
      </c>
      <c r="E740" t="s">
        <v>1008</v>
      </c>
      <c r="G740" s="1" t="s">
        <v>3246</v>
      </c>
      <c r="H740" t="s">
        <v>492</v>
      </c>
      <c r="J740">
        <v>622022</v>
      </c>
      <c r="M740">
        <v>1000</v>
      </c>
      <c r="R740" t="s">
        <v>918</v>
      </c>
      <c r="S740" t="s">
        <v>1083</v>
      </c>
      <c r="T740" t="s">
        <v>3249</v>
      </c>
      <c r="V740" t="s">
        <v>3250</v>
      </c>
      <c r="AE740" t="s">
        <v>478</v>
      </c>
      <c r="AL740" t="s">
        <v>919</v>
      </c>
      <c r="AM740" t="s">
        <v>919</v>
      </c>
      <c r="AO740" t="s">
        <v>480</v>
      </c>
      <c r="AP740" t="s">
        <v>481</v>
      </c>
      <c r="BF740" s="1" t="s">
        <v>1081</v>
      </c>
      <c r="BH740" t="s">
        <v>1029</v>
      </c>
      <c r="BP740" t="s">
        <v>1489</v>
      </c>
    </row>
    <row r="741" spans="1:68" x14ac:dyDescent="0.25">
      <c r="A741" t="s">
        <v>5713</v>
      </c>
      <c r="B741" t="s">
        <v>474</v>
      </c>
      <c r="C741" t="s">
        <v>1486</v>
      </c>
      <c r="E741" t="s">
        <v>1008</v>
      </c>
      <c r="G741" s="1" t="s">
        <v>3246</v>
      </c>
      <c r="H741" t="s">
        <v>537</v>
      </c>
      <c r="J741">
        <v>621022</v>
      </c>
      <c r="M741">
        <v>1000</v>
      </c>
      <c r="R741" t="s">
        <v>918</v>
      </c>
      <c r="S741" t="s">
        <v>3251</v>
      </c>
      <c r="T741" t="s">
        <v>3252</v>
      </c>
      <c r="V741" t="s">
        <v>3253</v>
      </c>
      <c r="AE741" t="s">
        <v>478</v>
      </c>
      <c r="AL741" t="s">
        <v>919</v>
      </c>
      <c r="AM741" t="s">
        <v>919</v>
      </c>
      <c r="AO741" t="s">
        <v>480</v>
      </c>
      <c r="AP741" t="s">
        <v>481</v>
      </c>
      <c r="BF741" s="1" t="s">
        <v>1047</v>
      </c>
      <c r="BH741" t="s">
        <v>1029</v>
      </c>
      <c r="BP741" t="s">
        <v>1489</v>
      </c>
    </row>
    <row r="742" spans="1:68" x14ac:dyDescent="0.25">
      <c r="A742" t="s">
        <v>5713</v>
      </c>
      <c r="B742" t="s">
        <v>474</v>
      </c>
      <c r="C742" t="s">
        <v>1486</v>
      </c>
      <c r="E742" t="s">
        <v>1008</v>
      </c>
      <c r="G742" s="1" t="s">
        <v>3246</v>
      </c>
      <c r="H742" t="s">
        <v>546</v>
      </c>
      <c r="J742">
        <v>621022</v>
      </c>
      <c r="M742">
        <v>1000</v>
      </c>
      <c r="R742" t="s">
        <v>918</v>
      </c>
      <c r="S742" t="s">
        <v>3254</v>
      </c>
      <c r="T742" t="s">
        <v>3255</v>
      </c>
      <c r="V742" t="s">
        <v>3256</v>
      </c>
      <c r="AE742" t="s">
        <v>478</v>
      </c>
      <c r="AL742" t="s">
        <v>919</v>
      </c>
      <c r="AM742" t="s">
        <v>919</v>
      </c>
      <c r="AO742" t="s">
        <v>480</v>
      </c>
      <c r="AP742" t="s">
        <v>481</v>
      </c>
      <c r="BF742" s="1" t="s">
        <v>1047</v>
      </c>
      <c r="BH742" t="s">
        <v>1029</v>
      </c>
      <c r="BP742" t="s">
        <v>1489</v>
      </c>
    </row>
    <row r="743" spans="1:68" x14ac:dyDescent="0.25">
      <c r="A743" t="s">
        <v>5713</v>
      </c>
      <c r="B743" t="s">
        <v>474</v>
      </c>
      <c r="C743" t="s">
        <v>1486</v>
      </c>
      <c r="E743" t="s">
        <v>480</v>
      </c>
      <c r="G743" s="1" t="s">
        <v>3257</v>
      </c>
      <c r="H743" t="s">
        <v>959</v>
      </c>
      <c r="J743">
        <v>622022</v>
      </c>
      <c r="M743">
        <v>1000</v>
      </c>
      <c r="R743" t="s">
        <v>918</v>
      </c>
      <c r="S743" t="s">
        <v>3258</v>
      </c>
      <c r="T743" t="s">
        <v>3247</v>
      </c>
      <c r="V743" t="s">
        <v>3259</v>
      </c>
      <c r="AE743" t="s">
        <v>478</v>
      </c>
      <c r="AL743" t="s">
        <v>919</v>
      </c>
      <c r="AM743" t="s">
        <v>919</v>
      </c>
      <c r="AO743" t="s">
        <v>480</v>
      </c>
      <c r="AP743" t="s">
        <v>481</v>
      </c>
      <c r="BF743" s="1" t="s">
        <v>1081</v>
      </c>
      <c r="BH743" t="s">
        <v>1029</v>
      </c>
      <c r="BP743" t="s">
        <v>1489</v>
      </c>
    </row>
    <row r="744" spans="1:68" x14ac:dyDescent="0.25">
      <c r="A744" t="s">
        <v>5713</v>
      </c>
      <c r="B744" t="s">
        <v>474</v>
      </c>
      <c r="C744" t="s">
        <v>1486</v>
      </c>
      <c r="E744" t="s">
        <v>480</v>
      </c>
      <c r="G744" s="1" t="s">
        <v>3257</v>
      </c>
      <c r="H744" t="s">
        <v>492</v>
      </c>
      <c r="J744">
        <v>622022</v>
      </c>
      <c r="M744">
        <v>1000</v>
      </c>
      <c r="R744" t="s">
        <v>918</v>
      </c>
      <c r="S744" t="s">
        <v>3260</v>
      </c>
      <c r="T744" t="s">
        <v>3249</v>
      </c>
      <c r="V744" t="s">
        <v>3261</v>
      </c>
      <c r="AE744" t="s">
        <v>478</v>
      </c>
      <c r="AL744" t="s">
        <v>919</v>
      </c>
      <c r="AM744" t="s">
        <v>919</v>
      </c>
      <c r="AO744" t="s">
        <v>480</v>
      </c>
      <c r="AP744" t="s">
        <v>481</v>
      </c>
      <c r="BF744" s="1" t="s">
        <v>1081</v>
      </c>
      <c r="BH744" t="s">
        <v>1029</v>
      </c>
      <c r="BP744" t="s">
        <v>1489</v>
      </c>
    </row>
    <row r="745" spans="1:68" x14ac:dyDescent="0.25">
      <c r="A745" t="s">
        <v>5713</v>
      </c>
      <c r="B745" t="s">
        <v>474</v>
      </c>
      <c r="C745" t="s">
        <v>1486</v>
      </c>
      <c r="E745" t="s">
        <v>480</v>
      </c>
      <c r="G745" s="1" t="s">
        <v>3257</v>
      </c>
      <c r="H745" t="s">
        <v>537</v>
      </c>
      <c r="J745">
        <v>621022</v>
      </c>
      <c r="M745">
        <v>1000</v>
      </c>
      <c r="R745" t="s">
        <v>918</v>
      </c>
      <c r="S745" t="s">
        <v>3262</v>
      </c>
      <c r="T745" t="s">
        <v>3252</v>
      </c>
      <c r="V745" t="s">
        <v>3263</v>
      </c>
      <c r="AE745" t="s">
        <v>478</v>
      </c>
      <c r="AL745" t="s">
        <v>919</v>
      </c>
      <c r="AM745" t="s">
        <v>919</v>
      </c>
      <c r="AO745" t="s">
        <v>480</v>
      </c>
      <c r="AP745" t="s">
        <v>481</v>
      </c>
      <c r="BF745" s="1" t="s">
        <v>1047</v>
      </c>
      <c r="BH745" t="s">
        <v>1029</v>
      </c>
      <c r="BP745" t="s">
        <v>1489</v>
      </c>
    </row>
    <row r="746" spans="1:68" x14ac:dyDescent="0.25">
      <c r="A746" t="s">
        <v>5713</v>
      </c>
      <c r="B746" t="s">
        <v>474</v>
      </c>
      <c r="C746" t="s">
        <v>1486</v>
      </c>
      <c r="E746" t="s">
        <v>480</v>
      </c>
      <c r="G746" s="1" t="s">
        <v>3257</v>
      </c>
      <c r="H746" t="s">
        <v>546</v>
      </c>
      <c r="J746">
        <v>621022</v>
      </c>
      <c r="M746">
        <v>1000</v>
      </c>
      <c r="R746" t="s">
        <v>918</v>
      </c>
      <c r="S746" t="s">
        <v>3264</v>
      </c>
      <c r="T746" t="s">
        <v>3255</v>
      </c>
      <c r="V746" t="s">
        <v>3265</v>
      </c>
      <c r="AE746" t="s">
        <v>478</v>
      </c>
      <c r="AL746" t="s">
        <v>919</v>
      </c>
      <c r="AM746" t="s">
        <v>919</v>
      </c>
      <c r="AO746" t="s">
        <v>480</v>
      </c>
      <c r="AP746" t="s">
        <v>481</v>
      </c>
      <c r="BF746" s="1" t="s">
        <v>1047</v>
      </c>
      <c r="BH746" t="s">
        <v>1029</v>
      </c>
      <c r="BP746" t="s">
        <v>1489</v>
      </c>
    </row>
    <row r="747" spans="1:68" x14ac:dyDescent="0.25">
      <c r="A747" t="s">
        <v>5713</v>
      </c>
      <c r="B747" t="s">
        <v>474</v>
      </c>
      <c r="C747" t="s">
        <v>1486</v>
      </c>
      <c r="E747" t="s">
        <v>475</v>
      </c>
      <c r="G747" s="1" t="s">
        <v>3266</v>
      </c>
      <c r="H747" t="s">
        <v>959</v>
      </c>
      <c r="J747">
        <v>667000</v>
      </c>
      <c r="M747">
        <v>1213</v>
      </c>
      <c r="R747" t="s">
        <v>918</v>
      </c>
      <c r="S747" t="s">
        <v>3267</v>
      </c>
      <c r="T747" t="s">
        <v>3268</v>
      </c>
      <c r="V747" t="s">
        <v>3269</v>
      </c>
      <c r="AE747" t="s">
        <v>478</v>
      </c>
      <c r="AL747" t="s">
        <v>919</v>
      </c>
      <c r="AM747" t="s">
        <v>919</v>
      </c>
      <c r="AO747" t="s">
        <v>480</v>
      </c>
      <c r="AP747" t="s">
        <v>481</v>
      </c>
      <c r="BF747" s="1" t="s">
        <v>1057</v>
      </c>
      <c r="BH747" t="s">
        <v>1029</v>
      </c>
      <c r="BP747" t="s">
        <v>1489</v>
      </c>
    </row>
    <row r="748" spans="1:68" x14ac:dyDescent="0.25">
      <c r="A748" t="s">
        <v>5713</v>
      </c>
      <c r="B748" t="s">
        <v>474</v>
      </c>
      <c r="C748" t="s">
        <v>1486</v>
      </c>
      <c r="E748" t="s">
        <v>475</v>
      </c>
      <c r="G748" s="1" t="s">
        <v>3266</v>
      </c>
      <c r="H748" t="s">
        <v>537</v>
      </c>
      <c r="J748">
        <v>612100</v>
      </c>
      <c r="M748" t="s">
        <v>1058</v>
      </c>
      <c r="R748" t="s">
        <v>918</v>
      </c>
      <c r="S748" t="s">
        <v>3270</v>
      </c>
      <c r="T748" t="s">
        <v>3271</v>
      </c>
      <c r="V748" t="s">
        <v>3272</v>
      </c>
      <c r="AE748" t="s">
        <v>478</v>
      </c>
      <c r="AL748" t="s">
        <v>919</v>
      </c>
      <c r="AM748" t="s">
        <v>919</v>
      </c>
      <c r="AO748" t="s">
        <v>480</v>
      </c>
      <c r="AP748" t="s">
        <v>481</v>
      </c>
      <c r="BF748" s="1" t="s">
        <v>1059</v>
      </c>
      <c r="BH748" t="s">
        <v>1029</v>
      </c>
      <c r="BP748" t="s">
        <v>1489</v>
      </c>
    </row>
    <row r="749" spans="1:68" x14ac:dyDescent="0.25">
      <c r="A749" t="s">
        <v>5713</v>
      </c>
      <c r="B749" t="s">
        <v>474</v>
      </c>
      <c r="C749" t="s">
        <v>1486</v>
      </c>
      <c r="E749" t="s">
        <v>475</v>
      </c>
      <c r="G749" s="1" t="s">
        <v>3273</v>
      </c>
      <c r="H749" t="s">
        <v>959</v>
      </c>
      <c r="J749">
        <v>624134</v>
      </c>
      <c r="M749">
        <v>1213</v>
      </c>
      <c r="R749" t="s">
        <v>918</v>
      </c>
      <c r="S749" t="s">
        <v>1086</v>
      </c>
      <c r="T749" t="s">
        <v>1191</v>
      </c>
      <c r="V749" t="s">
        <v>3274</v>
      </c>
      <c r="AE749" t="s">
        <v>478</v>
      </c>
      <c r="AL749" t="s">
        <v>919</v>
      </c>
      <c r="AM749" t="s">
        <v>919</v>
      </c>
      <c r="AO749" t="s">
        <v>480</v>
      </c>
      <c r="AP749" t="s">
        <v>481</v>
      </c>
      <c r="BF749" s="1" t="s">
        <v>1087</v>
      </c>
      <c r="BH749" t="s">
        <v>1029</v>
      </c>
      <c r="BP749" t="s">
        <v>1489</v>
      </c>
    </row>
    <row r="750" spans="1:68" x14ac:dyDescent="0.25">
      <c r="A750" t="s">
        <v>5713</v>
      </c>
      <c r="B750" t="s">
        <v>474</v>
      </c>
      <c r="C750" t="s">
        <v>1486</v>
      </c>
      <c r="E750" t="s">
        <v>475</v>
      </c>
      <c r="G750" s="1" t="s">
        <v>3275</v>
      </c>
      <c r="H750" t="s">
        <v>959</v>
      </c>
      <c r="J750">
        <v>624134</v>
      </c>
      <c r="M750">
        <v>1213</v>
      </c>
      <c r="R750" t="s">
        <v>918</v>
      </c>
      <c r="S750" t="s">
        <v>1089</v>
      </c>
      <c r="T750" t="s">
        <v>3276</v>
      </c>
      <c r="V750" t="s">
        <v>3277</v>
      </c>
      <c r="AE750" t="s">
        <v>478</v>
      </c>
      <c r="AL750" t="s">
        <v>919</v>
      </c>
      <c r="AM750" t="s">
        <v>919</v>
      </c>
      <c r="AO750" t="s">
        <v>480</v>
      </c>
      <c r="AP750" t="s">
        <v>481</v>
      </c>
      <c r="BF750" s="1" t="s">
        <v>1087</v>
      </c>
      <c r="BH750" t="s">
        <v>1029</v>
      </c>
      <c r="BP750" t="s">
        <v>1489</v>
      </c>
    </row>
    <row r="751" spans="1:68" x14ac:dyDescent="0.25">
      <c r="A751" t="s">
        <v>5713</v>
      </c>
      <c r="B751" t="s">
        <v>474</v>
      </c>
      <c r="C751" t="s">
        <v>1486</v>
      </c>
      <c r="E751" t="s">
        <v>475</v>
      </c>
      <c r="G751" s="1" t="s">
        <v>3278</v>
      </c>
      <c r="H751" t="s">
        <v>959</v>
      </c>
      <c r="J751">
        <v>667121</v>
      </c>
      <c r="M751">
        <v>1213</v>
      </c>
      <c r="R751" t="s">
        <v>918</v>
      </c>
      <c r="S751" t="s">
        <v>3279</v>
      </c>
      <c r="T751" t="s">
        <v>3280</v>
      </c>
      <c r="V751" t="s">
        <v>3281</v>
      </c>
      <c r="AE751" t="s">
        <v>478</v>
      </c>
      <c r="AL751" t="s">
        <v>919</v>
      </c>
      <c r="AM751" t="s">
        <v>919</v>
      </c>
      <c r="AO751" t="s">
        <v>480</v>
      </c>
      <c r="AP751" t="s">
        <v>481</v>
      </c>
      <c r="BF751" s="1" t="s">
        <v>1075</v>
      </c>
      <c r="BH751" t="s">
        <v>1029</v>
      </c>
      <c r="BP751" t="s">
        <v>1489</v>
      </c>
    </row>
    <row r="752" spans="1:68" x14ac:dyDescent="0.25">
      <c r="A752" t="s">
        <v>5713</v>
      </c>
      <c r="B752" t="s">
        <v>474</v>
      </c>
      <c r="C752" t="s">
        <v>1486</v>
      </c>
      <c r="E752" t="s">
        <v>475</v>
      </c>
      <c r="G752" s="1" t="s">
        <v>3282</v>
      </c>
      <c r="H752" t="s">
        <v>537</v>
      </c>
      <c r="J752">
        <v>667121</v>
      </c>
      <c r="M752">
        <v>1213</v>
      </c>
      <c r="R752" t="s">
        <v>918</v>
      </c>
      <c r="S752" t="s">
        <v>3283</v>
      </c>
      <c r="T752" t="s">
        <v>3284</v>
      </c>
      <c r="V752" t="s">
        <v>3285</v>
      </c>
      <c r="AE752" t="s">
        <v>478</v>
      </c>
      <c r="AL752" t="s">
        <v>919</v>
      </c>
      <c r="AM752" t="s">
        <v>919</v>
      </c>
      <c r="AO752" t="s">
        <v>480</v>
      </c>
      <c r="AP752" t="s">
        <v>481</v>
      </c>
      <c r="BF752" s="1" t="s">
        <v>1075</v>
      </c>
      <c r="BH752" t="s">
        <v>1029</v>
      </c>
      <c r="BP752" t="s">
        <v>1489</v>
      </c>
    </row>
    <row r="753" spans="1:68" x14ac:dyDescent="0.25">
      <c r="A753" t="s">
        <v>5713</v>
      </c>
      <c r="B753" t="s">
        <v>474</v>
      </c>
      <c r="C753" t="s">
        <v>1486</v>
      </c>
      <c r="E753" t="s">
        <v>475</v>
      </c>
      <c r="G753" s="1" t="s">
        <v>3286</v>
      </c>
      <c r="H753" t="s">
        <v>959</v>
      </c>
      <c r="J753">
        <v>624134</v>
      </c>
      <c r="M753">
        <v>1213</v>
      </c>
      <c r="R753" t="s">
        <v>918</v>
      </c>
      <c r="S753" t="s">
        <v>1088</v>
      </c>
      <c r="T753" t="s">
        <v>3287</v>
      </c>
      <c r="V753" t="s">
        <v>3288</v>
      </c>
      <c r="AE753" t="s">
        <v>478</v>
      </c>
      <c r="AL753" t="s">
        <v>919</v>
      </c>
      <c r="AM753" t="s">
        <v>919</v>
      </c>
      <c r="AO753" t="s">
        <v>480</v>
      </c>
      <c r="AP753" t="s">
        <v>481</v>
      </c>
      <c r="BF753" s="1" t="s">
        <v>1087</v>
      </c>
      <c r="BH753" t="s">
        <v>1029</v>
      </c>
      <c r="BP753" t="s">
        <v>1489</v>
      </c>
    </row>
    <row r="754" spans="1:68" x14ac:dyDescent="0.25">
      <c r="A754" t="s">
        <v>5713</v>
      </c>
      <c r="B754" t="s">
        <v>474</v>
      </c>
      <c r="C754" t="s">
        <v>1486</v>
      </c>
      <c r="E754" t="s">
        <v>475</v>
      </c>
      <c r="G754" s="1" t="s">
        <v>3289</v>
      </c>
      <c r="H754" t="s">
        <v>959</v>
      </c>
      <c r="J754">
        <v>624134</v>
      </c>
      <c r="M754">
        <v>1213</v>
      </c>
      <c r="R754" t="s">
        <v>918</v>
      </c>
      <c r="S754" t="s">
        <v>3290</v>
      </c>
      <c r="T754" t="s">
        <v>3291</v>
      </c>
      <c r="V754" t="s">
        <v>3292</v>
      </c>
      <c r="AE754" t="s">
        <v>478</v>
      </c>
      <c r="AL754" t="s">
        <v>919</v>
      </c>
      <c r="AM754" t="s">
        <v>919</v>
      </c>
      <c r="AO754" t="s">
        <v>480</v>
      </c>
      <c r="AP754" t="s">
        <v>481</v>
      </c>
      <c r="BF754" s="1" t="s">
        <v>1087</v>
      </c>
      <c r="BH754" t="s">
        <v>1029</v>
      </c>
      <c r="BP754" t="s">
        <v>1489</v>
      </c>
    </row>
    <row r="755" spans="1:68" x14ac:dyDescent="0.25">
      <c r="A755" t="s">
        <v>5713</v>
      </c>
      <c r="B755" t="s">
        <v>474</v>
      </c>
      <c r="C755" t="s">
        <v>1486</v>
      </c>
      <c r="E755" t="s">
        <v>475</v>
      </c>
      <c r="G755" s="1" t="s">
        <v>3293</v>
      </c>
      <c r="H755" t="s">
        <v>959</v>
      </c>
      <c r="J755">
        <v>624134</v>
      </c>
      <c r="M755">
        <v>1213</v>
      </c>
      <c r="R755" t="s">
        <v>918</v>
      </c>
      <c r="S755" t="s">
        <v>1090</v>
      </c>
      <c r="T755" t="s">
        <v>3294</v>
      </c>
      <c r="V755" t="s">
        <v>3295</v>
      </c>
      <c r="AE755" t="s">
        <v>478</v>
      </c>
      <c r="AL755" t="s">
        <v>919</v>
      </c>
      <c r="AM755" t="s">
        <v>919</v>
      </c>
      <c r="AO755" t="s">
        <v>480</v>
      </c>
      <c r="AP755" t="s">
        <v>481</v>
      </c>
      <c r="BF755" s="1" t="s">
        <v>1087</v>
      </c>
      <c r="BH755" t="s">
        <v>1029</v>
      </c>
      <c r="BP755" t="s">
        <v>1489</v>
      </c>
    </row>
    <row r="756" spans="1:68" x14ac:dyDescent="0.25">
      <c r="A756" t="s">
        <v>5713</v>
      </c>
      <c r="B756" t="s">
        <v>474</v>
      </c>
      <c r="C756" t="s">
        <v>1486</v>
      </c>
      <c r="E756" t="s">
        <v>475</v>
      </c>
      <c r="G756" s="1" t="s">
        <v>3296</v>
      </c>
      <c r="H756" t="s">
        <v>959</v>
      </c>
      <c r="J756">
        <v>748895</v>
      </c>
      <c r="R756" t="s">
        <v>918</v>
      </c>
      <c r="S756" t="s">
        <v>3297</v>
      </c>
      <c r="T756" t="s">
        <v>3298</v>
      </c>
      <c r="V756" t="s">
        <v>3299</v>
      </c>
      <c r="AE756" t="s">
        <v>478</v>
      </c>
      <c r="AL756" t="s">
        <v>919</v>
      </c>
      <c r="AM756" t="s">
        <v>919</v>
      </c>
      <c r="AO756" t="s">
        <v>480</v>
      </c>
      <c r="AP756" t="s">
        <v>481</v>
      </c>
      <c r="BF756" s="1"/>
      <c r="BH756" t="s">
        <v>1029</v>
      </c>
      <c r="BP756" t="s">
        <v>1489</v>
      </c>
    </row>
    <row r="757" spans="1:68" x14ac:dyDescent="0.25">
      <c r="A757" t="s">
        <v>5713</v>
      </c>
      <c r="B757" t="s">
        <v>474</v>
      </c>
      <c r="C757" t="s">
        <v>1486</v>
      </c>
      <c r="E757" t="s">
        <v>475</v>
      </c>
      <c r="G757" s="1" t="s">
        <v>3300</v>
      </c>
      <c r="H757" t="s">
        <v>959</v>
      </c>
      <c r="J757">
        <v>643011</v>
      </c>
      <c r="M757" t="s">
        <v>1031</v>
      </c>
      <c r="R757" t="s">
        <v>918</v>
      </c>
      <c r="S757" t="s">
        <v>3301</v>
      </c>
      <c r="T757" t="s">
        <v>3302</v>
      </c>
      <c r="V757" t="s">
        <v>3303</v>
      </c>
      <c r="AE757" t="s">
        <v>478</v>
      </c>
      <c r="AL757" t="s">
        <v>919</v>
      </c>
      <c r="AM757" t="s">
        <v>919</v>
      </c>
      <c r="AO757" t="s">
        <v>480</v>
      </c>
      <c r="AP757" t="s">
        <v>481</v>
      </c>
      <c r="BF757" s="1" t="s">
        <v>1036</v>
      </c>
      <c r="BH757" t="s">
        <v>1029</v>
      </c>
      <c r="BP757" t="s">
        <v>1489</v>
      </c>
    </row>
    <row r="758" spans="1:68" x14ac:dyDescent="0.25">
      <c r="A758" t="s">
        <v>5713</v>
      </c>
      <c r="B758" t="s">
        <v>474</v>
      </c>
      <c r="C758" t="s">
        <v>1486</v>
      </c>
      <c r="E758" t="s">
        <v>475</v>
      </c>
      <c r="G758" s="1" t="s">
        <v>3304</v>
      </c>
      <c r="H758" t="s">
        <v>959</v>
      </c>
      <c r="J758">
        <v>643011</v>
      </c>
      <c r="M758" t="s">
        <v>1031</v>
      </c>
      <c r="R758" t="s">
        <v>918</v>
      </c>
      <c r="S758" t="s">
        <v>3305</v>
      </c>
      <c r="T758" t="s">
        <v>3306</v>
      </c>
      <c r="V758" t="s">
        <v>3307</v>
      </c>
      <c r="AE758" t="s">
        <v>478</v>
      </c>
      <c r="AL758" t="s">
        <v>919</v>
      </c>
      <c r="AM758" t="s">
        <v>919</v>
      </c>
      <c r="AO758" t="s">
        <v>480</v>
      </c>
      <c r="AP758" t="s">
        <v>481</v>
      </c>
      <c r="BF758" s="1" t="s">
        <v>1052</v>
      </c>
      <c r="BH758" t="s">
        <v>1029</v>
      </c>
      <c r="BP758" t="s">
        <v>1489</v>
      </c>
    </row>
    <row r="759" spans="1:68" x14ac:dyDescent="0.25">
      <c r="A759" t="s">
        <v>5713</v>
      </c>
      <c r="B759" t="s">
        <v>474</v>
      </c>
      <c r="C759" t="s">
        <v>1486</v>
      </c>
      <c r="E759" t="s">
        <v>475</v>
      </c>
      <c r="G759" s="1" t="s">
        <v>3308</v>
      </c>
      <c r="H759" t="s">
        <v>959</v>
      </c>
      <c r="J759">
        <v>612000</v>
      </c>
      <c r="M759">
        <v>3312</v>
      </c>
      <c r="R759" t="s">
        <v>918</v>
      </c>
      <c r="S759" t="s">
        <v>1205</v>
      </c>
      <c r="T759" t="s">
        <v>3309</v>
      </c>
      <c r="V759" t="s">
        <v>3310</v>
      </c>
      <c r="AE759" t="s">
        <v>478</v>
      </c>
      <c r="AL759" t="s">
        <v>919</v>
      </c>
      <c r="AM759" t="s">
        <v>919</v>
      </c>
      <c r="AO759" t="s">
        <v>480</v>
      </c>
      <c r="AP759" t="s">
        <v>481</v>
      </c>
      <c r="BF759" s="1" t="s">
        <v>1077</v>
      </c>
      <c r="BH759" t="s">
        <v>1029</v>
      </c>
      <c r="BP759" t="s">
        <v>1489</v>
      </c>
    </row>
    <row r="760" spans="1:68" x14ac:dyDescent="0.25">
      <c r="A760" t="s">
        <v>5713</v>
      </c>
      <c r="B760" t="s">
        <v>474</v>
      </c>
      <c r="C760" t="s">
        <v>1486</v>
      </c>
      <c r="E760" t="s">
        <v>475</v>
      </c>
      <c r="G760" s="1" t="s">
        <v>3308</v>
      </c>
      <c r="H760" t="s">
        <v>492</v>
      </c>
      <c r="J760">
        <v>612000</v>
      </c>
      <c r="M760">
        <v>3312</v>
      </c>
      <c r="R760" t="s">
        <v>918</v>
      </c>
      <c r="S760" t="s">
        <v>1205</v>
      </c>
      <c r="T760" t="s">
        <v>3309</v>
      </c>
      <c r="V760" t="s">
        <v>3311</v>
      </c>
      <c r="AE760" t="s">
        <v>478</v>
      </c>
      <c r="AL760" t="s">
        <v>919</v>
      </c>
      <c r="AM760" t="s">
        <v>919</v>
      </c>
      <c r="AO760" t="s">
        <v>480</v>
      </c>
      <c r="AP760" t="s">
        <v>481</v>
      </c>
      <c r="BF760" s="1" t="s">
        <v>1077</v>
      </c>
      <c r="BH760" t="s">
        <v>1029</v>
      </c>
      <c r="BP760" t="s">
        <v>1489</v>
      </c>
    </row>
    <row r="761" spans="1:68" x14ac:dyDescent="0.25">
      <c r="A761" t="s">
        <v>5713</v>
      </c>
      <c r="B761" t="s">
        <v>474</v>
      </c>
      <c r="C761" t="s">
        <v>1486</v>
      </c>
      <c r="E761" t="s">
        <v>475</v>
      </c>
      <c r="G761" s="1" t="s">
        <v>3308</v>
      </c>
      <c r="H761" t="s">
        <v>500</v>
      </c>
      <c r="J761">
        <v>612000</v>
      </c>
      <c r="M761">
        <v>3312</v>
      </c>
      <c r="R761" t="s">
        <v>918</v>
      </c>
      <c r="S761" t="s">
        <v>1205</v>
      </c>
      <c r="T761" t="s">
        <v>3309</v>
      </c>
      <c r="V761" t="s">
        <v>3312</v>
      </c>
      <c r="AE761" t="s">
        <v>478</v>
      </c>
      <c r="AL761" t="s">
        <v>919</v>
      </c>
      <c r="AM761" t="s">
        <v>919</v>
      </c>
      <c r="AO761" t="s">
        <v>480</v>
      </c>
      <c r="AP761" t="s">
        <v>481</v>
      </c>
      <c r="BF761" s="1" t="s">
        <v>1077</v>
      </c>
      <c r="BH761" t="s">
        <v>1029</v>
      </c>
      <c r="BP761" t="s">
        <v>1489</v>
      </c>
    </row>
    <row r="762" spans="1:68" x14ac:dyDescent="0.25">
      <c r="A762" t="s">
        <v>5713</v>
      </c>
      <c r="B762" t="s">
        <v>474</v>
      </c>
      <c r="C762" t="s">
        <v>1486</v>
      </c>
      <c r="E762" t="s">
        <v>475</v>
      </c>
      <c r="G762" s="1" t="s">
        <v>3308</v>
      </c>
      <c r="H762" t="s">
        <v>537</v>
      </c>
      <c r="J762">
        <v>612000</v>
      </c>
      <c r="M762">
        <v>3312</v>
      </c>
      <c r="R762" t="s">
        <v>918</v>
      </c>
      <c r="S762" t="s">
        <v>1205</v>
      </c>
      <c r="T762" t="s">
        <v>3309</v>
      </c>
      <c r="V762" t="s">
        <v>3313</v>
      </c>
      <c r="AE762" t="s">
        <v>478</v>
      </c>
      <c r="AL762" t="s">
        <v>919</v>
      </c>
      <c r="AM762" t="s">
        <v>919</v>
      </c>
      <c r="AO762" t="s">
        <v>480</v>
      </c>
      <c r="AP762" t="s">
        <v>481</v>
      </c>
      <c r="BF762" s="1" t="s">
        <v>1077</v>
      </c>
      <c r="BH762" t="s">
        <v>1029</v>
      </c>
      <c r="BP762" t="s">
        <v>1489</v>
      </c>
    </row>
    <row r="763" spans="1:68" x14ac:dyDescent="0.25">
      <c r="A763" t="s">
        <v>5713</v>
      </c>
      <c r="B763" t="s">
        <v>474</v>
      </c>
      <c r="C763" t="s">
        <v>1486</v>
      </c>
      <c r="E763" t="s">
        <v>475</v>
      </c>
      <c r="G763" s="1" t="s">
        <v>3308</v>
      </c>
      <c r="H763" t="s">
        <v>546</v>
      </c>
      <c r="J763">
        <v>612000</v>
      </c>
      <c r="M763">
        <v>3312</v>
      </c>
      <c r="R763" t="s">
        <v>918</v>
      </c>
      <c r="S763" t="s">
        <v>1205</v>
      </c>
      <c r="T763" t="s">
        <v>3309</v>
      </c>
      <c r="V763" t="s">
        <v>3314</v>
      </c>
      <c r="AE763" t="s">
        <v>478</v>
      </c>
      <c r="AL763" t="s">
        <v>919</v>
      </c>
      <c r="AM763" t="s">
        <v>919</v>
      </c>
      <c r="AO763" t="s">
        <v>480</v>
      </c>
      <c r="AP763" t="s">
        <v>481</v>
      </c>
      <c r="BF763" s="1" t="s">
        <v>1077</v>
      </c>
      <c r="BH763" t="s">
        <v>1029</v>
      </c>
      <c r="BP763" t="s">
        <v>1489</v>
      </c>
    </row>
    <row r="764" spans="1:68" x14ac:dyDescent="0.25">
      <c r="A764" t="s">
        <v>5713</v>
      </c>
      <c r="B764" t="s">
        <v>474</v>
      </c>
      <c r="C764" t="s">
        <v>1486</v>
      </c>
      <c r="E764" t="s">
        <v>475</v>
      </c>
      <c r="G764" s="1" t="s">
        <v>3308</v>
      </c>
      <c r="H764" t="s">
        <v>553</v>
      </c>
      <c r="J764">
        <v>612000</v>
      </c>
      <c r="M764">
        <v>3312</v>
      </c>
      <c r="R764" t="s">
        <v>918</v>
      </c>
      <c r="S764" t="s">
        <v>1205</v>
      </c>
      <c r="T764" t="s">
        <v>3309</v>
      </c>
      <c r="V764" t="s">
        <v>3315</v>
      </c>
      <c r="AE764" t="s">
        <v>478</v>
      </c>
      <c r="AL764" t="s">
        <v>919</v>
      </c>
      <c r="AM764" t="s">
        <v>919</v>
      </c>
      <c r="AO764" t="s">
        <v>480</v>
      </c>
      <c r="AP764" t="s">
        <v>481</v>
      </c>
      <c r="BF764" s="1" t="s">
        <v>1077</v>
      </c>
      <c r="BH764" t="s">
        <v>1029</v>
      </c>
      <c r="BP764" t="s">
        <v>1489</v>
      </c>
    </row>
    <row r="765" spans="1:68" x14ac:dyDescent="0.25">
      <c r="A765" t="s">
        <v>5713</v>
      </c>
      <c r="B765" t="s">
        <v>474</v>
      </c>
      <c r="C765" t="s">
        <v>1486</v>
      </c>
      <c r="E765" t="s">
        <v>475</v>
      </c>
      <c r="G765" s="1" t="s">
        <v>3308</v>
      </c>
      <c r="H765" t="s">
        <v>559</v>
      </c>
      <c r="J765">
        <v>612000</v>
      </c>
      <c r="M765">
        <v>3312</v>
      </c>
      <c r="R765" t="s">
        <v>918</v>
      </c>
      <c r="S765" t="s">
        <v>1205</v>
      </c>
      <c r="T765" t="s">
        <v>3309</v>
      </c>
      <c r="V765" t="s">
        <v>3316</v>
      </c>
      <c r="AE765" t="s">
        <v>478</v>
      </c>
      <c r="AL765" t="s">
        <v>919</v>
      </c>
      <c r="AM765" t="s">
        <v>919</v>
      </c>
      <c r="AO765" t="s">
        <v>480</v>
      </c>
      <c r="AP765" t="s">
        <v>481</v>
      </c>
      <c r="BF765" s="1" t="s">
        <v>1077</v>
      </c>
      <c r="BH765" t="s">
        <v>1029</v>
      </c>
      <c r="BP765" t="s">
        <v>1489</v>
      </c>
    </row>
    <row r="766" spans="1:68" x14ac:dyDescent="0.25">
      <c r="A766" t="s">
        <v>5713</v>
      </c>
      <c r="B766" t="s">
        <v>474</v>
      </c>
      <c r="C766" t="s">
        <v>1486</v>
      </c>
      <c r="E766" t="s">
        <v>475</v>
      </c>
      <c r="G766" s="1" t="s">
        <v>3308</v>
      </c>
      <c r="H766" t="s">
        <v>564</v>
      </c>
      <c r="J766">
        <v>612000</v>
      </c>
      <c r="M766">
        <v>3312</v>
      </c>
      <c r="R766" t="s">
        <v>918</v>
      </c>
      <c r="S766" t="s">
        <v>1205</v>
      </c>
      <c r="T766" t="s">
        <v>3309</v>
      </c>
      <c r="V766" t="s">
        <v>3316</v>
      </c>
      <c r="AE766" t="s">
        <v>478</v>
      </c>
      <c r="AL766" t="s">
        <v>919</v>
      </c>
      <c r="AM766" t="s">
        <v>919</v>
      </c>
      <c r="AO766" t="s">
        <v>480</v>
      </c>
      <c r="AP766" t="s">
        <v>481</v>
      </c>
      <c r="BF766" s="1" t="s">
        <v>1077</v>
      </c>
      <c r="BH766" t="s">
        <v>1029</v>
      </c>
      <c r="BP766" t="s">
        <v>1489</v>
      </c>
    </row>
    <row r="767" spans="1:68" x14ac:dyDescent="0.25">
      <c r="A767" t="s">
        <v>5713</v>
      </c>
      <c r="B767" t="s">
        <v>474</v>
      </c>
      <c r="C767" t="s">
        <v>1486</v>
      </c>
      <c r="E767" t="s">
        <v>475</v>
      </c>
      <c r="G767" s="1" t="s">
        <v>3308</v>
      </c>
      <c r="H767" t="s">
        <v>571</v>
      </c>
      <c r="J767">
        <v>612000</v>
      </c>
      <c r="M767">
        <v>3312</v>
      </c>
      <c r="R767" t="s">
        <v>918</v>
      </c>
      <c r="S767" t="s">
        <v>1205</v>
      </c>
      <c r="T767" t="s">
        <v>3309</v>
      </c>
      <c r="V767" t="s">
        <v>3317</v>
      </c>
      <c r="AE767" t="s">
        <v>478</v>
      </c>
      <c r="AL767" t="s">
        <v>919</v>
      </c>
      <c r="AM767" t="s">
        <v>919</v>
      </c>
      <c r="AO767" t="s">
        <v>480</v>
      </c>
      <c r="AP767" t="s">
        <v>481</v>
      </c>
      <c r="BF767" s="1" t="s">
        <v>1077</v>
      </c>
      <c r="BH767" t="s">
        <v>1029</v>
      </c>
      <c r="BP767" t="s">
        <v>1489</v>
      </c>
    </row>
    <row r="768" spans="1:68" x14ac:dyDescent="0.25">
      <c r="A768" t="s">
        <v>5713</v>
      </c>
      <c r="B768" t="s">
        <v>474</v>
      </c>
      <c r="C768" t="s">
        <v>1486</v>
      </c>
      <c r="E768" t="s">
        <v>475</v>
      </c>
      <c r="G768" s="1" t="s">
        <v>3308</v>
      </c>
      <c r="H768" t="s">
        <v>578</v>
      </c>
      <c r="J768">
        <v>612000</v>
      </c>
      <c r="M768">
        <v>3312</v>
      </c>
      <c r="R768" t="s">
        <v>918</v>
      </c>
      <c r="S768" t="s">
        <v>1205</v>
      </c>
      <c r="T768" t="s">
        <v>3309</v>
      </c>
      <c r="V768" t="s">
        <v>3318</v>
      </c>
      <c r="AE768" t="s">
        <v>478</v>
      </c>
      <c r="AL768" t="s">
        <v>919</v>
      </c>
      <c r="AM768" t="s">
        <v>919</v>
      </c>
      <c r="AO768" t="s">
        <v>480</v>
      </c>
      <c r="AP768" t="s">
        <v>481</v>
      </c>
      <c r="BF768" s="1" t="s">
        <v>1077</v>
      </c>
      <c r="BH768" t="s">
        <v>1029</v>
      </c>
      <c r="BP768" t="s">
        <v>1489</v>
      </c>
    </row>
    <row r="769" spans="1:68" x14ac:dyDescent="0.25">
      <c r="A769" t="s">
        <v>5713</v>
      </c>
      <c r="B769" t="s">
        <v>474</v>
      </c>
      <c r="C769" t="s">
        <v>1486</v>
      </c>
      <c r="E769" t="s">
        <v>475</v>
      </c>
      <c r="G769" s="1" t="s">
        <v>3308</v>
      </c>
      <c r="H769" t="s">
        <v>585</v>
      </c>
      <c r="J769">
        <v>612000</v>
      </c>
      <c r="M769">
        <v>3312</v>
      </c>
      <c r="R769" t="s">
        <v>918</v>
      </c>
      <c r="S769" t="s">
        <v>1205</v>
      </c>
      <c r="T769" t="s">
        <v>3309</v>
      </c>
      <c r="V769" t="s">
        <v>3319</v>
      </c>
      <c r="AE769" t="s">
        <v>478</v>
      </c>
      <c r="AL769" t="s">
        <v>919</v>
      </c>
      <c r="AM769" t="s">
        <v>919</v>
      </c>
      <c r="AO769" t="s">
        <v>480</v>
      </c>
      <c r="AP769" t="s">
        <v>481</v>
      </c>
      <c r="BF769" s="1" t="s">
        <v>1077</v>
      </c>
      <c r="BH769" t="s">
        <v>1029</v>
      </c>
      <c r="BP769" t="s">
        <v>1489</v>
      </c>
    </row>
    <row r="770" spans="1:68" x14ac:dyDescent="0.25">
      <c r="A770" t="s">
        <v>5713</v>
      </c>
      <c r="B770" t="s">
        <v>474</v>
      </c>
      <c r="C770" t="s">
        <v>1486</v>
      </c>
      <c r="E770" t="s">
        <v>475</v>
      </c>
      <c r="G770" s="1" t="s">
        <v>3308</v>
      </c>
      <c r="H770" t="s">
        <v>592</v>
      </c>
      <c r="J770">
        <v>612000</v>
      </c>
      <c r="M770">
        <v>3312</v>
      </c>
      <c r="R770" t="s">
        <v>918</v>
      </c>
      <c r="S770" t="s">
        <v>1205</v>
      </c>
      <c r="T770" t="s">
        <v>3309</v>
      </c>
      <c r="V770" t="s">
        <v>3320</v>
      </c>
      <c r="AE770" t="s">
        <v>478</v>
      </c>
      <c r="AL770" t="s">
        <v>919</v>
      </c>
      <c r="AM770" t="s">
        <v>919</v>
      </c>
      <c r="AO770" t="s">
        <v>480</v>
      </c>
      <c r="AP770" t="s">
        <v>481</v>
      </c>
      <c r="BF770" s="1" t="s">
        <v>1077</v>
      </c>
      <c r="BH770" t="s">
        <v>1029</v>
      </c>
      <c r="BP770" t="s">
        <v>1489</v>
      </c>
    </row>
    <row r="771" spans="1:68" x14ac:dyDescent="0.25">
      <c r="A771" t="s">
        <v>5713</v>
      </c>
      <c r="B771" t="s">
        <v>474</v>
      </c>
      <c r="C771" t="s">
        <v>1486</v>
      </c>
      <c r="E771" t="s">
        <v>475</v>
      </c>
      <c r="G771" s="1" t="s">
        <v>3308</v>
      </c>
      <c r="H771" t="s">
        <v>600</v>
      </c>
      <c r="J771">
        <v>612000</v>
      </c>
      <c r="M771">
        <v>3312</v>
      </c>
      <c r="R771" t="s">
        <v>918</v>
      </c>
      <c r="S771" t="s">
        <v>1205</v>
      </c>
      <c r="T771" t="s">
        <v>3309</v>
      </c>
      <c r="V771" t="s">
        <v>3321</v>
      </c>
      <c r="AE771" t="s">
        <v>478</v>
      </c>
      <c r="AL771" t="s">
        <v>919</v>
      </c>
      <c r="AM771" t="s">
        <v>919</v>
      </c>
      <c r="AO771" t="s">
        <v>480</v>
      </c>
      <c r="AP771" t="s">
        <v>481</v>
      </c>
      <c r="BF771" s="1" t="s">
        <v>1077</v>
      </c>
      <c r="BH771" t="s">
        <v>1029</v>
      </c>
      <c r="BP771" t="s">
        <v>1489</v>
      </c>
    </row>
    <row r="772" spans="1:68" x14ac:dyDescent="0.25">
      <c r="A772" t="s">
        <v>5713</v>
      </c>
      <c r="B772" t="s">
        <v>474</v>
      </c>
      <c r="C772" t="s">
        <v>1486</v>
      </c>
      <c r="E772" t="s">
        <v>475</v>
      </c>
      <c r="G772" s="1" t="s">
        <v>3308</v>
      </c>
      <c r="H772" t="s">
        <v>608</v>
      </c>
      <c r="J772">
        <v>612000</v>
      </c>
      <c r="M772">
        <v>3312</v>
      </c>
      <c r="R772" t="s">
        <v>918</v>
      </c>
      <c r="S772" t="s">
        <v>1205</v>
      </c>
      <c r="T772" t="s">
        <v>3309</v>
      </c>
      <c r="V772" t="s">
        <v>3322</v>
      </c>
      <c r="AE772" t="s">
        <v>478</v>
      </c>
      <c r="AL772" t="s">
        <v>919</v>
      </c>
      <c r="AM772" t="s">
        <v>919</v>
      </c>
      <c r="AO772" t="s">
        <v>480</v>
      </c>
      <c r="AP772" t="s">
        <v>481</v>
      </c>
      <c r="BF772" s="1" t="s">
        <v>1077</v>
      </c>
      <c r="BH772" t="s">
        <v>1029</v>
      </c>
      <c r="BP772" t="s">
        <v>1489</v>
      </c>
    </row>
    <row r="773" spans="1:68" x14ac:dyDescent="0.25">
      <c r="A773" t="s">
        <v>5713</v>
      </c>
      <c r="B773" t="s">
        <v>474</v>
      </c>
      <c r="C773" t="s">
        <v>1486</v>
      </c>
      <c r="E773" t="s">
        <v>475</v>
      </c>
      <c r="G773" s="1" t="s">
        <v>3308</v>
      </c>
      <c r="H773" t="s">
        <v>612</v>
      </c>
      <c r="J773">
        <v>612000</v>
      </c>
      <c r="M773">
        <v>3312</v>
      </c>
      <c r="R773" t="s">
        <v>918</v>
      </c>
      <c r="S773" t="s">
        <v>1205</v>
      </c>
      <c r="T773" t="s">
        <v>3309</v>
      </c>
      <c r="V773" t="s">
        <v>3323</v>
      </c>
      <c r="AE773" t="s">
        <v>478</v>
      </c>
      <c r="AL773" t="s">
        <v>919</v>
      </c>
      <c r="AM773" t="s">
        <v>919</v>
      </c>
      <c r="AO773" t="s">
        <v>480</v>
      </c>
      <c r="AP773" t="s">
        <v>481</v>
      </c>
      <c r="BF773" s="1" t="s">
        <v>1077</v>
      </c>
      <c r="BH773" t="s">
        <v>1029</v>
      </c>
      <c r="BP773" t="s">
        <v>1489</v>
      </c>
    </row>
    <row r="774" spans="1:68" x14ac:dyDescent="0.25">
      <c r="A774" t="s">
        <v>5713</v>
      </c>
      <c r="B774" t="s">
        <v>474</v>
      </c>
      <c r="C774" t="s">
        <v>1486</v>
      </c>
      <c r="E774" t="s">
        <v>475</v>
      </c>
      <c r="G774" s="1" t="s">
        <v>3308</v>
      </c>
      <c r="H774" t="s">
        <v>619</v>
      </c>
      <c r="J774">
        <v>612000</v>
      </c>
      <c r="M774">
        <v>3312</v>
      </c>
      <c r="R774" t="s">
        <v>918</v>
      </c>
      <c r="S774" t="s">
        <v>1205</v>
      </c>
      <c r="T774" t="s">
        <v>3309</v>
      </c>
      <c r="V774" t="s">
        <v>3324</v>
      </c>
      <c r="AE774" t="s">
        <v>478</v>
      </c>
      <c r="AL774" t="s">
        <v>919</v>
      </c>
      <c r="AM774" t="s">
        <v>919</v>
      </c>
      <c r="AO774" t="s">
        <v>480</v>
      </c>
      <c r="AP774" t="s">
        <v>481</v>
      </c>
      <c r="BF774" s="1" t="s">
        <v>1077</v>
      </c>
      <c r="BH774" t="s">
        <v>1029</v>
      </c>
      <c r="BP774" t="s">
        <v>1489</v>
      </c>
    </row>
    <row r="775" spans="1:68" x14ac:dyDescent="0.25">
      <c r="A775" t="s">
        <v>5713</v>
      </c>
      <c r="B775" t="s">
        <v>474</v>
      </c>
      <c r="C775" t="s">
        <v>1486</v>
      </c>
      <c r="E775" t="s">
        <v>475</v>
      </c>
      <c r="G775" s="1" t="s">
        <v>3308</v>
      </c>
      <c r="H775" t="s">
        <v>811</v>
      </c>
      <c r="J775">
        <v>612000</v>
      </c>
      <c r="M775">
        <v>3312</v>
      </c>
      <c r="R775" t="s">
        <v>918</v>
      </c>
      <c r="S775" t="s">
        <v>1205</v>
      </c>
      <c r="T775" t="s">
        <v>3309</v>
      </c>
      <c r="V775" t="s">
        <v>3325</v>
      </c>
      <c r="AE775" t="s">
        <v>478</v>
      </c>
      <c r="AL775" t="s">
        <v>919</v>
      </c>
      <c r="AM775" t="s">
        <v>919</v>
      </c>
      <c r="AO775" t="s">
        <v>480</v>
      </c>
      <c r="AP775" t="s">
        <v>481</v>
      </c>
      <c r="BF775" s="1" t="s">
        <v>1077</v>
      </c>
      <c r="BH775" t="s">
        <v>1029</v>
      </c>
      <c r="BP775" t="s">
        <v>1489</v>
      </c>
    </row>
    <row r="776" spans="1:68" x14ac:dyDescent="0.25">
      <c r="A776" t="s">
        <v>5713</v>
      </c>
      <c r="B776" t="s">
        <v>474</v>
      </c>
      <c r="C776" t="s">
        <v>1486</v>
      </c>
      <c r="E776" t="s">
        <v>475</v>
      </c>
      <c r="G776" s="1" t="s">
        <v>3308</v>
      </c>
      <c r="H776" t="s">
        <v>817</v>
      </c>
      <c r="J776">
        <v>612000</v>
      </c>
      <c r="M776">
        <v>3312</v>
      </c>
      <c r="R776" t="s">
        <v>918</v>
      </c>
      <c r="S776" t="s">
        <v>1205</v>
      </c>
      <c r="T776" t="s">
        <v>3309</v>
      </c>
      <c r="V776" t="s">
        <v>3326</v>
      </c>
      <c r="AE776" t="s">
        <v>478</v>
      </c>
      <c r="AL776" t="s">
        <v>919</v>
      </c>
      <c r="AM776" t="s">
        <v>919</v>
      </c>
      <c r="AO776" t="s">
        <v>480</v>
      </c>
      <c r="AP776" t="s">
        <v>481</v>
      </c>
      <c r="BF776" s="1" t="s">
        <v>1077</v>
      </c>
      <c r="BH776" t="s">
        <v>1029</v>
      </c>
      <c r="BP776" t="s">
        <v>1489</v>
      </c>
    </row>
    <row r="777" spans="1:68" x14ac:dyDescent="0.25">
      <c r="A777" t="s">
        <v>5713</v>
      </c>
      <c r="B777" t="s">
        <v>474</v>
      </c>
      <c r="C777" t="s">
        <v>1486</v>
      </c>
      <c r="E777" t="s">
        <v>475</v>
      </c>
      <c r="G777" s="1" t="s">
        <v>3308</v>
      </c>
      <c r="H777" t="s">
        <v>820</v>
      </c>
      <c r="J777">
        <v>612000</v>
      </c>
      <c r="M777">
        <v>3312</v>
      </c>
      <c r="R777" t="s">
        <v>918</v>
      </c>
      <c r="S777" t="s">
        <v>1205</v>
      </c>
      <c r="T777" t="s">
        <v>3309</v>
      </c>
      <c r="V777" t="s">
        <v>3327</v>
      </c>
      <c r="AE777" t="s">
        <v>478</v>
      </c>
      <c r="AL777" t="s">
        <v>919</v>
      </c>
      <c r="AM777" t="s">
        <v>919</v>
      </c>
      <c r="AO777" t="s">
        <v>480</v>
      </c>
      <c r="AP777" t="s">
        <v>481</v>
      </c>
      <c r="BF777" s="1" t="s">
        <v>1077</v>
      </c>
      <c r="BH777" t="s">
        <v>1029</v>
      </c>
      <c r="BP777" t="s">
        <v>1489</v>
      </c>
    </row>
    <row r="778" spans="1:68" x14ac:dyDescent="0.25">
      <c r="A778" t="s">
        <v>5713</v>
      </c>
      <c r="B778" t="s">
        <v>474</v>
      </c>
      <c r="C778" t="s">
        <v>1486</v>
      </c>
      <c r="E778" t="s">
        <v>475</v>
      </c>
      <c r="G778" s="1" t="s">
        <v>3308</v>
      </c>
      <c r="H778" t="s">
        <v>960</v>
      </c>
      <c r="J778">
        <v>612000</v>
      </c>
      <c r="M778">
        <v>3312</v>
      </c>
      <c r="R778" t="s">
        <v>918</v>
      </c>
      <c r="S778" t="s">
        <v>1205</v>
      </c>
      <c r="T778" t="s">
        <v>3309</v>
      </c>
      <c r="V778" t="s">
        <v>3328</v>
      </c>
      <c r="AE778" t="s">
        <v>478</v>
      </c>
      <c r="AL778" t="s">
        <v>919</v>
      </c>
      <c r="AM778" t="s">
        <v>919</v>
      </c>
      <c r="AO778" t="s">
        <v>480</v>
      </c>
      <c r="AP778" t="s">
        <v>481</v>
      </c>
      <c r="BF778" s="1" t="s">
        <v>1077</v>
      </c>
      <c r="BH778" t="s">
        <v>1029</v>
      </c>
      <c r="BP778" t="s">
        <v>1489</v>
      </c>
    </row>
    <row r="779" spans="1:68" x14ac:dyDescent="0.25">
      <c r="A779" t="s">
        <v>5713</v>
      </c>
      <c r="B779" t="s">
        <v>474</v>
      </c>
      <c r="C779" t="s">
        <v>1486</v>
      </c>
      <c r="E779" t="s">
        <v>475</v>
      </c>
      <c r="G779" s="1" t="s">
        <v>3308</v>
      </c>
      <c r="H779" t="s">
        <v>965</v>
      </c>
      <c r="J779">
        <v>612000</v>
      </c>
      <c r="M779">
        <v>3312</v>
      </c>
      <c r="R779" t="s">
        <v>918</v>
      </c>
      <c r="S779" t="s">
        <v>1205</v>
      </c>
      <c r="T779" t="s">
        <v>3309</v>
      </c>
      <c r="V779" t="s">
        <v>3329</v>
      </c>
      <c r="AE779" t="s">
        <v>478</v>
      </c>
      <c r="AL779" t="s">
        <v>919</v>
      </c>
      <c r="AM779" t="s">
        <v>919</v>
      </c>
      <c r="AO779" t="s">
        <v>480</v>
      </c>
      <c r="AP779" t="s">
        <v>481</v>
      </c>
      <c r="BF779" s="1" t="s">
        <v>1077</v>
      </c>
      <c r="BH779" t="s">
        <v>1029</v>
      </c>
      <c r="BP779" t="s">
        <v>1489</v>
      </c>
    </row>
    <row r="780" spans="1:68" x14ac:dyDescent="0.25">
      <c r="A780" t="s">
        <v>5713</v>
      </c>
      <c r="B780" t="s">
        <v>474</v>
      </c>
      <c r="C780" t="s">
        <v>1486</v>
      </c>
      <c r="E780" t="s">
        <v>475</v>
      </c>
      <c r="G780" s="1" t="s">
        <v>3308</v>
      </c>
      <c r="H780" t="s">
        <v>961</v>
      </c>
      <c r="J780">
        <v>612000</v>
      </c>
      <c r="M780">
        <v>3312</v>
      </c>
      <c r="R780" t="s">
        <v>918</v>
      </c>
      <c r="S780" t="s">
        <v>1205</v>
      </c>
      <c r="T780" t="s">
        <v>3309</v>
      </c>
      <c r="V780" t="s">
        <v>3330</v>
      </c>
      <c r="AE780" t="s">
        <v>478</v>
      </c>
      <c r="AL780" t="s">
        <v>919</v>
      </c>
      <c r="AM780" t="s">
        <v>919</v>
      </c>
      <c r="AO780" t="s">
        <v>480</v>
      </c>
      <c r="AP780" t="s">
        <v>481</v>
      </c>
      <c r="BF780" s="1" t="s">
        <v>1077</v>
      </c>
      <c r="BH780" t="s">
        <v>1029</v>
      </c>
      <c r="BP780" t="s">
        <v>1489</v>
      </c>
    </row>
    <row r="781" spans="1:68" x14ac:dyDescent="0.25">
      <c r="A781" t="s">
        <v>5713</v>
      </c>
      <c r="B781" t="s">
        <v>474</v>
      </c>
      <c r="C781" t="s">
        <v>1486</v>
      </c>
      <c r="E781" t="s">
        <v>475</v>
      </c>
      <c r="G781" s="1" t="s">
        <v>3308</v>
      </c>
      <c r="H781" t="s">
        <v>966</v>
      </c>
      <c r="J781">
        <v>612000</v>
      </c>
      <c r="M781">
        <v>3312</v>
      </c>
      <c r="R781" t="s">
        <v>918</v>
      </c>
      <c r="S781" t="s">
        <v>1205</v>
      </c>
      <c r="T781" t="s">
        <v>3309</v>
      </c>
      <c r="V781" t="s">
        <v>3331</v>
      </c>
      <c r="AE781" t="s">
        <v>478</v>
      </c>
      <c r="AL781" t="s">
        <v>919</v>
      </c>
      <c r="AM781" t="s">
        <v>919</v>
      </c>
      <c r="AO781" t="s">
        <v>480</v>
      </c>
      <c r="AP781" t="s">
        <v>481</v>
      </c>
      <c r="BF781" s="1" t="s">
        <v>1077</v>
      </c>
      <c r="BH781" t="s">
        <v>1029</v>
      </c>
      <c r="BP781" t="s">
        <v>1489</v>
      </c>
    </row>
    <row r="782" spans="1:68" x14ac:dyDescent="0.25">
      <c r="A782" t="s">
        <v>5713</v>
      </c>
      <c r="B782" t="s">
        <v>474</v>
      </c>
      <c r="C782" t="s">
        <v>1486</v>
      </c>
      <c r="E782" t="s">
        <v>475</v>
      </c>
      <c r="G782" s="1" t="s">
        <v>3308</v>
      </c>
      <c r="H782" t="s">
        <v>967</v>
      </c>
      <c r="J782">
        <v>612000</v>
      </c>
      <c r="M782">
        <v>3312</v>
      </c>
      <c r="R782" t="s">
        <v>918</v>
      </c>
      <c r="S782" t="s">
        <v>1205</v>
      </c>
      <c r="T782" t="s">
        <v>3309</v>
      </c>
      <c r="V782" t="s">
        <v>3332</v>
      </c>
      <c r="AE782" t="s">
        <v>478</v>
      </c>
      <c r="AL782" t="s">
        <v>919</v>
      </c>
      <c r="AM782" t="s">
        <v>919</v>
      </c>
      <c r="AO782" t="s">
        <v>480</v>
      </c>
      <c r="AP782" t="s">
        <v>481</v>
      </c>
      <c r="BF782" s="1" t="s">
        <v>1077</v>
      </c>
      <c r="BH782" t="s">
        <v>1029</v>
      </c>
      <c r="BP782" t="s">
        <v>1489</v>
      </c>
    </row>
    <row r="783" spans="1:68" x14ac:dyDescent="0.25">
      <c r="A783" t="s">
        <v>5713</v>
      </c>
      <c r="B783" t="s">
        <v>474</v>
      </c>
      <c r="C783" t="s">
        <v>1486</v>
      </c>
      <c r="E783" t="s">
        <v>475</v>
      </c>
      <c r="G783" s="1" t="s">
        <v>3308</v>
      </c>
      <c r="H783" t="s">
        <v>962</v>
      </c>
      <c r="J783">
        <v>612000</v>
      </c>
      <c r="M783">
        <v>3312</v>
      </c>
      <c r="R783" t="s">
        <v>918</v>
      </c>
      <c r="S783" t="s">
        <v>1205</v>
      </c>
      <c r="T783" t="s">
        <v>3309</v>
      </c>
      <c r="V783" t="s">
        <v>3333</v>
      </c>
      <c r="AE783" t="s">
        <v>478</v>
      </c>
      <c r="AL783" t="s">
        <v>919</v>
      </c>
      <c r="AM783" t="s">
        <v>919</v>
      </c>
      <c r="AO783" t="s">
        <v>480</v>
      </c>
      <c r="AP783" t="s">
        <v>481</v>
      </c>
      <c r="BF783" s="1" t="s">
        <v>1077</v>
      </c>
      <c r="BH783" t="s">
        <v>1029</v>
      </c>
      <c r="BP783" t="s">
        <v>1489</v>
      </c>
    </row>
    <row r="784" spans="1:68" x14ac:dyDescent="0.25">
      <c r="A784" t="s">
        <v>5713</v>
      </c>
      <c r="B784" t="s">
        <v>474</v>
      </c>
      <c r="C784" t="s">
        <v>1486</v>
      </c>
      <c r="E784" t="s">
        <v>475</v>
      </c>
      <c r="G784" s="1" t="s">
        <v>3308</v>
      </c>
      <c r="H784" t="s">
        <v>968</v>
      </c>
      <c r="J784">
        <v>612000</v>
      </c>
      <c r="M784">
        <v>3312</v>
      </c>
      <c r="R784" t="s">
        <v>918</v>
      </c>
      <c r="S784" t="s">
        <v>1205</v>
      </c>
      <c r="T784" t="s">
        <v>3309</v>
      </c>
      <c r="V784" t="s">
        <v>3334</v>
      </c>
      <c r="AE784" t="s">
        <v>478</v>
      </c>
      <c r="AL784" t="s">
        <v>919</v>
      </c>
      <c r="AM784" t="s">
        <v>919</v>
      </c>
      <c r="AO784" t="s">
        <v>480</v>
      </c>
      <c r="AP784" t="s">
        <v>481</v>
      </c>
      <c r="BF784" s="1" t="s">
        <v>1077</v>
      </c>
      <c r="BH784" t="s">
        <v>1029</v>
      </c>
      <c r="BP784" t="s">
        <v>1489</v>
      </c>
    </row>
    <row r="785" spans="1:68" x14ac:dyDescent="0.25">
      <c r="A785" t="s">
        <v>5713</v>
      </c>
      <c r="B785" t="s">
        <v>474</v>
      </c>
      <c r="C785" t="s">
        <v>1486</v>
      </c>
      <c r="E785" t="s">
        <v>475</v>
      </c>
      <c r="G785" s="1" t="s">
        <v>3308</v>
      </c>
      <c r="H785" t="s">
        <v>969</v>
      </c>
      <c r="J785">
        <v>612000</v>
      </c>
      <c r="M785">
        <v>3312</v>
      </c>
      <c r="R785" t="s">
        <v>918</v>
      </c>
      <c r="S785" t="s">
        <v>1205</v>
      </c>
      <c r="T785" t="s">
        <v>3309</v>
      </c>
      <c r="V785" t="s">
        <v>3335</v>
      </c>
      <c r="AE785" t="s">
        <v>478</v>
      </c>
      <c r="AL785" t="s">
        <v>919</v>
      </c>
      <c r="AM785" t="s">
        <v>919</v>
      </c>
      <c r="AO785" t="s">
        <v>480</v>
      </c>
      <c r="AP785" t="s">
        <v>481</v>
      </c>
      <c r="BF785" s="1" t="s">
        <v>1077</v>
      </c>
      <c r="BH785" t="s">
        <v>1029</v>
      </c>
      <c r="BP785" t="s">
        <v>1489</v>
      </c>
    </row>
    <row r="786" spans="1:68" x14ac:dyDescent="0.25">
      <c r="A786" t="s">
        <v>5713</v>
      </c>
      <c r="B786" t="s">
        <v>474</v>
      </c>
      <c r="C786" t="s">
        <v>1486</v>
      </c>
      <c r="E786" t="s">
        <v>475</v>
      </c>
      <c r="G786" s="1" t="s">
        <v>3308</v>
      </c>
      <c r="H786" t="s">
        <v>963</v>
      </c>
      <c r="J786">
        <v>612000</v>
      </c>
      <c r="M786">
        <v>3312</v>
      </c>
      <c r="R786" t="s">
        <v>918</v>
      </c>
      <c r="S786" t="s">
        <v>1205</v>
      </c>
      <c r="T786" t="s">
        <v>3309</v>
      </c>
      <c r="V786" t="s">
        <v>3336</v>
      </c>
      <c r="AE786" t="s">
        <v>478</v>
      </c>
      <c r="AL786" t="s">
        <v>919</v>
      </c>
      <c r="AM786" t="s">
        <v>919</v>
      </c>
      <c r="AO786" t="s">
        <v>480</v>
      </c>
      <c r="AP786" t="s">
        <v>481</v>
      </c>
      <c r="BF786" s="1" t="s">
        <v>1077</v>
      </c>
      <c r="BH786" t="s">
        <v>1029</v>
      </c>
      <c r="BP786" t="s">
        <v>1489</v>
      </c>
    </row>
    <row r="787" spans="1:68" x14ac:dyDescent="0.25">
      <c r="A787" t="s">
        <v>5713</v>
      </c>
      <c r="B787" t="s">
        <v>474</v>
      </c>
      <c r="C787" t="s">
        <v>1486</v>
      </c>
      <c r="E787" t="s">
        <v>475</v>
      </c>
      <c r="G787" s="1" t="s">
        <v>3308</v>
      </c>
      <c r="H787" t="s">
        <v>964</v>
      </c>
      <c r="J787">
        <v>612000</v>
      </c>
      <c r="M787">
        <v>3312</v>
      </c>
      <c r="R787" t="s">
        <v>918</v>
      </c>
      <c r="S787" t="s">
        <v>1205</v>
      </c>
      <c r="T787" t="s">
        <v>3309</v>
      </c>
      <c r="V787" t="s">
        <v>3337</v>
      </c>
      <c r="AE787" t="s">
        <v>478</v>
      </c>
      <c r="AL787" t="s">
        <v>919</v>
      </c>
      <c r="AM787" t="s">
        <v>919</v>
      </c>
      <c r="AO787" t="s">
        <v>480</v>
      </c>
      <c r="AP787" t="s">
        <v>481</v>
      </c>
      <c r="BF787" s="1" t="s">
        <v>1077</v>
      </c>
      <c r="BH787" t="s">
        <v>1029</v>
      </c>
      <c r="BP787" t="s">
        <v>1489</v>
      </c>
    </row>
    <row r="788" spans="1:68" x14ac:dyDescent="0.25">
      <c r="A788" t="s">
        <v>5713</v>
      </c>
      <c r="B788" t="s">
        <v>474</v>
      </c>
      <c r="C788" t="s">
        <v>1486</v>
      </c>
      <c r="E788" t="s">
        <v>475</v>
      </c>
      <c r="G788" s="1" t="s">
        <v>3308</v>
      </c>
      <c r="H788" t="s">
        <v>1127</v>
      </c>
      <c r="J788">
        <v>612000</v>
      </c>
      <c r="M788">
        <v>3312</v>
      </c>
      <c r="R788" t="s">
        <v>918</v>
      </c>
      <c r="S788" t="s">
        <v>1205</v>
      </c>
      <c r="T788" t="s">
        <v>3309</v>
      </c>
      <c r="V788" t="s">
        <v>3338</v>
      </c>
      <c r="AE788" t="s">
        <v>478</v>
      </c>
      <c r="AL788" t="s">
        <v>919</v>
      </c>
      <c r="AM788" t="s">
        <v>919</v>
      </c>
      <c r="AO788" t="s">
        <v>480</v>
      </c>
      <c r="AP788" t="s">
        <v>481</v>
      </c>
      <c r="BF788" s="1" t="s">
        <v>1077</v>
      </c>
      <c r="BH788" t="s">
        <v>1029</v>
      </c>
      <c r="BP788" t="s">
        <v>1489</v>
      </c>
    </row>
    <row r="789" spans="1:68" x14ac:dyDescent="0.25">
      <c r="A789" t="s">
        <v>5713</v>
      </c>
      <c r="B789" t="s">
        <v>474</v>
      </c>
      <c r="C789" t="s">
        <v>1486</v>
      </c>
      <c r="E789" t="s">
        <v>475</v>
      </c>
      <c r="G789" s="1" t="s">
        <v>3308</v>
      </c>
      <c r="H789" t="s">
        <v>970</v>
      </c>
      <c r="J789">
        <v>612000</v>
      </c>
      <c r="M789">
        <v>3312</v>
      </c>
      <c r="R789" t="s">
        <v>918</v>
      </c>
      <c r="S789" t="s">
        <v>1205</v>
      </c>
      <c r="T789" t="s">
        <v>3309</v>
      </c>
      <c r="V789" t="s">
        <v>3339</v>
      </c>
      <c r="AE789" t="s">
        <v>478</v>
      </c>
      <c r="AL789" t="s">
        <v>919</v>
      </c>
      <c r="AM789" t="s">
        <v>919</v>
      </c>
      <c r="AO789" t="s">
        <v>480</v>
      </c>
      <c r="AP789" t="s">
        <v>481</v>
      </c>
      <c r="BF789" s="1" t="s">
        <v>1077</v>
      </c>
      <c r="BH789" t="s">
        <v>1029</v>
      </c>
      <c r="BP789" t="s">
        <v>1489</v>
      </c>
    </row>
    <row r="790" spans="1:68" x14ac:dyDescent="0.25">
      <c r="A790" t="s">
        <v>5713</v>
      </c>
      <c r="B790" t="s">
        <v>474</v>
      </c>
      <c r="C790" t="s">
        <v>1486</v>
      </c>
      <c r="E790" t="s">
        <v>475</v>
      </c>
      <c r="G790" s="1" t="s">
        <v>3308</v>
      </c>
      <c r="H790" t="s">
        <v>971</v>
      </c>
      <c r="J790">
        <v>612000</v>
      </c>
      <c r="M790">
        <v>3312</v>
      </c>
      <c r="R790" t="s">
        <v>918</v>
      </c>
      <c r="S790" t="s">
        <v>1205</v>
      </c>
      <c r="T790" t="s">
        <v>3309</v>
      </c>
      <c r="V790" t="s">
        <v>3340</v>
      </c>
      <c r="AE790" t="s">
        <v>478</v>
      </c>
      <c r="AL790" t="s">
        <v>919</v>
      </c>
      <c r="AM790" t="s">
        <v>919</v>
      </c>
      <c r="AO790" t="s">
        <v>480</v>
      </c>
      <c r="AP790" t="s">
        <v>481</v>
      </c>
      <c r="BF790" s="1" t="s">
        <v>1077</v>
      </c>
      <c r="BH790" t="s">
        <v>1029</v>
      </c>
      <c r="BP790" t="s">
        <v>1489</v>
      </c>
    </row>
    <row r="791" spans="1:68" x14ac:dyDescent="0.25">
      <c r="A791" t="s">
        <v>5713</v>
      </c>
      <c r="B791" t="s">
        <v>474</v>
      </c>
      <c r="C791" t="s">
        <v>1486</v>
      </c>
      <c r="E791" t="s">
        <v>475</v>
      </c>
      <c r="G791" s="1" t="s">
        <v>3308</v>
      </c>
      <c r="H791" t="s">
        <v>972</v>
      </c>
      <c r="J791">
        <v>612000</v>
      </c>
      <c r="M791">
        <v>3312</v>
      </c>
      <c r="R791" t="s">
        <v>918</v>
      </c>
      <c r="S791" t="s">
        <v>1205</v>
      </c>
      <c r="T791" t="s">
        <v>3309</v>
      </c>
      <c r="V791" t="s">
        <v>3341</v>
      </c>
      <c r="AE791" t="s">
        <v>478</v>
      </c>
      <c r="AL791" t="s">
        <v>919</v>
      </c>
      <c r="AM791" t="s">
        <v>919</v>
      </c>
      <c r="AO791" t="s">
        <v>480</v>
      </c>
      <c r="AP791" t="s">
        <v>481</v>
      </c>
      <c r="BF791" s="1" t="s">
        <v>1077</v>
      </c>
      <c r="BH791" t="s">
        <v>1029</v>
      </c>
      <c r="BP791" t="s">
        <v>1489</v>
      </c>
    </row>
    <row r="792" spans="1:68" x14ac:dyDescent="0.25">
      <c r="A792" t="s">
        <v>5713</v>
      </c>
      <c r="B792" t="s">
        <v>474</v>
      </c>
      <c r="C792" t="s">
        <v>1486</v>
      </c>
      <c r="E792" t="s">
        <v>475</v>
      </c>
      <c r="G792" s="1" t="s">
        <v>3308</v>
      </c>
      <c r="H792" t="s">
        <v>973</v>
      </c>
      <c r="J792">
        <v>612000</v>
      </c>
      <c r="M792">
        <v>3312</v>
      </c>
      <c r="R792" t="s">
        <v>918</v>
      </c>
      <c r="S792" t="s">
        <v>1205</v>
      </c>
      <c r="T792" t="s">
        <v>3309</v>
      </c>
      <c r="V792" t="s">
        <v>3342</v>
      </c>
      <c r="AE792" t="s">
        <v>478</v>
      </c>
      <c r="AL792" t="s">
        <v>919</v>
      </c>
      <c r="AM792" t="s">
        <v>919</v>
      </c>
      <c r="AO792" t="s">
        <v>480</v>
      </c>
      <c r="AP792" t="s">
        <v>481</v>
      </c>
      <c r="BF792" s="1" t="s">
        <v>1077</v>
      </c>
      <c r="BH792" t="s">
        <v>1029</v>
      </c>
      <c r="BP792" t="s">
        <v>1489</v>
      </c>
    </row>
    <row r="793" spans="1:68" x14ac:dyDescent="0.25">
      <c r="A793" t="s">
        <v>5713</v>
      </c>
      <c r="B793" t="s">
        <v>474</v>
      </c>
      <c r="C793" t="s">
        <v>1486</v>
      </c>
      <c r="E793" t="s">
        <v>475</v>
      </c>
      <c r="G793" s="1" t="s">
        <v>3308</v>
      </c>
      <c r="H793" t="s">
        <v>1133</v>
      </c>
      <c r="J793">
        <v>612000</v>
      </c>
      <c r="M793">
        <v>3312</v>
      </c>
      <c r="R793" t="s">
        <v>918</v>
      </c>
      <c r="S793" t="s">
        <v>1205</v>
      </c>
      <c r="T793" t="s">
        <v>3309</v>
      </c>
      <c r="V793" t="s">
        <v>3343</v>
      </c>
      <c r="AE793" t="s">
        <v>478</v>
      </c>
      <c r="AL793" t="s">
        <v>919</v>
      </c>
      <c r="AM793" t="s">
        <v>919</v>
      </c>
      <c r="AO793" t="s">
        <v>480</v>
      </c>
      <c r="AP793" t="s">
        <v>481</v>
      </c>
      <c r="BF793" s="1" t="s">
        <v>1077</v>
      </c>
      <c r="BH793" t="s">
        <v>1029</v>
      </c>
      <c r="BP793" t="s">
        <v>1489</v>
      </c>
    </row>
    <row r="794" spans="1:68" x14ac:dyDescent="0.25">
      <c r="A794" t="s">
        <v>5713</v>
      </c>
      <c r="B794" t="s">
        <v>474</v>
      </c>
      <c r="C794" t="s">
        <v>1486</v>
      </c>
      <c r="E794" t="s">
        <v>475</v>
      </c>
      <c r="G794" s="1" t="s">
        <v>3308</v>
      </c>
      <c r="H794" t="s">
        <v>974</v>
      </c>
      <c r="J794">
        <v>612000</v>
      </c>
      <c r="M794">
        <v>3312</v>
      </c>
      <c r="R794" t="s">
        <v>918</v>
      </c>
      <c r="S794" t="s">
        <v>1205</v>
      </c>
      <c r="T794" t="s">
        <v>3309</v>
      </c>
      <c r="V794" t="s">
        <v>3344</v>
      </c>
      <c r="AE794" t="s">
        <v>478</v>
      </c>
      <c r="AL794" t="s">
        <v>919</v>
      </c>
      <c r="AM794" t="s">
        <v>919</v>
      </c>
      <c r="AO794" t="s">
        <v>480</v>
      </c>
      <c r="AP794" t="s">
        <v>481</v>
      </c>
      <c r="BF794" s="1" t="s">
        <v>1077</v>
      </c>
      <c r="BH794" t="s">
        <v>1029</v>
      </c>
      <c r="BP794" t="s">
        <v>1489</v>
      </c>
    </row>
    <row r="795" spans="1:68" x14ac:dyDescent="0.25">
      <c r="A795" t="s">
        <v>5713</v>
      </c>
      <c r="B795" t="s">
        <v>474</v>
      </c>
      <c r="C795" t="s">
        <v>1486</v>
      </c>
      <c r="E795" t="s">
        <v>475</v>
      </c>
      <c r="G795" s="1" t="s">
        <v>3308</v>
      </c>
      <c r="H795" t="s">
        <v>975</v>
      </c>
      <c r="J795">
        <v>612000</v>
      </c>
      <c r="M795">
        <v>3312</v>
      </c>
      <c r="R795" t="s">
        <v>918</v>
      </c>
      <c r="S795" t="s">
        <v>1205</v>
      </c>
      <c r="T795" t="s">
        <v>3309</v>
      </c>
      <c r="V795" t="s">
        <v>3345</v>
      </c>
      <c r="AE795" t="s">
        <v>478</v>
      </c>
      <c r="AL795" t="s">
        <v>919</v>
      </c>
      <c r="AM795" t="s">
        <v>919</v>
      </c>
      <c r="AO795" t="s">
        <v>480</v>
      </c>
      <c r="AP795" t="s">
        <v>481</v>
      </c>
      <c r="BF795" s="1" t="s">
        <v>1077</v>
      </c>
      <c r="BH795" t="s">
        <v>1029</v>
      </c>
      <c r="BP795" t="s">
        <v>1489</v>
      </c>
    </row>
    <row r="796" spans="1:68" x14ac:dyDescent="0.25">
      <c r="A796" t="s">
        <v>5713</v>
      </c>
      <c r="B796" t="s">
        <v>474</v>
      </c>
      <c r="C796" t="s">
        <v>1486</v>
      </c>
      <c r="E796" t="s">
        <v>475</v>
      </c>
      <c r="G796" s="1" t="s">
        <v>3308</v>
      </c>
      <c r="H796" t="s">
        <v>976</v>
      </c>
      <c r="J796">
        <v>612000</v>
      </c>
      <c r="M796">
        <v>3312</v>
      </c>
      <c r="R796" t="s">
        <v>918</v>
      </c>
      <c r="S796" t="s">
        <v>1205</v>
      </c>
      <c r="T796" t="s">
        <v>3309</v>
      </c>
      <c r="V796" t="s">
        <v>3346</v>
      </c>
      <c r="AE796" t="s">
        <v>478</v>
      </c>
      <c r="AL796" t="s">
        <v>919</v>
      </c>
      <c r="AM796" t="s">
        <v>919</v>
      </c>
      <c r="AO796" t="s">
        <v>480</v>
      </c>
      <c r="AP796" t="s">
        <v>481</v>
      </c>
      <c r="BF796" s="1" t="s">
        <v>1077</v>
      </c>
      <c r="BH796" t="s">
        <v>1029</v>
      </c>
      <c r="BP796" t="s">
        <v>1489</v>
      </c>
    </row>
    <row r="797" spans="1:68" x14ac:dyDescent="0.25">
      <c r="A797" t="s">
        <v>5713</v>
      </c>
      <c r="B797" t="s">
        <v>474</v>
      </c>
      <c r="C797" t="s">
        <v>1486</v>
      </c>
      <c r="E797" t="s">
        <v>475</v>
      </c>
      <c r="G797" s="1" t="s">
        <v>3308</v>
      </c>
      <c r="H797" t="s">
        <v>977</v>
      </c>
      <c r="J797">
        <v>612000</v>
      </c>
      <c r="M797">
        <v>3312</v>
      </c>
      <c r="R797" t="s">
        <v>918</v>
      </c>
      <c r="S797" t="s">
        <v>1205</v>
      </c>
      <c r="T797" t="s">
        <v>3309</v>
      </c>
      <c r="V797" t="s">
        <v>3347</v>
      </c>
      <c r="AE797" t="s">
        <v>478</v>
      </c>
      <c r="AL797" t="s">
        <v>919</v>
      </c>
      <c r="AM797" t="s">
        <v>919</v>
      </c>
      <c r="AO797" t="s">
        <v>480</v>
      </c>
      <c r="AP797" t="s">
        <v>481</v>
      </c>
      <c r="BF797" s="1" t="s">
        <v>1077</v>
      </c>
      <c r="BH797" t="s">
        <v>1029</v>
      </c>
      <c r="BP797" t="s">
        <v>1489</v>
      </c>
    </row>
    <row r="798" spans="1:68" x14ac:dyDescent="0.25">
      <c r="A798" t="s">
        <v>5713</v>
      </c>
      <c r="B798" t="s">
        <v>474</v>
      </c>
      <c r="C798" t="s">
        <v>1486</v>
      </c>
      <c r="E798" t="s">
        <v>475</v>
      </c>
      <c r="G798" s="1" t="s">
        <v>3308</v>
      </c>
      <c r="H798" t="s">
        <v>1139</v>
      </c>
      <c r="J798">
        <v>612000</v>
      </c>
      <c r="M798">
        <v>3312</v>
      </c>
      <c r="R798" t="s">
        <v>918</v>
      </c>
      <c r="S798" t="s">
        <v>1205</v>
      </c>
      <c r="T798" t="s">
        <v>3309</v>
      </c>
      <c r="V798" t="s">
        <v>3348</v>
      </c>
      <c r="AE798" t="s">
        <v>478</v>
      </c>
      <c r="AL798" t="s">
        <v>919</v>
      </c>
      <c r="AM798" t="s">
        <v>919</v>
      </c>
      <c r="AO798" t="s">
        <v>480</v>
      </c>
      <c r="AP798" t="s">
        <v>481</v>
      </c>
      <c r="BF798" s="1" t="s">
        <v>1077</v>
      </c>
      <c r="BH798" t="s">
        <v>1029</v>
      </c>
      <c r="BP798" t="s">
        <v>1489</v>
      </c>
    </row>
    <row r="799" spans="1:68" x14ac:dyDescent="0.25">
      <c r="A799" t="s">
        <v>5713</v>
      </c>
      <c r="B799" t="s">
        <v>474</v>
      </c>
      <c r="C799" t="s">
        <v>1486</v>
      </c>
      <c r="E799" t="s">
        <v>475</v>
      </c>
      <c r="G799" s="1" t="s">
        <v>3308</v>
      </c>
      <c r="H799" t="s">
        <v>978</v>
      </c>
      <c r="J799">
        <v>612000</v>
      </c>
      <c r="M799">
        <v>3312</v>
      </c>
      <c r="R799" t="s">
        <v>918</v>
      </c>
      <c r="S799" t="s">
        <v>1205</v>
      </c>
      <c r="T799" t="s">
        <v>3309</v>
      </c>
      <c r="V799" t="s">
        <v>3349</v>
      </c>
      <c r="AE799" t="s">
        <v>478</v>
      </c>
      <c r="AL799" t="s">
        <v>919</v>
      </c>
      <c r="AM799" t="s">
        <v>919</v>
      </c>
      <c r="AO799" t="s">
        <v>480</v>
      </c>
      <c r="AP799" t="s">
        <v>481</v>
      </c>
      <c r="BF799" s="1" t="s">
        <v>1077</v>
      </c>
      <c r="BH799" t="s">
        <v>1029</v>
      </c>
      <c r="BP799" t="s">
        <v>1489</v>
      </c>
    </row>
    <row r="800" spans="1:68" x14ac:dyDescent="0.25">
      <c r="A800" t="s">
        <v>5713</v>
      </c>
      <c r="B800" t="s">
        <v>474</v>
      </c>
      <c r="C800" t="s">
        <v>1486</v>
      </c>
      <c r="E800" t="s">
        <v>475</v>
      </c>
      <c r="G800" s="1" t="s">
        <v>3308</v>
      </c>
      <c r="H800" t="s">
        <v>979</v>
      </c>
      <c r="J800">
        <v>612000</v>
      </c>
      <c r="M800">
        <v>3312</v>
      </c>
      <c r="R800" t="s">
        <v>918</v>
      </c>
      <c r="S800" t="s">
        <v>1205</v>
      </c>
      <c r="T800" t="s">
        <v>3309</v>
      </c>
      <c r="V800" t="s">
        <v>3350</v>
      </c>
      <c r="AE800" t="s">
        <v>478</v>
      </c>
      <c r="AL800" t="s">
        <v>919</v>
      </c>
      <c r="AM800" t="s">
        <v>919</v>
      </c>
      <c r="AO800" t="s">
        <v>480</v>
      </c>
      <c r="AP800" t="s">
        <v>481</v>
      </c>
      <c r="BF800" s="1" t="s">
        <v>1077</v>
      </c>
      <c r="BH800" t="s">
        <v>1029</v>
      </c>
      <c r="BP800" t="s">
        <v>1489</v>
      </c>
    </row>
    <row r="801" spans="1:68" x14ac:dyDescent="0.25">
      <c r="A801" t="s">
        <v>5713</v>
      </c>
      <c r="B801" t="s">
        <v>474</v>
      </c>
      <c r="C801" t="s">
        <v>1486</v>
      </c>
      <c r="E801" t="s">
        <v>475</v>
      </c>
      <c r="G801" s="1" t="s">
        <v>3308</v>
      </c>
      <c r="H801" t="s">
        <v>1143</v>
      </c>
      <c r="J801">
        <v>612000</v>
      </c>
      <c r="M801">
        <v>3312</v>
      </c>
      <c r="R801" t="s">
        <v>918</v>
      </c>
      <c r="S801" t="s">
        <v>1205</v>
      </c>
      <c r="T801" t="s">
        <v>3309</v>
      </c>
      <c r="V801" t="s">
        <v>3351</v>
      </c>
      <c r="AE801" t="s">
        <v>478</v>
      </c>
      <c r="AL801" t="s">
        <v>919</v>
      </c>
      <c r="AM801" t="s">
        <v>919</v>
      </c>
      <c r="AO801" t="s">
        <v>480</v>
      </c>
      <c r="AP801" t="s">
        <v>481</v>
      </c>
      <c r="BF801" s="1" t="s">
        <v>1077</v>
      </c>
      <c r="BH801" t="s">
        <v>1029</v>
      </c>
      <c r="BP801" t="s">
        <v>1489</v>
      </c>
    </row>
    <row r="802" spans="1:68" x14ac:dyDescent="0.25">
      <c r="A802" t="s">
        <v>5713</v>
      </c>
      <c r="B802" t="s">
        <v>474</v>
      </c>
      <c r="C802" t="s">
        <v>1486</v>
      </c>
      <c r="E802" t="s">
        <v>475</v>
      </c>
      <c r="G802" s="1" t="s">
        <v>3308</v>
      </c>
      <c r="H802" t="s">
        <v>1145</v>
      </c>
      <c r="J802">
        <v>612000</v>
      </c>
      <c r="M802">
        <v>3312</v>
      </c>
      <c r="R802" t="s">
        <v>918</v>
      </c>
      <c r="S802" t="s">
        <v>1205</v>
      </c>
      <c r="T802" t="s">
        <v>3309</v>
      </c>
      <c r="V802" t="s">
        <v>3352</v>
      </c>
      <c r="AE802" t="s">
        <v>478</v>
      </c>
      <c r="AL802" t="s">
        <v>919</v>
      </c>
      <c r="AM802" t="s">
        <v>919</v>
      </c>
      <c r="AO802" t="s">
        <v>480</v>
      </c>
      <c r="AP802" t="s">
        <v>481</v>
      </c>
      <c r="BF802" s="1" t="s">
        <v>1077</v>
      </c>
      <c r="BH802" t="s">
        <v>1029</v>
      </c>
      <c r="BP802" t="s">
        <v>1489</v>
      </c>
    </row>
    <row r="803" spans="1:68" x14ac:dyDescent="0.25">
      <c r="A803" t="s">
        <v>5713</v>
      </c>
      <c r="B803" t="s">
        <v>474</v>
      </c>
      <c r="C803" t="s">
        <v>1486</v>
      </c>
      <c r="E803" t="s">
        <v>475</v>
      </c>
      <c r="G803" s="1" t="s">
        <v>3308</v>
      </c>
      <c r="H803" t="s">
        <v>980</v>
      </c>
      <c r="J803">
        <v>612000</v>
      </c>
      <c r="M803">
        <v>3312</v>
      </c>
      <c r="R803" t="s">
        <v>918</v>
      </c>
      <c r="S803" t="s">
        <v>1205</v>
      </c>
      <c r="T803" t="s">
        <v>3309</v>
      </c>
      <c r="V803" t="s">
        <v>3353</v>
      </c>
      <c r="AE803" t="s">
        <v>478</v>
      </c>
      <c r="AL803" t="s">
        <v>919</v>
      </c>
      <c r="AM803" t="s">
        <v>919</v>
      </c>
      <c r="AO803" t="s">
        <v>480</v>
      </c>
      <c r="AP803" t="s">
        <v>481</v>
      </c>
      <c r="BF803" s="1" t="s">
        <v>1077</v>
      </c>
      <c r="BH803" t="s">
        <v>1029</v>
      </c>
      <c r="BP803" t="s">
        <v>1489</v>
      </c>
    </row>
    <row r="804" spans="1:68" x14ac:dyDescent="0.25">
      <c r="A804" t="s">
        <v>5713</v>
      </c>
      <c r="B804" t="s">
        <v>474</v>
      </c>
      <c r="C804" t="s">
        <v>1486</v>
      </c>
      <c r="E804" t="s">
        <v>475</v>
      </c>
      <c r="G804" s="1" t="s">
        <v>3308</v>
      </c>
      <c r="H804" t="s">
        <v>1148</v>
      </c>
      <c r="J804">
        <v>612000</v>
      </c>
      <c r="M804">
        <v>3312</v>
      </c>
      <c r="R804" t="s">
        <v>918</v>
      </c>
      <c r="S804" t="s">
        <v>1205</v>
      </c>
      <c r="T804" t="s">
        <v>3309</v>
      </c>
      <c r="V804" t="s">
        <v>3354</v>
      </c>
      <c r="AE804" t="s">
        <v>478</v>
      </c>
      <c r="AL804" t="s">
        <v>919</v>
      </c>
      <c r="AM804" t="s">
        <v>919</v>
      </c>
      <c r="AO804" t="s">
        <v>480</v>
      </c>
      <c r="AP804" t="s">
        <v>481</v>
      </c>
      <c r="BF804" s="1" t="s">
        <v>1077</v>
      </c>
      <c r="BH804" t="s">
        <v>1029</v>
      </c>
      <c r="BP804" t="s">
        <v>1489</v>
      </c>
    </row>
    <row r="805" spans="1:68" x14ac:dyDescent="0.25">
      <c r="A805" t="s">
        <v>5713</v>
      </c>
      <c r="B805" t="s">
        <v>474</v>
      </c>
      <c r="C805" t="s">
        <v>1486</v>
      </c>
      <c r="E805" t="s">
        <v>475</v>
      </c>
      <c r="G805" s="1" t="s">
        <v>3308</v>
      </c>
      <c r="H805" t="s">
        <v>1150</v>
      </c>
      <c r="J805">
        <v>612000</v>
      </c>
      <c r="M805">
        <v>3312</v>
      </c>
      <c r="R805" t="s">
        <v>918</v>
      </c>
      <c r="S805" t="s">
        <v>1205</v>
      </c>
      <c r="T805" t="s">
        <v>3309</v>
      </c>
      <c r="V805" t="s">
        <v>3355</v>
      </c>
      <c r="AE805" t="s">
        <v>478</v>
      </c>
      <c r="AL805" t="s">
        <v>919</v>
      </c>
      <c r="AM805" t="s">
        <v>919</v>
      </c>
      <c r="AO805" t="s">
        <v>480</v>
      </c>
      <c r="AP805" t="s">
        <v>481</v>
      </c>
      <c r="BF805" s="1" t="s">
        <v>1077</v>
      </c>
      <c r="BH805" t="s">
        <v>1029</v>
      </c>
      <c r="BP805" t="s">
        <v>1489</v>
      </c>
    </row>
    <row r="806" spans="1:68" x14ac:dyDescent="0.25">
      <c r="A806" t="s">
        <v>5713</v>
      </c>
      <c r="B806" t="s">
        <v>474</v>
      </c>
      <c r="C806" t="s">
        <v>1486</v>
      </c>
      <c r="E806" t="s">
        <v>475</v>
      </c>
      <c r="G806" s="1" t="s">
        <v>3308</v>
      </c>
      <c r="H806" t="s">
        <v>1152</v>
      </c>
      <c r="J806">
        <v>612000</v>
      </c>
      <c r="M806">
        <v>3312</v>
      </c>
      <c r="R806" t="s">
        <v>918</v>
      </c>
      <c r="S806" t="s">
        <v>1205</v>
      </c>
      <c r="T806" t="s">
        <v>3309</v>
      </c>
      <c r="V806" t="s">
        <v>3356</v>
      </c>
      <c r="AE806" t="s">
        <v>478</v>
      </c>
      <c r="AL806" t="s">
        <v>919</v>
      </c>
      <c r="AM806" t="s">
        <v>919</v>
      </c>
      <c r="AO806" t="s">
        <v>480</v>
      </c>
      <c r="AP806" t="s">
        <v>481</v>
      </c>
      <c r="BF806" s="1" t="s">
        <v>1077</v>
      </c>
      <c r="BH806" t="s">
        <v>1029</v>
      </c>
      <c r="BP806" t="s">
        <v>1489</v>
      </c>
    </row>
    <row r="807" spans="1:68" x14ac:dyDescent="0.25">
      <c r="A807" t="s">
        <v>5713</v>
      </c>
      <c r="B807" t="s">
        <v>474</v>
      </c>
      <c r="C807" t="s">
        <v>1486</v>
      </c>
      <c r="E807" t="s">
        <v>475</v>
      </c>
      <c r="G807" s="1" t="s">
        <v>3308</v>
      </c>
      <c r="H807" t="s">
        <v>1154</v>
      </c>
      <c r="J807">
        <v>612000</v>
      </c>
      <c r="M807">
        <v>3312</v>
      </c>
      <c r="R807" t="s">
        <v>918</v>
      </c>
      <c r="S807" t="s">
        <v>1205</v>
      </c>
      <c r="T807" t="s">
        <v>3309</v>
      </c>
      <c r="V807" t="s">
        <v>3357</v>
      </c>
      <c r="AE807" t="s">
        <v>478</v>
      </c>
      <c r="AL807" t="s">
        <v>919</v>
      </c>
      <c r="AM807" t="s">
        <v>919</v>
      </c>
      <c r="AO807" t="s">
        <v>480</v>
      </c>
      <c r="AP807" t="s">
        <v>481</v>
      </c>
      <c r="BF807" s="1" t="s">
        <v>1077</v>
      </c>
      <c r="BH807" t="s">
        <v>1029</v>
      </c>
      <c r="BP807" t="s">
        <v>1489</v>
      </c>
    </row>
    <row r="808" spans="1:68" x14ac:dyDescent="0.25">
      <c r="A808" t="s">
        <v>5713</v>
      </c>
      <c r="B808" t="s">
        <v>474</v>
      </c>
      <c r="C808" t="s">
        <v>1486</v>
      </c>
      <c r="E808" t="s">
        <v>475</v>
      </c>
      <c r="G808" s="1" t="s">
        <v>3308</v>
      </c>
      <c r="H808" t="s">
        <v>981</v>
      </c>
      <c r="J808">
        <v>612000</v>
      </c>
      <c r="M808">
        <v>3312</v>
      </c>
      <c r="R808" t="s">
        <v>918</v>
      </c>
      <c r="S808" t="s">
        <v>1205</v>
      </c>
      <c r="T808" t="s">
        <v>3309</v>
      </c>
      <c r="V808" t="s">
        <v>3358</v>
      </c>
      <c r="AE808" t="s">
        <v>478</v>
      </c>
      <c r="AL808" t="s">
        <v>919</v>
      </c>
      <c r="AM808" t="s">
        <v>919</v>
      </c>
      <c r="AO808" t="s">
        <v>480</v>
      </c>
      <c r="AP808" t="s">
        <v>481</v>
      </c>
      <c r="BF808" s="1" t="s">
        <v>1077</v>
      </c>
      <c r="BH808" t="s">
        <v>1029</v>
      </c>
      <c r="BP808" t="s">
        <v>1489</v>
      </c>
    </row>
    <row r="809" spans="1:68" x14ac:dyDescent="0.25">
      <c r="A809" t="s">
        <v>5713</v>
      </c>
      <c r="B809" t="s">
        <v>474</v>
      </c>
      <c r="C809" t="s">
        <v>1486</v>
      </c>
      <c r="E809" t="s">
        <v>475</v>
      </c>
      <c r="G809" s="1" t="s">
        <v>3308</v>
      </c>
      <c r="H809" t="s">
        <v>1157</v>
      </c>
      <c r="J809">
        <v>612000</v>
      </c>
      <c r="M809">
        <v>3312</v>
      </c>
      <c r="R809" t="s">
        <v>918</v>
      </c>
      <c r="S809" t="s">
        <v>1205</v>
      </c>
      <c r="T809" t="s">
        <v>3309</v>
      </c>
      <c r="V809" t="s">
        <v>3359</v>
      </c>
      <c r="AE809" t="s">
        <v>478</v>
      </c>
      <c r="AL809" t="s">
        <v>919</v>
      </c>
      <c r="AM809" t="s">
        <v>919</v>
      </c>
      <c r="AO809" t="s">
        <v>480</v>
      </c>
      <c r="AP809" t="s">
        <v>481</v>
      </c>
      <c r="BF809" s="1" t="s">
        <v>1077</v>
      </c>
      <c r="BH809" t="s">
        <v>1029</v>
      </c>
      <c r="BP809" t="s">
        <v>1489</v>
      </c>
    </row>
    <row r="810" spans="1:68" x14ac:dyDescent="0.25">
      <c r="A810" t="s">
        <v>5713</v>
      </c>
      <c r="B810" t="s">
        <v>474</v>
      </c>
      <c r="C810" t="s">
        <v>1486</v>
      </c>
      <c r="E810" t="s">
        <v>475</v>
      </c>
      <c r="G810" s="1" t="s">
        <v>3308</v>
      </c>
      <c r="H810" t="s">
        <v>982</v>
      </c>
      <c r="J810">
        <v>612000</v>
      </c>
      <c r="M810">
        <v>3312</v>
      </c>
      <c r="R810" t="s">
        <v>918</v>
      </c>
      <c r="S810" t="s">
        <v>1205</v>
      </c>
      <c r="T810" t="s">
        <v>3309</v>
      </c>
      <c r="V810" t="s">
        <v>3360</v>
      </c>
      <c r="AE810" t="s">
        <v>478</v>
      </c>
      <c r="AL810" t="s">
        <v>919</v>
      </c>
      <c r="AM810" t="s">
        <v>919</v>
      </c>
      <c r="AO810" t="s">
        <v>480</v>
      </c>
      <c r="AP810" t="s">
        <v>481</v>
      </c>
      <c r="BF810" s="1" t="s">
        <v>1077</v>
      </c>
      <c r="BH810" t="s">
        <v>1029</v>
      </c>
      <c r="BP810" t="s">
        <v>1489</v>
      </c>
    </row>
    <row r="811" spans="1:68" x14ac:dyDescent="0.25">
      <c r="A811" t="s">
        <v>5713</v>
      </c>
      <c r="B811" t="s">
        <v>474</v>
      </c>
      <c r="C811" t="s">
        <v>1486</v>
      </c>
      <c r="E811" t="s">
        <v>475</v>
      </c>
      <c r="G811" s="1" t="s">
        <v>3308</v>
      </c>
      <c r="H811" t="s">
        <v>983</v>
      </c>
      <c r="J811">
        <v>612000</v>
      </c>
      <c r="M811">
        <v>3312</v>
      </c>
      <c r="R811" t="s">
        <v>918</v>
      </c>
      <c r="S811" t="s">
        <v>1205</v>
      </c>
      <c r="T811" t="s">
        <v>3309</v>
      </c>
      <c r="V811" t="s">
        <v>3361</v>
      </c>
      <c r="AE811" t="s">
        <v>478</v>
      </c>
      <c r="AL811" t="s">
        <v>919</v>
      </c>
      <c r="AM811" t="s">
        <v>919</v>
      </c>
      <c r="AO811" t="s">
        <v>480</v>
      </c>
      <c r="AP811" t="s">
        <v>481</v>
      </c>
      <c r="BF811" s="1" t="s">
        <v>1077</v>
      </c>
      <c r="BH811" t="s">
        <v>1029</v>
      </c>
      <c r="BP811" t="s">
        <v>1489</v>
      </c>
    </row>
    <row r="812" spans="1:68" x14ac:dyDescent="0.25">
      <c r="A812" t="s">
        <v>5713</v>
      </c>
      <c r="B812" t="s">
        <v>474</v>
      </c>
      <c r="C812" t="s">
        <v>1486</v>
      </c>
      <c r="E812" t="s">
        <v>475</v>
      </c>
      <c r="G812" s="1" t="s">
        <v>3308</v>
      </c>
      <c r="H812" t="s">
        <v>1161</v>
      </c>
      <c r="J812">
        <v>612000</v>
      </c>
      <c r="M812">
        <v>3312</v>
      </c>
      <c r="R812" t="s">
        <v>918</v>
      </c>
      <c r="S812" t="s">
        <v>1205</v>
      </c>
      <c r="T812" t="s">
        <v>3309</v>
      </c>
      <c r="V812" t="s">
        <v>3362</v>
      </c>
      <c r="AE812" t="s">
        <v>478</v>
      </c>
      <c r="AL812" t="s">
        <v>919</v>
      </c>
      <c r="AM812" t="s">
        <v>919</v>
      </c>
      <c r="AO812" t="s">
        <v>480</v>
      </c>
      <c r="AP812" t="s">
        <v>481</v>
      </c>
      <c r="BF812" s="1" t="s">
        <v>1077</v>
      </c>
      <c r="BH812" t="s">
        <v>1029</v>
      </c>
      <c r="BP812" t="s">
        <v>1489</v>
      </c>
    </row>
    <row r="813" spans="1:68" x14ac:dyDescent="0.25">
      <c r="A813" t="s">
        <v>5713</v>
      </c>
      <c r="B813" t="s">
        <v>474</v>
      </c>
      <c r="C813" t="s">
        <v>1486</v>
      </c>
      <c r="E813" t="s">
        <v>475</v>
      </c>
      <c r="G813" s="1" t="s">
        <v>3308</v>
      </c>
      <c r="H813" t="s">
        <v>1163</v>
      </c>
      <c r="J813">
        <v>612000</v>
      </c>
      <c r="M813">
        <v>3312</v>
      </c>
      <c r="R813" t="s">
        <v>918</v>
      </c>
      <c r="S813" t="s">
        <v>1205</v>
      </c>
      <c r="T813" t="s">
        <v>3309</v>
      </c>
      <c r="V813" t="s">
        <v>3363</v>
      </c>
      <c r="AE813" t="s">
        <v>478</v>
      </c>
      <c r="AL813" t="s">
        <v>919</v>
      </c>
      <c r="AM813" t="s">
        <v>919</v>
      </c>
      <c r="AO813" t="s">
        <v>480</v>
      </c>
      <c r="AP813" t="s">
        <v>481</v>
      </c>
      <c r="BF813" s="1" t="s">
        <v>1077</v>
      </c>
      <c r="BH813" t="s">
        <v>1029</v>
      </c>
      <c r="BP813" t="s">
        <v>1489</v>
      </c>
    </row>
    <row r="814" spans="1:68" x14ac:dyDescent="0.25">
      <c r="A814" t="s">
        <v>5713</v>
      </c>
      <c r="B814" t="s">
        <v>474</v>
      </c>
      <c r="C814" t="s">
        <v>1486</v>
      </c>
      <c r="E814" t="s">
        <v>475</v>
      </c>
      <c r="G814" s="1" t="s">
        <v>3308</v>
      </c>
      <c r="H814" t="s">
        <v>1165</v>
      </c>
      <c r="J814">
        <v>612000</v>
      </c>
      <c r="M814">
        <v>3312</v>
      </c>
      <c r="R814" t="s">
        <v>918</v>
      </c>
      <c r="S814" t="s">
        <v>1205</v>
      </c>
      <c r="T814" t="s">
        <v>3309</v>
      </c>
      <c r="V814" t="s">
        <v>3364</v>
      </c>
      <c r="AE814" t="s">
        <v>478</v>
      </c>
      <c r="AL814" t="s">
        <v>919</v>
      </c>
      <c r="AM814" t="s">
        <v>919</v>
      </c>
      <c r="AO814" t="s">
        <v>480</v>
      </c>
      <c r="AP814" t="s">
        <v>481</v>
      </c>
      <c r="BF814" s="1" t="s">
        <v>1077</v>
      </c>
      <c r="BH814" t="s">
        <v>1029</v>
      </c>
      <c r="BP814" t="s">
        <v>1489</v>
      </c>
    </row>
    <row r="815" spans="1:68" x14ac:dyDescent="0.25">
      <c r="A815" t="s">
        <v>5713</v>
      </c>
      <c r="B815" t="s">
        <v>474</v>
      </c>
      <c r="C815" t="s">
        <v>1486</v>
      </c>
      <c r="E815" t="s">
        <v>475</v>
      </c>
      <c r="G815" s="1" t="s">
        <v>3308</v>
      </c>
      <c r="H815" t="s">
        <v>1167</v>
      </c>
      <c r="J815">
        <v>612000</v>
      </c>
      <c r="M815">
        <v>3312</v>
      </c>
      <c r="R815" t="s">
        <v>918</v>
      </c>
      <c r="S815" t="s">
        <v>1205</v>
      </c>
      <c r="T815" t="s">
        <v>3309</v>
      </c>
      <c r="V815" t="s">
        <v>3365</v>
      </c>
      <c r="AE815" t="s">
        <v>478</v>
      </c>
      <c r="AL815" t="s">
        <v>919</v>
      </c>
      <c r="AM815" t="s">
        <v>919</v>
      </c>
      <c r="AO815" t="s">
        <v>480</v>
      </c>
      <c r="AP815" t="s">
        <v>481</v>
      </c>
      <c r="BF815" s="1" t="s">
        <v>1077</v>
      </c>
      <c r="BH815" t="s">
        <v>1029</v>
      </c>
      <c r="BP815" t="s">
        <v>1489</v>
      </c>
    </row>
    <row r="816" spans="1:68" x14ac:dyDescent="0.25">
      <c r="A816" t="s">
        <v>5713</v>
      </c>
      <c r="B816" t="s">
        <v>474</v>
      </c>
      <c r="C816" t="s">
        <v>1486</v>
      </c>
      <c r="E816" t="s">
        <v>475</v>
      </c>
      <c r="G816" s="1" t="s">
        <v>3308</v>
      </c>
      <c r="H816" t="s">
        <v>1169</v>
      </c>
      <c r="J816">
        <v>612000</v>
      </c>
      <c r="M816">
        <v>3312</v>
      </c>
      <c r="R816" t="s">
        <v>918</v>
      </c>
      <c r="S816" t="s">
        <v>1205</v>
      </c>
      <c r="T816" t="s">
        <v>3309</v>
      </c>
      <c r="V816" t="s">
        <v>3366</v>
      </c>
      <c r="AE816" t="s">
        <v>478</v>
      </c>
      <c r="AL816" t="s">
        <v>919</v>
      </c>
      <c r="AM816" t="s">
        <v>919</v>
      </c>
      <c r="AO816" t="s">
        <v>480</v>
      </c>
      <c r="AP816" t="s">
        <v>481</v>
      </c>
      <c r="BF816" s="1" t="s">
        <v>1077</v>
      </c>
      <c r="BH816" t="s">
        <v>1029</v>
      </c>
      <c r="BP816" t="s">
        <v>1489</v>
      </c>
    </row>
    <row r="817" spans="1:68" x14ac:dyDescent="0.25">
      <c r="A817" t="s">
        <v>5713</v>
      </c>
      <c r="B817" t="s">
        <v>474</v>
      </c>
      <c r="C817" t="s">
        <v>1486</v>
      </c>
      <c r="E817" t="s">
        <v>475</v>
      </c>
      <c r="G817" s="1" t="s">
        <v>3308</v>
      </c>
      <c r="H817" t="s">
        <v>1171</v>
      </c>
      <c r="J817">
        <v>612000</v>
      </c>
      <c r="M817">
        <v>3312</v>
      </c>
      <c r="R817" t="s">
        <v>918</v>
      </c>
      <c r="S817" t="s">
        <v>1205</v>
      </c>
      <c r="T817" t="s">
        <v>3309</v>
      </c>
      <c r="V817" t="s">
        <v>3367</v>
      </c>
      <c r="AE817" t="s">
        <v>478</v>
      </c>
      <c r="AL817" t="s">
        <v>919</v>
      </c>
      <c r="AM817" t="s">
        <v>919</v>
      </c>
      <c r="AO817" t="s">
        <v>480</v>
      </c>
      <c r="AP817" t="s">
        <v>481</v>
      </c>
      <c r="BF817" s="1" t="s">
        <v>1077</v>
      </c>
      <c r="BH817" t="s">
        <v>1029</v>
      </c>
      <c r="BP817" t="s">
        <v>1489</v>
      </c>
    </row>
    <row r="818" spans="1:68" x14ac:dyDescent="0.25">
      <c r="A818" t="s">
        <v>5713</v>
      </c>
      <c r="B818" t="s">
        <v>474</v>
      </c>
      <c r="C818" t="s">
        <v>1486</v>
      </c>
      <c r="E818" t="s">
        <v>475</v>
      </c>
      <c r="G818" s="1" t="s">
        <v>3368</v>
      </c>
      <c r="H818" t="s">
        <v>959</v>
      </c>
      <c r="J818">
        <v>612000</v>
      </c>
      <c r="M818">
        <v>3312</v>
      </c>
      <c r="R818" t="s">
        <v>918</v>
      </c>
      <c r="S818" t="s">
        <v>1178</v>
      </c>
      <c r="T818" t="s">
        <v>3369</v>
      </c>
      <c r="V818" t="s">
        <v>1146</v>
      </c>
      <c r="AE818" t="s">
        <v>478</v>
      </c>
      <c r="AL818" t="s">
        <v>919</v>
      </c>
      <c r="AM818" t="s">
        <v>919</v>
      </c>
      <c r="AO818" t="s">
        <v>480</v>
      </c>
      <c r="AP818" t="s">
        <v>481</v>
      </c>
      <c r="BF818" s="1" t="s">
        <v>1077</v>
      </c>
      <c r="BH818" t="s">
        <v>1029</v>
      </c>
      <c r="BP818" t="s">
        <v>1489</v>
      </c>
    </row>
    <row r="819" spans="1:68" x14ac:dyDescent="0.25">
      <c r="A819" t="s">
        <v>5713</v>
      </c>
      <c r="B819" t="s">
        <v>474</v>
      </c>
      <c r="C819" t="s">
        <v>1486</v>
      </c>
      <c r="E819" t="s">
        <v>475</v>
      </c>
      <c r="G819" s="1" t="s">
        <v>3368</v>
      </c>
      <c r="H819" t="s">
        <v>492</v>
      </c>
      <c r="J819">
        <v>612000</v>
      </c>
      <c r="M819">
        <v>3312</v>
      </c>
      <c r="R819" t="s">
        <v>918</v>
      </c>
      <c r="S819" t="s">
        <v>1037</v>
      </c>
      <c r="T819" t="s">
        <v>3370</v>
      </c>
      <c r="V819" t="s">
        <v>1147</v>
      </c>
      <c r="AE819" t="s">
        <v>478</v>
      </c>
      <c r="AL819" t="s">
        <v>919</v>
      </c>
      <c r="AM819" t="s">
        <v>919</v>
      </c>
      <c r="AO819" t="s">
        <v>480</v>
      </c>
      <c r="AP819" t="s">
        <v>481</v>
      </c>
      <c r="BF819" s="1" t="s">
        <v>1077</v>
      </c>
      <c r="BH819" t="s">
        <v>1029</v>
      </c>
      <c r="BP819" t="s">
        <v>1489</v>
      </c>
    </row>
    <row r="820" spans="1:68" x14ac:dyDescent="0.25">
      <c r="A820" t="s">
        <v>5713</v>
      </c>
      <c r="B820" t="s">
        <v>474</v>
      </c>
      <c r="C820" t="s">
        <v>1486</v>
      </c>
      <c r="E820" t="s">
        <v>475</v>
      </c>
      <c r="G820" s="1" t="s">
        <v>3368</v>
      </c>
      <c r="H820" t="s">
        <v>500</v>
      </c>
      <c r="J820">
        <v>612000</v>
      </c>
      <c r="M820">
        <v>3312</v>
      </c>
      <c r="R820" t="s">
        <v>918</v>
      </c>
      <c r="S820" t="s">
        <v>1037</v>
      </c>
      <c r="T820" t="s">
        <v>3370</v>
      </c>
      <c r="V820" t="s">
        <v>1149</v>
      </c>
      <c r="AE820" t="s">
        <v>478</v>
      </c>
      <c r="AL820" t="s">
        <v>919</v>
      </c>
      <c r="AM820" t="s">
        <v>919</v>
      </c>
      <c r="AO820" t="s">
        <v>480</v>
      </c>
      <c r="AP820" t="s">
        <v>481</v>
      </c>
      <c r="BF820" s="1" t="s">
        <v>1077</v>
      </c>
      <c r="BH820" t="s">
        <v>1029</v>
      </c>
      <c r="BP820" t="s">
        <v>1489</v>
      </c>
    </row>
    <row r="821" spans="1:68" x14ac:dyDescent="0.25">
      <c r="A821" t="s">
        <v>5713</v>
      </c>
      <c r="B821" t="s">
        <v>474</v>
      </c>
      <c r="C821" t="s">
        <v>1486</v>
      </c>
      <c r="E821" t="s">
        <v>475</v>
      </c>
      <c r="G821" s="1" t="s">
        <v>3368</v>
      </c>
      <c r="H821" t="s">
        <v>537</v>
      </c>
      <c r="J821">
        <v>612000</v>
      </c>
      <c r="M821">
        <v>3312</v>
      </c>
      <c r="R821" t="s">
        <v>918</v>
      </c>
      <c r="S821" t="s">
        <v>1175</v>
      </c>
      <c r="T821" t="s">
        <v>3371</v>
      </c>
      <c r="V821" t="s">
        <v>1151</v>
      </c>
      <c r="AE821" t="s">
        <v>478</v>
      </c>
      <c r="AL821" t="s">
        <v>919</v>
      </c>
      <c r="AM821" t="s">
        <v>919</v>
      </c>
      <c r="AO821" t="s">
        <v>480</v>
      </c>
      <c r="AP821" t="s">
        <v>481</v>
      </c>
      <c r="BF821" s="1" t="s">
        <v>1077</v>
      </c>
      <c r="BH821" t="s">
        <v>1029</v>
      </c>
      <c r="BP821" t="s">
        <v>1489</v>
      </c>
    </row>
    <row r="822" spans="1:68" x14ac:dyDescent="0.25">
      <c r="A822" t="s">
        <v>5713</v>
      </c>
      <c r="B822" t="s">
        <v>474</v>
      </c>
      <c r="C822" t="s">
        <v>1486</v>
      </c>
      <c r="E822" t="s">
        <v>475</v>
      </c>
      <c r="G822" s="1" t="s">
        <v>3368</v>
      </c>
      <c r="H822" t="s">
        <v>546</v>
      </c>
      <c r="J822">
        <v>612000</v>
      </c>
      <c r="M822">
        <v>3312</v>
      </c>
      <c r="R822" t="s">
        <v>918</v>
      </c>
      <c r="S822" t="s">
        <v>1037</v>
      </c>
      <c r="T822" t="s">
        <v>3370</v>
      </c>
      <c r="V822" t="s">
        <v>1153</v>
      </c>
      <c r="AE822" t="s">
        <v>478</v>
      </c>
      <c r="AL822" t="s">
        <v>919</v>
      </c>
      <c r="AM822" t="s">
        <v>919</v>
      </c>
      <c r="AO822" t="s">
        <v>480</v>
      </c>
      <c r="AP822" t="s">
        <v>481</v>
      </c>
      <c r="BF822" s="1" t="s">
        <v>1077</v>
      </c>
      <c r="BH822" t="s">
        <v>1029</v>
      </c>
      <c r="BP822" t="s">
        <v>1489</v>
      </c>
    </row>
    <row r="823" spans="1:68" x14ac:dyDescent="0.25">
      <c r="A823" t="s">
        <v>5713</v>
      </c>
      <c r="B823" t="s">
        <v>474</v>
      </c>
      <c r="C823" t="s">
        <v>1486</v>
      </c>
      <c r="E823" t="s">
        <v>475</v>
      </c>
      <c r="G823" s="1" t="s">
        <v>3368</v>
      </c>
      <c r="H823" t="s">
        <v>553</v>
      </c>
      <c r="J823">
        <v>612000</v>
      </c>
      <c r="M823">
        <v>3312</v>
      </c>
      <c r="R823" t="s">
        <v>918</v>
      </c>
      <c r="S823" t="s">
        <v>1178</v>
      </c>
      <c r="T823" t="s">
        <v>3369</v>
      </c>
      <c r="V823" t="s">
        <v>1155</v>
      </c>
      <c r="AE823" t="s">
        <v>478</v>
      </c>
      <c r="AL823" t="s">
        <v>919</v>
      </c>
      <c r="AM823" t="s">
        <v>919</v>
      </c>
      <c r="AO823" t="s">
        <v>480</v>
      </c>
      <c r="AP823" t="s">
        <v>481</v>
      </c>
      <c r="BF823" s="1" t="s">
        <v>1077</v>
      </c>
      <c r="BH823" t="s">
        <v>1029</v>
      </c>
      <c r="BP823" t="s">
        <v>1489</v>
      </c>
    </row>
    <row r="824" spans="1:68" x14ac:dyDescent="0.25">
      <c r="A824" t="s">
        <v>5713</v>
      </c>
      <c r="B824" t="s">
        <v>474</v>
      </c>
      <c r="C824" t="s">
        <v>1486</v>
      </c>
      <c r="E824" t="s">
        <v>475</v>
      </c>
      <c r="G824" s="1" t="s">
        <v>3368</v>
      </c>
      <c r="H824" t="s">
        <v>559</v>
      </c>
      <c r="J824">
        <v>612000</v>
      </c>
      <c r="M824">
        <v>3312</v>
      </c>
      <c r="R824" t="s">
        <v>918</v>
      </c>
      <c r="S824" t="s">
        <v>1037</v>
      </c>
      <c r="T824" t="s">
        <v>3370</v>
      </c>
      <c r="V824" t="s">
        <v>1156</v>
      </c>
      <c r="AE824" t="s">
        <v>478</v>
      </c>
      <c r="AL824" t="s">
        <v>919</v>
      </c>
      <c r="AM824" t="s">
        <v>919</v>
      </c>
      <c r="AO824" t="s">
        <v>480</v>
      </c>
      <c r="AP824" t="s">
        <v>481</v>
      </c>
      <c r="BF824" s="1" t="s">
        <v>1077</v>
      </c>
      <c r="BH824" t="s">
        <v>1029</v>
      </c>
      <c r="BP824" t="s">
        <v>1489</v>
      </c>
    </row>
    <row r="825" spans="1:68" x14ac:dyDescent="0.25">
      <c r="A825" t="s">
        <v>5713</v>
      </c>
      <c r="B825" t="s">
        <v>474</v>
      </c>
      <c r="C825" t="s">
        <v>1486</v>
      </c>
      <c r="E825" t="s">
        <v>475</v>
      </c>
      <c r="G825" s="1" t="s">
        <v>3368</v>
      </c>
      <c r="H825" t="s">
        <v>564</v>
      </c>
      <c r="J825">
        <v>612000</v>
      </c>
      <c r="M825">
        <v>3312</v>
      </c>
      <c r="R825" t="s">
        <v>918</v>
      </c>
      <c r="S825" t="s">
        <v>1175</v>
      </c>
      <c r="T825" t="s">
        <v>3371</v>
      </c>
      <c r="V825" t="s">
        <v>1158</v>
      </c>
      <c r="AE825" t="s">
        <v>478</v>
      </c>
      <c r="AL825" t="s">
        <v>919</v>
      </c>
      <c r="AM825" t="s">
        <v>919</v>
      </c>
      <c r="AO825" t="s">
        <v>480</v>
      </c>
      <c r="AP825" t="s">
        <v>481</v>
      </c>
      <c r="BF825" s="1" t="s">
        <v>1077</v>
      </c>
      <c r="BH825" t="s">
        <v>1029</v>
      </c>
      <c r="BP825" t="s">
        <v>1489</v>
      </c>
    </row>
    <row r="826" spans="1:68" x14ac:dyDescent="0.25">
      <c r="A826" t="s">
        <v>5713</v>
      </c>
      <c r="B826" t="s">
        <v>474</v>
      </c>
      <c r="C826" t="s">
        <v>1486</v>
      </c>
      <c r="E826" t="s">
        <v>475</v>
      </c>
      <c r="G826" s="1" t="s">
        <v>3368</v>
      </c>
      <c r="H826" t="s">
        <v>571</v>
      </c>
      <c r="J826">
        <v>612000</v>
      </c>
      <c r="M826">
        <v>3312</v>
      </c>
      <c r="R826" t="s">
        <v>918</v>
      </c>
      <c r="S826" t="s">
        <v>1037</v>
      </c>
      <c r="T826" t="s">
        <v>3370</v>
      </c>
      <c r="V826" t="s">
        <v>1159</v>
      </c>
      <c r="AE826" t="s">
        <v>478</v>
      </c>
      <c r="AL826" t="s">
        <v>919</v>
      </c>
      <c r="AM826" t="s">
        <v>919</v>
      </c>
      <c r="AO826" t="s">
        <v>480</v>
      </c>
      <c r="AP826" t="s">
        <v>481</v>
      </c>
      <c r="BF826" s="1" t="s">
        <v>1077</v>
      </c>
      <c r="BH826" t="s">
        <v>1029</v>
      </c>
      <c r="BP826" t="s">
        <v>1489</v>
      </c>
    </row>
    <row r="827" spans="1:68" x14ac:dyDescent="0.25">
      <c r="A827" t="s">
        <v>5713</v>
      </c>
      <c r="B827" t="s">
        <v>474</v>
      </c>
      <c r="C827" t="s">
        <v>1486</v>
      </c>
      <c r="E827" t="s">
        <v>475</v>
      </c>
      <c r="G827" s="1" t="s">
        <v>3368</v>
      </c>
      <c r="H827" t="s">
        <v>578</v>
      </c>
      <c r="J827">
        <v>612000</v>
      </c>
      <c r="M827">
        <v>3312</v>
      </c>
      <c r="R827" t="s">
        <v>918</v>
      </c>
      <c r="S827" t="s">
        <v>1037</v>
      </c>
      <c r="T827" t="s">
        <v>3370</v>
      </c>
      <c r="V827" t="s">
        <v>1160</v>
      </c>
      <c r="AE827" t="s">
        <v>478</v>
      </c>
      <c r="AL827" t="s">
        <v>919</v>
      </c>
      <c r="AM827" t="s">
        <v>919</v>
      </c>
      <c r="AO827" t="s">
        <v>480</v>
      </c>
      <c r="AP827" t="s">
        <v>481</v>
      </c>
      <c r="BF827" s="1" t="s">
        <v>1077</v>
      </c>
      <c r="BH827" t="s">
        <v>1029</v>
      </c>
      <c r="BP827" t="s">
        <v>1489</v>
      </c>
    </row>
    <row r="828" spans="1:68" x14ac:dyDescent="0.25">
      <c r="A828" t="s">
        <v>5713</v>
      </c>
      <c r="B828" t="s">
        <v>474</v>
      </c>
      <c r="C828" t="s">
        <v>1486</v>
      </c>
      <c r="E828" t="s">
        <v>475</v>
      </c>
      <c r="G828" s="1" t="s">
        <v>3368</v>
      </c>
      <c r="H828" t="s">
        <v>585</v>
      </c>
      <c r="J828">
        <v>612000</v>
      </c>
      <c r="M828">
        <v>3312</v>
      </c>
      <c r="R828" t="s">
        <v>918</v>
      </c>
      <c r="S828" t="s">
        <v>1178</v>
      </c>
      <c r="T828" t="s">
        <v>3369</v>
      </c>
      <c r="V828" t="s">
        <v>1162</v>
      </c>
      <c r="AE828" t="s">
        <v>478</v>
      </c>
      <c r="AL828" t="s">
        <v>919</v>
      </c>
      <c r="AM828" t="s">
        <v>919</v>
      </c>
      <c r="AO828" t="s">
        <v>480</v>
      </c>
      <c r="AP828" t="s">
        <v>481</v>
      </c>
      <c r="BF828" s="1" t="s">
        <v>1077</v>
      </c>
      <c r="BH828" t="s">
        <v>1029</v>
      </c>
      <c r="BP828" t="s">
        <v>1489</v>
      </c>
    </row>
    <row r="829" spans="1:68" x14ac:dyDescent="0.25">
      <c r="A829" t="s">
        <v>5713</v>
      </c>
      <c r="B829" t="s">
        <v>474</v>
      </c>
      <c r="C829" t="s">
        <v>1486</v>
      </c>
      <c r="E829" t="s">
        <v>475</v>
      </c>
      <c r="G829" s="1" t="s">
        <v>3368</v>
      </c>
      <c r="H829" t="s">
        <v>592</v>
      </c>
      <c r="J829">
        <v>612000</v>
      </c>
      <c r="M829">
        <v>3312</v>
      </c>
      <c r="R829" t="s">
        <v>918</v>
      </c>
      <c r="S829" t="s">
        <v>1178</v>
      </c>
      <c r="T829" t="s">
        <v>3369</v>
      </c>
      <c r="V829" t="s">
        <v>1164</v>
      </c>
      <c r="AE829" t="s">
        <v>478</v>
      </c>
      <c r="AL829" t="s">
        <v>919</v>
      </c>
      <c r="AM829" t="s">
        <v>919</v>
      </c>
      <c r="AO829" t="s">
        <v>480</v>
      </c>
      <c r="AP829" t="s">
        <v>481</v>
      </c>
      <c r="BF829" s="1" t="s">
        <v>1077</v>
      </c>
      <c r="BH829" t="s">
        <v>1029</v>
      </c>
      <c r="BP829" t="s">
        <v>1489</v>
      </c>
    </row>
    <row r="830" spans="1:68" x14ac:dyDescent="0.25">
      <c r="A830" t="s">
        <v>5713</v>
      </c>
      <c r="B830" t="s">
        <v>474</v>
      </c>
      <c r="C830" t="s">
        <v>1486</v>
      </c>
      <c r="E830" t="s">
        <v>475</v>
      </c>
      <c r="G830" s="1" t="s">
        <v>3368</v>
      </c>
      <c r="H830" t="s">
        <v>600</v>
      </c>
      <c r="J830">
        <v>612000</v>
      </c>
      <c r="M830">
        <v>3312</v>
      </c>
      <c r="R830" t="s">
        <v>918</v>
      </c>
      <c r="S830" t="s">
        <v>1178</v>
      </c>
      <c r="T830" t="s">
        <v>3369</v>
      </c>
      <c r="V830" t="s">
        <v>1166</v>
      </c>
      <c r="AE830" t="s">
        <v>478</v>
      </c>
      <c r="AL830" t="s">
        <v>919</v>
      </c>
      <c r="AM830" t="s">
        <v>919</v>
      </c>
      <c r="AO830" t="s">
        <v>480</v>
      </c>
      <c r="AP830" t="s">
        <v>481</v>
      </c>
      <c r="BF830" s="1" t="s">
        <v>1077</v>
      </c>
      <c r="BH830" t="s">
        <v>1029</v>
      </c>
      <c r="BP830" t="s">
        <v>1489</v>
      </c>
    </row>
    <row r="831" spans="1:68" x14ac:dyDescent="0.25">
      <c r="A831" t="s">
        <v>5713</v>
      </c>
      <c r="B831" t="s">
        <v>474</v>
      </c>
      <c r="C831" t="s">
        <v>1486</v>
      </c>
      <c r="E831" t="s">
        <v>475</v>
      </c>
      <c r="G831" s="1" t="s">
        <v>3368</v>
      </c>
      <c r="H831" t="s">
        <v>608</v>
      </c>
      <c r="J831">
        <v>612000</v>
      </c>
      <c r="M831">
        <v>3312</v>
      </c>
      <c r="R831" t="s">
        <v>918</v>
      </c>
      <c r="S831" t="s">
        <v>1037</v>
      </c>
      <c r="T831" t="s">
        <v>3370</v>
      </c>
      <c r="V831" t="s">
        <v>1168</v>
      </c>
      <c r="AE831" t="s">
        <v>478</v>
      </c>
      <c r="AL831" t="s">
        <v>919</v>
      </c>
      <c r="AM831" t="s">
        <v>919</v>
      </c>
      <c r="AO831" t="s">
        <v>480</v>
      </c>
      <c r="AP831" t="s">
        <v>481</v>
      </c>
      <c r="BF831" s="1" t="s">
        <v>1077</v>
      </c>
      <c r="BH831" t="s">
        <v>1029</v>
      </c>
      <c r="BP831" t="s">
        <v>1489</v>
      </c>
    </row>
    <row r="832" spans="1:68" x14ac:dyDescent="0.25">
      <c r="A832" t="s">
        <v>5713</v>
      </c>
      <c r="B832" t="s">
        <v>474</v>
      </c>
      <c r="C832" t="s">
        <v>1486</v>
      </c>
      <c r="E832" t="s">
        <v>475</v>
      </c>
      <c r="G832" s="1" t="s">
        <v>3368</v>
      </c>
      <c r="H832" t="s">
        <v>612</v>
      </c>
      <c r="J832">
        <v>612000</v>
      </c>
      <c r="M832">
        <v>3312</v>
      </c>
      <c r="R832" t="s">
        <v>918</v>
      </c>
      <c r="S832" t="s">
        <v>1178</v>
      </c>
      <c r="T832" t="s">
        <v>3369</v>
      </c>
      <c r="V832" t="s">
        <v>1170</v>
      </c>
      <c r="AE832" t="s">
        <v>478</v>
      </c>
      <c r="AL832" t="s">
        <v>919</v>
      </c>
      <c r="AM832" t="s">
        <v>919</v>
      </c>
      <c r="AO832" t="s">
        <v>480</v>
      </c>
      <c r="AP832" t="s">
        <v>481</v>
      </c>
      <c r="BF832" s="1" t="s">
        <v>1077</v>
      </c>
      <c r="BH832" t="s">
        <v>1029</v>
      </c>
      <c r="BP832" t="s">
        <v>1489</v>
      </c>
    </row>
    <row r="833" spans="1:68" x14ac:dyDescent="0.25">
      <c r="A833" t="s">
        <v>5713</v>
      </c>
      <c r="B833" t="s">
        <v>474</v>
      </c>
      <c r="C833" t="s">
        <v>1486</v>
      </c>
      <c r="E833" t="s">
        <v>475</v>
      </c>
      <c r="G833" s="1" t="s">
        <v>3368</v>
      </c>
      <c r="H833" t="s">
        <v>619</v>
      </c>
      <c r="J833">
        <v>612000</v>
      </c>
      <c r="M833">
        <v>3312</v>
      </c>
      <c r="R833" t="s">
        <v>918</v>
      </c>
      <c r="S833" t="s">
        <v>1037</v>
      </c>
      <c r="T833" t="s">
        <v>3370</v>
      </c>
      <c r="V833" t="s">
        <v>1172</v>
      </c>
      <c r="AE833" t="s">
        <v>478</v>
      </c>
      <c r="AL833" t="s">
        <v>919</v>
      </c>
      <c r="AM833" t="s">
        <v>919</v>
      </c>
      <c r="AO833" t="s">
        <v>480</v>
      </c>
      <c r="AP833" t="s">
        <v>481</v>
      </c>
      <c r="BF833" s="1" t="s">
        <v>1077</v>
      </c>
      <c r="BH833" t="s">
        <v>1029</v>
      </c>
      <c r="BP833" t="s">
        <v>1489</v>
      </c>
    </row>
    <row r="834" spans="1:68" x14ac:dyDescent="0.25">
      <c r="A834" t="s">
        <v>5713</v>
      </c>
      <c r="B834" t="s">
        <v>474</v>
      </c>
      <c r="C834" t="s">
        <v>1486</v>
      </c>
      <c r="E834" t="s">
        <v>475</v>
      </c>
      <c r="G834" s="1" t="s">
        <v>3368</v>
      </c>
      <c r="H834" t="s">
        <v>811</v>
      </c>
      <c r="J834">
        <v>612000</v>
      </c>
      <c r="M834">
        <v>3312</v>
      </c>
      <c r="R834" t="s">
        <v>918</v>
      </c>
      <c r="S834" t="s">
        <v>1178</v>
      </c>
      <c r="T834" t="s">
        <v>3369</v>
      </c>
      <c r="V834" t="s">
        <v>1174</v>
      </c>
      <c r="AE834" t="s">
        <v>478</v>
      </c>
      <c r="AL834" t="s">
        <v>919</v>
      </c>
      <c r="AM834" t="s">
        <v>919</v>
      </c>
      <c r="AO834" t="s">
        <v>480</v>
      </c>
      <c r="AP834" t="s">
        <v>481</v>
      </c>
      <c r="BF834" s="1" t="s">
        <v>1077</v>
      </c>
      <c r="BH834" t="s">
        <v>1029</v>
      </c>
      <c r="BP834" t="s">
        <v>1489</v>
      </c>
    </row>
    <row r="835" spans="1:68" x14ac:dyDescent="0.25">
      <c r="A835" t="s">
        <v>5713</v>
      </c>
      <c r="B835" t="s">
        <v>474</v>
      </c>
      <c r="C835" t="s">
        <v>1486</v>
      </c>
      <c r="E835" t="s">
        <v>475</v>
      </c>
      <c r="G835" s="1" t="s">
        <v>3368</v>
      </c>
      <c r="H835" t="s">
        <v>817</v>
      </c>
      <c r="J835">
        <v>612000</v>
      </c>
      <c r="M835">
        <v>3312</v>
      </c>
      <c r="R835" t="s">
        <v>918</v>
      </c>
      <c r="S835" t="s">
        <v>1176</v>
      </c>
      <c r="T835" t="s">
        <v>3372</v>
      </c>
      <c r="V835" t="s">
        <v>3373</v>
      </c>
      <c r="AE835" t="s">
        <v>478</v>
      </c>
      <c r="AL835" t="s">
        <v>919</v>
      </c>
      <c r="AM835" t="s">
        <v>919</v>
      </c>
      <c r="AO835" t="s">
        <v>480</v>
      </c>
      <c r="AP835" t="s">
        <v>481</v>
      </c>
      <c r="BF835" s="1" t="s">
        <v>1077</v>
      </c>
      <c r="BH835" t="s">
        <v>1029</v>
      </c>
      <c r="BP835" t="s">
        <v>1489</v>
      </c>
    </row>
    <row r="836" spans="1:68" x14ac:dyDescent="0.25">
      <c r="A836" t="s">
        <v>5713</v>
      </c>
      <c r="B836" t="s">
        <v>474</v>
      </c>
      <c r="C836" t="s">
        <v>1486</v>
      </c>
      <c r="E836" t="s">
        <v>475</v>
      </c>
      <c r="G836" s="1" t="s">
        <v>3368</v>
      </c>
      <c r="H836" t="s">
        <v>820</v>
      </c>
      <c r="J836">
        <v>612000</v>
      </c>
      <c r="M836">
        <v>3312</v>
      </c>
      <c r="R836" t="s">
        <v>918</v>
      </c>
      <c r="S836" t="s">
        <v>1177</v>
      </c>
      <c r="T836" t="s">
        <v>3374</v>
      </c>
      <c r="V836" t="s">
        <v>3375</v>
      </c>
      <c r="AE836" t="s">
        <v>478</v>
      </c>
      <c r="AL836" t="s">
        <v>919</v>
      </c>
      <c r="AM836" t="s">
        <v>919</v>
      </c>
      <c r="AO836" t="s">
        <v>480</v>
      </c>
      <c r="AP836" t="s">
        <v>481</v>
      </c>
      <c r="BF836" s="1" t="s">
        <v>1077</v>
      </c>
      <c r="BH836" t="s">
        <v>1029</v>
      </c>
      <c r="BP836" t="s">
        <v>1489</v>
      </c>
    </row>
    <row r="837" spans="1:68" x14ac:dyDescent="0.25">
      <c r="A837" t="s">
        <v>5713</v>
      </c>
      <c r="B837" t="s">
        <v>474</v>
      </c>
      <c r="C837" t="s">
        <v>1486</v>
      </c>
      <c r="E837" t="s">
        <v>475</v>
      </c>
      <c r="G837" s="1" t="s">
        <v>3368</v>
      </c>
      <c r="H837" t="s">
        <v>960</v>
      </c>
      <c r="J837">
        <v>612000</v>
      </c>
      <c r="M837">
        <v>3312</v>
      </c>
      <c r="R837" t="s">
        <v>918</v>
      </c>
      <c r="S837" t="s">
        <v>1177</v>
      </c>
      <c r="T837" t="s">
        <v>3374</v>
      </c>
      <c r="V837" t="s">
        <v>3376</v>
      </c>
      <c r="AE837" t="s">
        <v>478</v>
      </c>
      <c r="AL837" t="s">
        <v>919</v>
      </c>
      <c r="AM837" t="s">
        <v>919</v>
      </c>
      <c r="AO837" t="s">
        <v>480</v>
      </c>
      <c r="AP837" t="s">
        <v>481</v>
      </c>
      <c r="BF837" s="1" t="s">
        <v>1077</v>
      </c>
      <c r="BH837" t="s">
        <v>1029</v>
      </c>
      <c r="BP837" t="s">
        <v>1489</v>
      </c>
    </row>
    <row r="838" spans="1:68" x14ac:dyDescent="0.25">
      <c r="A838" t="s">
        <v>5713</v>
      </c>
      <c r="B838" t="s">
        <v>474</v>
      </c>
      <c r="C838" t="s">
        <v>1486</v>
      </c>
      <c r="E838" t="s">
        <v>475</v>
      </c>
      <c r="G838" s="1" t="s">
        <v>3368</v>
      </c>
      <c r="H838" t="s">
        <v>965</v>
      </c>
      <c r="J838">
        <v>612000</v>
      </c>
      <c r="M838">
        <v>3312</v>
      </c>
      <c r="R838" t="s">
        <v>918</v>
      </c>
      <c r="S838" t="s">
        <v>1037</v>
      </c>
      <c r="T838" t="s">
        <v>3370</v>
      </c>
      <c r="V838" t="s">
        <v>1092</v>
      </c>
      <c r="AE838" t="s">
        <v>478</v>
      </c>
      <c r="AL838" t="s">
        <v>919</v>
      </c>
      <c r="AM838" t="s">
        <v>919</v>
      </c>
      <c r="AO838" t="s">
        <v>480</v>
      </c>
      <c r="AP838" t="s">
        <v>481</v>
      </c>
      <c r="BF838" s="1" t="s">
        <v>1077</v>
      </c>
      <c r="BH838" t="s">
        <v>1029</v>
      </c>
      <c r="BP838" t="s">
        <v>1489</v>
      </c>
    </row>
    <row r="839" spans="1:68" x14ac:dyDescent="0.25">
      <c r="A839" t="s">
        <v>5713</v>
      </c>
      <c r="B839" t="s">
        <v>474</v>
      </c>
      <c r="C839" t="s">
        <v>1486</v>
      </c>
      <c r="E839" t="s">
        <v>475</v>
      </c>
      <c r="G839" s="1" t="s">
        <v>3368</v>
      </c>
      <c r="H839" t="s">
        <v>961</v>
      </c>
      <c r="J839">
        <v>612000</v>
      </c>
      <c r="M839">
        <v>3312</v>
      </c>
      <c r="R839" t="s">
        <v>918</v>
      </c>
      <c r="S839" t="s">
        <v>1175</v>
      </c>
      <c r="T839" t="s">
        <v>3371</v>
      </c>
      <c r="V839" t="s">
        <v>1094</v>
      </c>
      <c r="AE839" t="s">
        <v>478</v>
      </c>
      <c r="AL839" t="s">
        <v>919</v>
      </c>
      <c r="AM839" t="s">
        <v>919</v>
      </c>
      <c r="AO839" t="s">
        <v>480</v>
      </c>
      <c r="AP839" t="s">
        <v>481</v>
      </c>
      <c r="BF839" s="1" t="s">
        <v>1077</v>
      </c>
      <c r="BH839" t="s">
        <v>1029</v>
      </c>
      <c r="BP839" t="s">
        <v>1489</v>
      </c>
    </row>
    <row r="840" spans="1:68" x14ac:dyDescent="0.25">
      <c r="A840" t="s">
        <v>5713</v>
      </c>
      <c r="B840" t="s">
        <v>474</v>
      </c>
      <c r="C840" t="s">
        <v>1486</v>
      </c>
      <c r="E840" t="s">
        <v>475</v>
      </c>
      <c r="G840" s="1" t="s">
        <v>3368</v>
      </c>
      <c r="H840" t="s">
        <v>966</v>
      </c>
      <c r="J840">
        <v>612000</v>
      </c>
      <c r="M840">
        <v>3312</v>
      </c>
      <c r="R840" t="s">
        <v>918</v>
      </c>
      <c r="S840" t="s">
        <v>1176</v>
      </c>
      <c r="T840" t="s">
        <v>3372</v>
      </c>
      <c r="V840" t="s">
        <v>1096</v>
      </c>
      <c r="AE840" t="s">
        <v>478</v>
      </c>
      <c r="AL840" t="s">
        <v>919</v>
      </c>
      <c r="AM840" t="s">
        <v>919</v>
      </c>
      <c r="AO840" t="s">
        <v>480</v>
      </c>
      <c r="AP840" t="s">
        <v>481</v>
      </c>
      <c r="BF840" s="1" t="s">
        <v>1077</v>
      </c>
      <c r="BH840" t="s">
        <v>1029</v>
      </c>
      <c r="BP840" t="s">
        <v>1489</v>
      </c>
    </row>
    <row r="841" spans="1:68" x14ac:dyDescent="0.25">
      <c r="A841" t="s">
        <v>5713</v>
      </c>
      <c r="B841" t="s">
        <v>474</v>
      </c>
      <c r="C841" t="s">
        <v>1486</v>
      </c>
      <c r="E841" t="s">
        <v>475</v>
      </c>
      <c r="G841" s="1" t="s">
        <v>3368</v>
      </c>
      <c r="H841" t="s">
        <v>967</v>
      </c>
      <c r="J841">
        <v>612000</v>
      </c>
      <c r="M841">
        <v>3312</v>
      </c>
      <c r="R841" t="s">
        <v>918</v>
      </c>
      <c r="S841" t="s">
        <v>3377</v>
      </c>
      <c r="T841" t="s">
        <v>3378</v>
      </c>
      <c r="V841" t="s">
        <v>1097</v>
      </c>
      <c r="AE841" t="s">
        <v>478</v>
      </c>
      <c r="AL841" t="s">
        <v>919</v>
      </c>
      <c r="AM841" t="s">
        <v>919</v>
      </c>
      <c r="AO841" t="s">
        <v>480</v>
      </c>
      <c r="AP841" t="s">
        <v>481</v>
      </c>
      <c r="BF841" s="1" t="s">
        <v>1077</v>
      </c>
      <c r="BH841" t="s">
        <v>1029</v>
      </c>
      <c r="BP841" t="s">
        <v>1489</v>
      </c>
    </row>
    <row r="842" spans="1:68" x14ac:dyDescent="0.25">
      <c r="A842" t="s">
        <v>5713</v>
      </c>
      <c r="B842" t="s">
        <v>474</v>
      </c>
      <c r="C842" t="s">
        <v>1486</v>
      </c>
      <c r="E842" t="s">
        <v>475</v>
      </c>
      <c r="G842" s="1" t="s">
        <v>3368</v>
      </c>
      <c r="H842" t="s">
        <v>962</v>
      </c>
      <c r="J842">
        <v>612000</v>
      </c>
      <c r="M842">
        <v>3312</v>
      </c>
      <c r="R842" t="s">
        <v>918</v>
      </c>
      <c r="S842" t="s">
        <v>1037</v>
      </c>
      <c r="T842" t="s">
        <v>3370</v>
      </c>
      <c r="V842" t="s">
        <v>1099</v>
      </c>
      <c r="AE842" t="s">
        <v>478</v>
      </c>
      <c r="AL842" t="s">
        <v>919</v>
      </c>
      <c r="AM842" t="s">
        <v>919</v>
      </c>
      <c r="AO842" t="s">
        <v>480</v>
      </c>
      <c r="AP842" t="s">
        <v>481</v>
      </c>
      <c r="BF842" s="1" t="s">
        <v>1077</v>
      </c>
      <c r="BH842" t="s">
        <v>1029</v>
      </c>
      <c r="BP842" t="s">
        <v>1489</v>
      </c>
    </row>
    <row r="843" spans="1:68" x14ac:dyDescent="0.25">
      <c r="A843" t="s">
        <v>5713</v>
      </c>
      <c r="B843" t="s">
        <v>474</v>
      </c>
      <c r="C843" t="s">
        <v>1486</v>
      </c>
      <c r="E843" t="s">
        <v>475</v>
      </c>
      <c r="G843" s="1" t="s">
        <v>3368</v>
      </c>
      <c r="H843" t="s">
        <v>968</v>
      </c>
      <c r="J843">
        <v>612000</v>
      </c>
      <c r="M843">
        <v>3312</v>
      </c>
      <c r="R843" t="s">
        <v>918</v>
      </c>
      <c r="S843" t="s">
        <v>1178</v>
      </c>
      <c r="T843" t="s">
        <v>3369</v>
      </c>
      <c r="V843" t="s">
        <v>1100</v>
      </c>
      <c r="AE843" t="s">
        <v>478</v>
      </c>
      <c r="AL843" t="s">
        <v>919</v>
      </c>
      <c r="AM843" t="s">
        <v>919</v>
      </c>
      <c r="AO843" t="s">
        <v>480</v>
      </c>
      <c r="AP843" t="s">
        <v>481</v>
      </c>
      <c r="BF843" s="1" t="s">
        <v>1077</v>
      </c>
      <c r="BH843" t="s">
        <v>1029</v>
      </c>
      <c r="BP843" t="s">
        <v>1489</v>
      </c>
    </row>
    <row r="844" spans="1:68" x14ac:dyDescent="0.25">
      <c r="A844" t="s">
        <v>5713</v>
      </c>
      <c r="B844" t="s">
        <v>474</v>
      </c>
      <c r="C844" t="s">
        <v>1486</v>
      </c>
      <c r="E844" t="s">
        <v>475</v>
      </c>
      <c r="G844" s="1" t="s">
        <v>3368</v>
      </c>
      <c r="H844" t="s">
        <v>969</v>
      </c>
      <c r="J844">
        <v>612000</v>
      </c>
      <c r="M844">
        <v>3312</v>
      </c>
      <c r="R844" t="s">
        <v>918</v>
      </c>
      <c r="S844" t="s">
        <v>1037</v>
      </c>
      <c r="T844" t="s">
        <v>3370</v>
      </c>
      <c r="V844" t="s">
        <v>1101</v>
      </c>
      <c r="AE844" t="s">
        <v>478</v>
      </c>
      <c r="AL844" t="s">
        <v>919</v>
      </c>
      <c r="AM844" t="s">
        <v>919</v>
      </c>
      <c r="AO844" t="s">
        <v>480</v>
      </c>
      <c r="AP844" t="s">
        <v>481</v>
      </c>
      <c r="BF844" s="1" t="s">
        <v>1077</v>
      </c>
      <c r="BH844" t="s">
        <v>1029</v>
      </c>
      <c r="BP844" t="s">
        <v>1489</v>
      </c>
    </row>
    <row r="845" spans="1:68" x14ac:dyDescent="0.25">
      <c r="A845" t="s">
        <v>5713</v>
      </c>
      <c r="B845" t="s">
        <v>474</v>
      </c>
      <c r="C845" t="s">
        <v>1486</v>
      </c>
      <c r="E845" t="s">
        <v>475</v>
      </c>
      <c r="G845" s="1" t="s">
        <v>3368</v>
      </c>
      <c r="H845" t="s">
        <v>963</v>
      </c>
      <c r="J845">
        <v>612000</v>
      </c>
      <c r="M845">
        <v>3312</v>
      </c>
      <c r="R845" t="s">
        <v>918</v>
      </c>
      <c r="S845" t="s">
        <v>1037</v>
      </c>
      <c r="T845" t="s">
        <v>3370</v>
      </c>
      <c r="V845" t="s">
        <v>1102</v>
      </c>
      <c r="AE845" t="s">
        <v>478</v>
      </c>
      <c r="AL845" t="s">
        <v>919</v>
      </c>
      <c r="AM845" t="s">
        <v>919</v>
      </c>
      <c r="AO845" t="s">
        <v>480</v>
      </c>
      <c r="AP845" t="s">
        <v>481</v>
      </c>
      <c r="BF845" s="1" t="s">
        <v>1077</v>
      </c>
      <c r="BH845" t="s">
        <v>1029</v>
      </c>
      <c r="BP845" t="s">
        <v>1489</v>
      </c>
    </row>
    <row r="846" spans="1:68" x14ac:dyDescent="0.25">
      <c r="A846" t="s">
        <v>5713</v>
      </c>
      <c r="B846" t="s">
        <v>474</v>
      </c>
      <c r="C846" t="s">
        <v>1486</v>
      </c>
      <c r="E846" t="s">
        <v>475</v>
      </c>
      <c r="G846" s="1" t="s">
        <v>3368</v>
      </c>
      <c r="H846" t="s">
        <v>964</v>
      </c>
      <c r="J846">
        <v>612000</v>
      </c>
      <c r="M846">
        <v>3312</v>
      </c>
      <c r="R846" t="s">
        <v>918</v>
      </c>
      <c r="S846" t="s">
        <v>1178</v>
      </c>
      <c r="T846" t="s">
        <v>3369</v>
      </c>
      <c r="V846" t="s">
        <v>1104</v>
      </c>
      <c r="AE846" t="s">
        <v>478</v>
      </c>
      <c r="AL846" t="s">
        <v>919</v>
      </c>
      <c r="AM846" t="s">
        <v>919</v>
      </c>
      <c r="AO846" t="s">
        <v>480</v>
      </c>
      <c r="AP846" t="s">
        <v>481</v>
      </c>
      <c r="BF846" s="1" t="s">
        <v>1077</v>
      </c>
      <c r="BH846" t="s">
        <v>1029</v>
      </c>
      <c r="BP846" t="s">
        <v>1489</v>
      </c>
    </row>
    <row r="847" spans="1:68" x14ac:dyDescent="0.25">
      <c r="A847" t="s">
        <v>5713</v>
      </c>
      <c r="B847" t="s">
        <v>474</v>
      </c>
      <c r="C847" t="s">
        <v>1486</v>
      </c>
      <c r="E847" t="s">
        <v>475</v>
      </c>
      <c r="G847" s="1" t="s">
        <v>3368</v>
      </c>
      <c r="H847" t="s">
        <v>1127</v>
      </c>
      <c r="J847">
        <v>612000</v>
      </c>
      <c r="M847">
        <v>3312</v>
      </c>
      <c r="R847" t="s">
        <v>918</v>
      </c>
      <c r="S847" t="s">
        <v>1037</v>
      </c>
      <c r="T847" t="s">
        <v>3370</v>
      </c>
      <c r="V847" t="s">
        <v>1105</v>
      </c>
      <c r="AE847" t="s">
        <v>478</v>
      </c>
      <c r="AL847" t="s">
        <v>919</v>
      </c>
      <c r="AM847" t="s">
        <v>919</v>
      </c>
      <c r="AO847" t="s">
        <v>480</v>
      </c>
      <c r="AP847" t="s">
        <v>481</v>
      </c>
      <c r="BF847" s="1" t="s">
        <v>1077</v>
      </c>
      <c r="BH847" t="s">
        <v>1029</v>
      </c>
      <c r="BP847" t="s">
        <v>1489</v>
      </c>
    </row>
    <row r="848" spans="1:68" x14ac:dyDescent="0.25">
      <c r="A848" t="s">
        <v>5713</v>
      </c>
      <c r="B848" t="s">
        <v>474</v>
      </c>
      <c r="C848" t="s">
        <v>1486</v>
      </c>
      <c r="E848" t="s">
        <v>475</v>
      </c>
      <c r="G848" s="1" t="s">
        <v>3368</v>
      </c>
      <c r="H848" t="s">
        <v>970</v>
      </c>
      <c r="J848">
        <v>612000</v>
      </c>
      <c r="M848">
        <v>3312</v>
      </c>
      <c r="R848" t="s">
        <v>918</v>
      </c>
      <c r="S848" t="s">
        <v>1175</v>
      </c>
      <c r="T848" t="s">
        <v>3371</v>
      </c>
      <c r="V848" t="s">
        <v>1106</v>
      </c>
      <c r="AE848" t="s">
        <v>478</v>
      </c>
      <c r="AL848" t="s">
        <v>919</v>
      </c>
      <c r="AM848" t="s">
        <v>919</v>
      </c>
      <c r="AO848" t="s">
        <v>480</v>
      </c>
      <c r="AP848" t="s">
        <v>481</v>
      </c>
      <c r="BF848" s="1" t="s">
        <v>1077</v>
      </c>
      <c r="BH848" t="s">
        <v>1029</v>
      </c>
      <c r="BP848" t="s">
        <v>1489</v>
      </c>
    </row>
    <row r="849" spans="1:68" x14ac:dyDescent="0.25">
      <c r="A849" t="s">
        <v>5713</v>
      </c>
      <c r="B849" t="s">
        <v>474</v>
      </c>
      <c r="C849" t="s">
        <v>1486</v>
      </c>
      <c r="E849" t="s">
        <v>475</v>
      </c>
      <c r="G849" s="1" t="s">
        <v>3368</v>
      </c>
      <c r="H849" t="s">
        <v>971</v>
      </c>
      <c r="J849">
        <v>612000</v>
      </c>
      <c r="M849">
        <v>3312</v>
      </c>
      <c r="R849" t="s">
        <v>918</v>
      </c>
      <c r="S849" t="s">
        <v>1177</v>
      </c>
      <c r="T849" t="s">
        <v>3374</v>
      </c>
      <c r="V849" t="s">
        <v>1107</v>
      </c>
      <c r="AE849" t="s">
        <v>478</v>
      </c>
      <c r="AL849" t="s">
        <v>919</v>
      </c>
      <c r="AM849" t="s">
        <v>919</v>
      </c>
      <c r="AO849" t="s">
        <v>480</v>
      </c>
      <c r="AP849" t="s">
        <v>481</v>
      </c>
      <c r="BF849" s="1" t="s">
        <v>1077</v>
      </c>
      <c r="BH849" t="s">
        <v>1029</v>
      </c>
      <c r="BP849" t="s">
        <v>1489</v>
      </c>
    </row>
    <row r="850" spans="1:68" x14ac:dyDescent="0.25">
      <c r="A850" t="s">
        <v>5713</v>
      </c>
      <c r="B850" t="s">
        <v>474</v>
      </c>
      <c r="C850" t="s">
        <v>1486</v>
      </c>
      <c r="E850" t="s">
        <v>475</v>
      </c>
      <c r="G850" s="1" t="s">
        <v>3368</v>
      </c>
      <c r="H850" t="s">
        <v>972</v>
      </c>
      <c r="J850">
        <v>612000</v>
      </c>
      <c r="M850">
        <v>3312</v>
      </c>
      <c r="R850" t="s">
        <v>918</v>
      </c>
      <c r="S850" t="s">
        <v>1177</v>
      </c>
      <c r="T850" t="s">
        <v>3374</v>
      </c>
      <c r="V850" t="s">
        <v>1108</v>
      </c>
      <c r="AE850" t="s">
        <v>478</v>
      </c>
      <c r="AL850" t="s">
        <v>919</v>
      </c>
      <c r="AM850" t="s">
        <v>919</v>
      </c>
      <c r="AO850" t="s">
        <v>480</v>
      </c>
      <c r="AP850" t="s">
        <v>481</v>
      </c>
      <c r="BF850" s="1" t="s">
        <v>1077</v>
      </c>
      <c r="BH850" t="s">
        <v>1029</v>
      </c>
      <c r="BP850" t="s">
        <v>1489</v>
      </c>
    </row>
    <row r="851" spans="1:68" x14ac:dyDescent="0.25">
      <c r="A851" t="s">
        <v>5713</v>
      </c>
      <c r="B851" t="s">
        <v>474</v>
      </c>
      <c r="C851" t="s">
        <v>1486</v>
      </c>
      <c r="E851" t="s">
        <v>475</v>
      </c>
      <c r="G851" s="1" t="s">
        <v>3368</v>
      </c>
      <c r="H851" t="s">
        <v>973</v>
      </c>
      <c r="J851">
        <v>612000</v>
      </c>
      <c r="M851">
        <v>3312</v>
      </c>
      <c r="R851" t="s">
        <v>918</v>
      </c>
      <c r="S851" t="s">
        <v>1177</v>
      </c>
      <c r="T851" t="s">
        <v>3374</v>
      </c>
      <c r="V851" t="s">
        <v>1109</v>
      </c>
      <c r="AE851" t="s">
        <v>478</v>
      </c>
      <c r="AL851" t="s">
        <v>919</v>
      </c>
      <c r="AM851" t="s">
        <v>919</v>
      </c>
      <c r="AO851" t="s">
        <v>480</v>
      </c>
      <c r="AP851" t="s">
        <v>481</v>
      </c>
      <c r="BF851" s="1" t="s">
        <v>1077</v>
      </c>
      <c r="BH851" t="s">
        <v>1029</v>
      </c>
      <c r="BP851" t="s">
        <v>1489</v>
      </c>
    </row>
    <row r="852" spans="1:68" x14ac:dyDescent="0.25">
      <c r="A852" t="s">
        <v>5713</v>
      </c>
      <c r="B852" t="s">
        <v>474</v>
      </c>
      <c r="C852" t="s">
        <v>1486</v>
      </c>
      <c r="E852" t="s">
        <v>475</v>
      </c>
      <c r="G852" s="1" t="s">
        <v>3368</v>
      </c>
      <c r="H852" t="s">
        <v>1133</v>
      </c>
      <c r="J852">
        <v>612000</v>
      </c>
      <c r="M852">
        <v>3312</v>
      </c>
      <c r="R852" t="s">
        <v>918</v>
      </c>
      <c r="S852" t="s">
        <v>1176</v>
      </c>
      <c r="T852" t="s">
        <v>3372</v>
      </c>
      <c r="V852" t="s">
        <v>1110</v>
      </c>
      <c r="AE852" t="s">
        <v>478</v>
      </c>
      <c r="AL852" t="s">
        <v>919</v>
      </c>
      <c r="AM852" t="s">
        <v>919</v>
      </c>
      <c r="AO852" t="s">
        <v>480</v>
      </c>
      <c r="AP852" t="s">
        <v>481</v>
      </c>
      <c r="BF852" s="1" t="s">
        <v>1077</v>
      </c>
      <c r="BH852" t="s">
        <v>1029</v>
      </c>
      <c r="BP852" t="s">
        <v>1489</v>
      </c>
    </row>
    <row r="853" spans="1:68" x14ac:dyDescent="0.25">
      <c r="A853" t="s">
        <v>5713</v>
      </c>
      <c r="B853" t="s">
        <v>474</v>
      </c>
      <c r="C853" t="s">
        <v>1486</v>
      </c>
      <c r="E853" t="s">
        <v>475</v>
      </c>
      <c r="G853" s="1" t="s">
        <v>3368</v>
      </c>
      <c r="H853" t="s">
        <v>974</v>
      </c>
      <c r="J853">
        <v>612000</v>
      </c>
      <c r="M853">
        <v>3312</v>
      </c>
      <c r="R853" t="s">
        <v>918</v>
      </c>
      <c r="S853" t="s">
        <v>1037</v>
      </c>
      <c r="T853" t="s">
        <v>3370</v>
      </c>
      <c r="V853" t="s">
        <v>1111</v>
      </c>
      <c r="AE853" t="s">
        <v>478</v>
      </c>
      <c r="AL853" t="s">
        <v>919</v>
      </c>
      <c r="AM853" t="s">
        <v>919</v>
      </c>
      <c r="AO853" t="s">
        <v>480</v>
      </c>
      <c r="AP853" t="s">
        <v>481</v>
      </c>
      <c r="BF853" s="1" t="s">
        <v>1077</v>
      </c>
      <c r="BH853" t="s">
        <v>1029</v>
      </c>
      <c r="BP853" t="s">
        <v>1489</v>
      </c>
    </row>
    <row r="854" spans="1:68" x14ac:dyDescent="0.25">
      <c r="A854" t="s">
        <v>5713</v>
      </c>
      <c r="B854" t="s">
        <v>474</v>
      </c>
      <c r="C854" t="s">
        <v>1486</v>
      </c>
      <c r="E854" t="s">
        <v>475</v>
      </c>
      <c r="G854" s="1" t="s">
        <v>3368</v>
      </c>
      <c r="H854" t="s">
        <v>975</v>
      </c>
      <c r="J854">
        <v>612000</v>
      </c>
      <c r="M854">
        <v>3312</v>
      </c>
      <c r="R854" t="s">
        <v>918</v>
      </c>
      <c r="S854" t="s">
        <v>1037</v>
      </c>
      <c r="T854" t="s">
        <v>3370</v>
      </c>
      <c r="V854" t="s">
        <v>1112</v>
      </c>
      <c r="AE854" t="s">
        <v>478</v>
      </c>
      <c r="AL854" t="s">
        <v>919</v>
      </c>
      <c r="AM854" t="s">
        <v>919</v>
      </c>
      <c r="AO854" t="s">
        <v>480</v>
      </c>
      <c r="AP854" t="s">
        <v>481</v>
      </c>
      <c r="BF854" s="1" t="s">
        <v>1077</v>
      </c>
      <c r="BH854" t="s">
        <v>1029</v>
      </c>
      <c r="BP854" t="s">
        <v>1489</v>
      </c>
    </row>
    <row r="855" spans="1:68" x14ac:dyDescent="0.25">
      <c r="A855" t="s">
        <v>5713</v>
      </c>
      <c r="B855" t="s">
        <v>474</v>
      </c>
      <c r="C855" t="s">
        <v>1486</v>
      </c>
      <c r="E855" t="s">
        <v>475</v>
      </c>
      <c r="G855" s="1" t="s">
        <v>3368</v>
      </c>
      <c r="H855" t="s">
        <v>976</v>
      </c>
      <c r="J855">
        <v>612000</v>
      </c>
      <c r="M855">
        <v>3312</v>
      </c>
      <c r="R855" t="s">
        <v>918</v>
      </c>
      <c r="S855" t="s">
        <v>1178</v>
      </c>
      <c r="T855" t="s">
        <v>3369</v>
      </c>
      <c r="V855" t="s">
        <v>1113</v>
      </c>
      <c r="AE855" t="s">
        <v>478</v>
      </c>
      <c r="AL855" t="s">
        <v>919</v>
      </c>
      <c r="AM855" t="s">
        <v>919</v>
      </c>
      <c r="AO855" t="s">
        <v>480</v>
      </c>
      <c r="AP855" t="s">
        <v>481</v>
      </c>
      <c r="BF855" s="1" t="s">
        <v>1077</v>
      </c>
      <c r="BH855" t="s">
        <v>1029</v>
      </c>
      <c r="BP855" t="s">
        <v>1489</v>
      </c>
    </row>
    <row r="856" spans="1:68" x14ac:dyDescent="0.25">
      <c r="A856" t="s">
        <v>5713</v>
      </c>
      <c r="B856" t="s">
        <v>474</v>
      </c>
      <c r="C856" t="s">
        <v>1486</v>
      </c>
      <c r="E856" t="s">
        <v>475</v>
      </c>
      <c r="G856" s="1" t="s">
        <v>3368</v>
      </c>
      <c r="H856" t="s">
        <v>977</v>
      </c>
      <c r="J856">
        <v>612000</v>
      </c>
      <c r="M856">
        <v>3312</v>
      </c>
      <c r="R856" t="s">
        <v>918</v>
      </c>
      <c r="S856" t="s">
        <v>1037</v>
      </c>
      <c r="T856" t="s">
        <v>3370</v>
      </c>
      <c r="V856" t="s">
        <v>1114</v>
      </c>
      <c r="AE856" t="s">
        <v>478</v>
      </c>
      <c r="AL856" t="s">
        <v>919</v>
      </c>
      <c r="AM856" t="s">
        <v>919</v>
      </c>
      <c r="AO856" t="s">
        <v>480</v>
      </c>
      <c r="AP856" t="s">
        <v>481</v>
      </c>
      <c r="BF856" s="1" t="s">
        <v>1077</v>
      </c>
      <c r="BH856" t="s">
        <v>1029</v>
      </c>
      <c r="BP856" t="s">
        <v>1489</v>
      </c>
    </row>
    <row r="857" spans="1:68" x14ac:dyDescent="0.25">
      <c r="A857" t="s">
        <v>5713</v>
      </c>
      <c r="B857" t="s">
        <v>474</v>
      </c>
      <c r="C857" t="s">
        <v>1486</v>
      </c>
      <c r="E857" t="s">
        <v>475</v>
      </c>
      <c r="G857" s="1" t="s">
        <v>3368</v>
      </c>
      <c r="H857" t="s">
        <v>1139</v>
      </c>
      <c r="J857">
        <v>612000</v>
      </c>
      <c r="M857">
        <v>3312</v>
      </c>
      <c r="R857" t="s">
        <v>918</v>
      </c>
      <c r="S857" t="s">
        <v>1037</v>
      </c>
      <c r="T857" t="s">
        <v>3370</v>
      </c>
      <c r="V857" t="s">
        <v>1115</v>
      </c>
      <c r="AE857" t="s">
        <v>478</v>
      </c>
      <c r="AL857" t="s">
        <v>919</v>
      </c>
      <c r="AM857" t="s">
        <v>919</v>
      </c>
      <c r="AO857" t="s">
        <v>480</v>
      </c>
      <c r="AP857" t="s">
        <v>481</v>
      </c>
      <c r="BF857" s="1" t="s">
        <v>1077</v>
      </c>
      <c r="BH857" t="s">
        <v>1029</v>
      </c>
      <c r="BP857" t="s">
        <v>1489</v>
      </c>
    </row>
    <row r="858" spans="1:68" x14ac:dyDescent="0.25">
      <c r="A858" t="s">
        <v>5713</v>
      </c>
      <c r="B858" t="s">
        <v>474</v>
      </c>
      <c r="C858" t="s">
        <v>1486</v>
      </c>
      <c r="E858" t="s">
        <v>475</v>
      </c>
      <c r="G858" s="1" t="s">
        <v>3368</v>
      </c>
      <c r="H858" t="s">
        <v>978</v>
      </c>
      <c r="J858">
        <v>612000</v>
      </c>
      <c r="M858">
        <v>3312</v>
      </c>
      <c r="R858" t="s">
        <v>918</v>
      </c>
      <c r="S858" t="s">
        <v>1037</v>
      </c>
      <c r="T858" t="s">
        <v>3370</v>
      </c>
      <c r="V858" t="s">
        <v>1117</v>
      </c>
      <c r="AE858" t="s">
        <v>478</v>
      </c>
      <c r="AL858" t="s">
        <v>919</v>
      </c>
      <c r="AM858" t="s">
        <v>919</v>
      </c>
      <c r="AO858" t="s">
        <v>480</v>
      </c>
      <c r="AP858" t="s">
        <v>481</v>
      </c>
      <c r="BF858" s="1" t="s">
        <v>1077</v>
      </c>
      <c r="BH858" t="s">
        <v>1029</v>
      </c>
      <c r="BP858" t="s">
        <v>1489</v>
      </c>
    </row>
    <row r="859" spans="1:68" x14ac:dyDescent="0.25">
      <c r="A859" t="s">
        <v>5713</v>
      </c>
      <c r="B859" t="s">
        <v>474</v>
      </c>
      <c r="C859" t="s">
        <v>1486</v>
      </c>
      <c r="E859" t="s">
        <v>475</v>
      </c>
      <c r="G859" s="1" t="s">
        <v>3368</v>
      </c>
      <c r="H859" t="s">
        <v>979</v>
      </c>
      <c r="J859">
        <v>612000</v>
      </c>
      <c r="M859">
        <v>3312</v>
      </c>
      <c r="R859" t="s">
        <v>918</v>
      </c>
      <c r="S859" t="s">
        <v>1037</v>
      </c>
      <c r="T859" t="s">
        <v>3370</v>
      </c>
      <c r="V859" t="s">
        <v>1118</v>
      </c>
      <c r="AE859" t="s">
        <v>478</v>
      </c>
      <c r="AL859" t="s">
        <v>919</v>
      </c>
      <c r="AM859" t="s">
        <v>919</v>
      </c>
      <c r="AO859" t="s">
        <v>480</v>
      </c>
      <c r="AP859" t="s">
        <v>481</v>
      </c>
      <c r="BF859" s="1" t="s">
        <v>1077</v>
      </c>
      <c r="BH859" t="s">
        <v>1029</v>
      </c>
      <c r="BP859" t="s">
        <v>1489</v>
      </c>
    </row>
    <row r="860" spans="1:68" x14ac:dyDescent="0.25">
      <c r="A860" t="s">
        <v>5713</v>
      </c>
      <c r="B860" t="s">
        <v>474</v>
      </c>
      <c r="C860" t="s">
        <v>1486</v>
      </c>
      <c r="E860" t="s">
        <v>475</v>
      </c>
      <c r="G860" s="1" t="s">
        <v>3368</v>
      </c>
      <c r="H860" t="s">
        <v>1143</v>
      </c>
      <c r="J860">
        <v>612000</v>
      </c>
      <c r="M860">
        <v>3312</v>
      </c>
      <c r="R860" t="s">
        <v>918</v>
      </c>
      <c r="S860" t="s">
        <v>1037</v>
      </c>
      <c r="T860" t="s">
        <v>3370</v>
      </c>
      <c r="V860" t="s">
        <v>1119</v>
      </c>
      <c r="AE860" t="s">
        <v>478</v>
      </c>
      <c r="AL860" t="s">
        <v>919</v>
      </c>
      <c r="AM860" t="s">
        <v>919</v>
      </c>
      <c r="AO860" t="s">
        <v>480</v>
      </c>
      <c r="AP860" t="s">
        <v>481</v>
      </c>
      <c r="BF860" s="1" t="s">
        <v>1077</v>
      </c>
      <c r="BH860" t="s">
        <v>1029</v>
      </c>
      <c r="BP860" t="s">
        <v>1489</v>
      </c>
    </row>
    <row r="861" spans="1:68" x14ac:dyDescent="0.25">
      <c r="A861" t="s">
        <v>5713</v>
      </c>
      <c r="B861" t="s">
        <v>474</v>
      </c>
      <c r="C861" t="s">
        <v>1486</v>
      </c>
      <c r="E861" t="s">
        <v>475</v>
      </c>
      <c r="G861" s="1" t="s">
        <v>3379</v>
      </c>
      <c r="H861" t="s">
        <v>959</v>
      </c>
      <c r="J861">
        <v>612000</v>
      </c>
      <c r="M861">
        <v>3312</v>
      </c>
      <c r="R861" t="s">
        <v>918</v>
      </c>
      <c r="S861" t="s">
        <v>1103</v>
      </c>
      <c r="T861" t="s">
        <v>1397</v>
      </c>
      <c r="V861" t="s">
        <v>1092</v>
      </c>
      <c r="AE861" t="s">
        <v>478</v>
      </c>
      <c r="AL861" t="s">
        <v>919</v>
      </c>
      <c r="AM861" t="s">
        <v>919</v>
      </c>
      <c r="AO861" t="s">
        <v>480</v>
      </c>
      <c r="AP861" t="s">
        <v>481</v>
      </c>
      <c r="BF861" s="1" t="s">
        <v>1077</v>
      </c>
      <c r="BH861" t="s">
        <v>1029</v>
      </c>
      <c r="BP861" t="s">
        <v>1489</v>
      </c>
    </row>
    <row r="862" spans="1:68" x14ac:dyDescent="0.25">
      <c r="A862" t="s">
        <v>5713</v>
      </c>
      <c r="B862" t="s">
        <v>474</v>
      </c>
      <c r="C862" t="s">
        <v>1486</v>
      </c>
      <c r="E862" t="s">
        <v>475</v>
      </c>
      <c r="G862" s="1" t="s">
        <v>3379</v>
      </c>
      <c r="H862" t="s">
        <v>492</v>
      </c>
      <c r="J862">
        <v>612000</v>
      </c>
      <c r="M862">
        <v>3312</v>
      </c>
      <c r="R862" t="s">
        <v>918</v>
      </c>
      <c r="S862" t="s">
        <v>1093</v>
      </c>
      <c r="T862" t="s">
        <v>3380</v>
      </c>
      <c r="V862" t="s">
        <v>1094</v>
      </c>
      <c r="AE862" t="s">
        <v>478</v>
      </c>
      <c r="AL862" t="s">
        <v>919</v>
      </c>
      <c r="AM862" t="s">
        <v>919</v>
      </c>
      <c r="AO862" t="s">
        <v>480</v>
      </c>
      <c r="AP862" t="s">
        <v>481</v>
      </c>
      <c r="BF862" s="1" t="s">
        <v>1077</v>
      </c>
      <c r="BH862" t="s">
        <v>1029</v>
      </c>
      <c r="BP862" t="s">
        <v>1489</v>
      </c>
    </row>
    <row r="863" spans="1:68" x14ac:dyDescent="0.25">
      <c r="A863" t="s">
        <v>5713</v>
      </c>
      <c r="B863" t="s">
        <v>474</v>
      </c>
      <c r="C863" t="s">
        <v>1486</v>
      </c>
      <c r="E863" t="s">
        <v>475</v>
      </c>
      <c r="G863" s="1" t="s">
        <v>3379</v>
      </c>
      <c r="H863" t="s">
        <v>500</v>
      </c>
      <c r="J863">
        <v>612000</v>
      </c>
      <c r="M863">
        <v>3312</v>
      </c>
      <c r="R863" t="s">
        <v>918</v>
      </c>
      <c r="S863" t="s">
        <v>1093</v>
      </c>
      <c r="T863" t="s">
        <v>3380</v>
      </c>
      <c r="V863" t="s">
        <v>1096</v>
      </c>
      <c r="AE863" t="s">
        <v>478</v>
      </c>
      <c r="AL863" t="s">
        <v>919</v>
      </c>
      <c r="AM863" t="s">
        <v>919</v>
      </c>
      <c r="AO863" t="s">
        <v>480</v>
      </c>
      <c r="AP863" t="s">
        <v>481</v>
      </c>
      <c r="BF863" s="1" t="s">
        <v>1077</v>
      </c>
      <c r="BH863" t="s">
        <v>1029</v>
      </c>
      <c r="BP863" t="s">
        <v>1489</v>
      </c>
    </row>
    <row r="864" spans="1:68" x14ac:dyDescent="0.25">
      <c r="A864" t="s">
        <v>5713</v>
      </c>
      <c r="B864" t="s">
        <v>474</v>
      </c>
      <c r="C864" t="s">
        <v>1486</v>
      </c>
      <c r="E864" t="s">
        <v>475</v>
      </c>
      <c r="G864" s="1" t="s">
        <v>3379</v>
      </c>
      <c r="H864" t="s">
        <v>537</v>
      </c>
      <c r="J864">
        <v>612000</v>
      </c>
      <c r="M864">
        <v>3312</v>
      </c>
      <c r="R864" t="s">
        <v>918</v>
      </c>
      <c r="S864" t="s">
        <v>1095</v>
      </c>
      <c r="T864" t="s">
        <v>3381</v>
      </c>
      <c r="V864" t="s">
        <v>1097</v>
      </c>
      <c r="AE864" t="s">
        <v>478</v>
      </c>
      <c r="AL864" t="s">
        <v>919</v>
      </c>
      <c r="AM864" t="s">
        <v>919</v>
      </c>
      <c r="AO864" t="s">
        <v>480</v>
      </c>
      <c r="AP864" t="s">
        <v>481</v>
      </c>
      <c r="BF864" s="1" t="s">
        <v>1077</v>
      </c>
      <c r="BH864" t="s">
        <v>1029</v>
      </c>
      <c r="BP864" t="s">
        <v>1489</v>
      </c>
    </row>
    <row r="865" spans="1:68" x14ac:dyDescent="0.25">
      <c r="A865" t="s">
        <v>5713</v>
      </c>
      <c r="B865" t="s">
        <v>474</v>
      </c>
      <c r="C865" t="s">
        <v>1486</v>
      </c>
      <c r="E865" t="s">
        <v>475</v>
      </c>
      <c r="G865" s="1" t="s">
        <v>3379</v>
      </c>
      <c r="H865" t="s">
        <v>546</v>
      </c>
      <c r="J865">
        <v>612000</v>
      </c>
      <c r="M865">
        <v>3312</v>
      </c>
      <c r="R865" t="s">
        <v>918</v>
      </c>
      <c r="S865" t="s">
        <v>1093</v>
      </c>
      <c r="T865" t="s">
        <v>3380</v>
      </c>
      <c r="V865" t="s">
        <v>1099</v>
      </c>
      <c r="AE865" t="s">
        <v>478</v>
      </c>
      <c r="AL865" t="s">
        <v>919</v>
      </c>
      <c r="AM865" t="s">
        <v>919</v>
      </c>
      <c r="AO865" t="s">
        <v>480</v>
      </c>
      <c r="AP865" t="s">
        <v>481</v>
      </c>
      <c r="BF865" s="1" t="s">
        <v>1077</v>
      </c>
      <c r="BH865" t="s">
        <v>1029</v>
      </c>
      <c r="BP865" t="s">
        <v>1489</v>
      </c>
    </row>
    <row r="866" spans="1:68" x14ac:dyDescent="0.25">
      <c r="A866" t="s">
        <v>5713</v>
      </c>
      <c r="B866" t="s">
        <v>474</v>
      </c>
      <c r="C866" t="s">
        <v>1486</v>
      </c>
      <c r="E866" t="s">
        <v>475</v>
      </c>
      <c r="G866" s="1" t="s">
        <v>3379</v>
      </c>
      <c r="H866" t="s">
        <v>553</v>
      </c>
      <c r="J866">
        <v>612000</v>
      </c>
      <c r="M866">
        <v>3312</v>
      </c>
      <c r="R866" t="s">
        <v>918</v>
      </c>
      <c r="S866" t="s">
        <v>1103</v>
      </c>
      <c r="T866" t="s">
        <v>1397</v>
      </c>
      <c r="V866" t="s">
        <v>1100</v>
      </c>
      <c r="AE866" t="s">
        <v>478</v>
      </c>
      <c r="AL866" t="s">
        <v>919</v>
      </c>
      <c r="AM866" t="s">
        <v>919</v>
      </c>
      <c r="AO866" t="s">
        <v>480</v>
      </c>
      <c r="AP866" t="s">
        <v>481</v>
      </c>
      <c r="BF866" s="1" t="s">
        <v>1077</v>
      </c>
      <c r="BH866" t="s">
        <v>1029</v>
      </c>
      <c r="BP866" t="s">
        <v>1489</v>
      </c>
    </row>
    <row r="867" spans="1:68" x14ac:dyDescent="0.25">
      <c r="A867" t="s">
        <v>5713</v>
      </c>
      <c r="B867" t="s">
        <v>474</v>
      </c>
      <c r="C867" t="s">
        <v>1486</v>
      </c>
      <c r="E867" t="s">
        <v>475</v>
      </c>
      <c r="G867" s="1" t="s">
        <v>3379</v>
      </c>
      <c r="H867" t="s">
        <v>559</v>
      </c>
      <c r="J867">
        <v>612000</v>
      </c>
      <c r="M867">
        <v>3312</v>
      </c>
      <c r="R867" t="s">
        <v>918</v>
      </c>
      <c r="S867" t="s">
        <v>1093</v>
      </c>
      <c r="T867" t="s">
        <v>3380</v>
      </c>
      <c r="V867" t="s">
        <v>1101</v>
      </c>
      <c r="AE867" t="s">
        <v>478</v>
      </c>
      <c r="AL867" t="s">
        <v>919</v>
      </c>
      <c r="AM867" t="s">
        <v>919</v>
      </c>
      <c r="AO867" t="s">
        <v>480</v>
      </c>
      <c r="AP867" t="s">
        <v>481</v>
      </c>
      <c r="BF867" s="1" t="s">
        <v>1077</v>
      </c>
      <c r="BH867" t="s">
        <v>1029</v>
      </c>
      <c r="BP867" t="s">
        <v>1489</v>
      </c>
    </row>
    <row r="868" spans="1:68" x14ac:dyDescent="0.25">
      <c r="A868" t="s">
        <v>5713</v>
      </c>
      <c r="B868" t="s">
        <v>474</v>
      </c>
      <c r="C868" t="s">
        <v>1486</v>
      </c>
      <c r="E868" t="s">
        <v>475</v>
      </c>
      <c r="G868" s="1" t="s">
        <v>3379</v>
      </c>
      <c r="H868" t="s">
        <v>564</v>
      </c>
      <c r="J868">
        <v>612000</v>
      </c>
      <c r="M868">
        <v>3312</v>
      </c>
      <c r="R868" t="s">
        <v>918</v>
      </c>
      <c r="S868" t="s">
        <v>1095</v>
      </c>
      <c r="T868" t="s">
        <v>3381</v>
      </c>
      <c r="V868" t="s">
        <v>1102</v>
      </c>
      <c r="AE868" t="s">
        <v>478</v>
      </c>
      <c r="AL868" t="s">
        <v>919</v>
      </c>
      <c r="AM868" t="s">
        <v>919</v>
      </c>
      <c r="AO868" t="s">
        <v>480</v>
      </c>
      <c r="AP868" t="s">
        <v>481</v>
      </c>
      <c r="BF868" s="1" t="s">
        <v>1077</v>
      </c>
      <c r="BH868" t="s">
        <v>1029</v>
      </c>
      <c r="BP868" t="s">
        <v>1489</v>
      </c>
    </row>
    <row r="869" spans="1:68" x14ac:dyDescent="0.25">
      <c r="A869" t="s">
        <v>5713</v>
      </c>
      <c r="B869" t="s">
        <v>474</v>
      </c>
      <c r="C869" t="s">
        <v>1486</v>
      </c>
      <c r="E869" t="s">
        <v>475</v>
      </c>
      <c r="G869" s="1" t="s">
        <v>3379</v>
      </c>
      <c r="H869" t="s">
        <v>571</v>
      </c>
      <c r="J869">
        <v>612000</v>
      </c>
      <c r="M869">
        <v>3312</v>
      </c>
      <c r="R869" t="s">
        <v>918</v>
      </c>
      <c r="S869" t="s">
        <v>1093</v>
      </c>
      <c r="T869" t="s">
        <v>3380</v>
      </c>
      <c r="V869" t="s">
        <v>1104</v>
      </c>
      <c r="AE869" t="s">
        <v>478</v>
      </c>
      <c r="AL869" t="s">
        <v>919</v>
      </c>
      <c r="AM869" t="s">
        <v>919</v>
      </c>
      <c r="AO869" t="s">
        <v>480</v>
      </c>
      <c r="AP869" t="s">
        <v>481</v>
      </c>
      <c r="BF869" s="1" t="s">
        <v>1077</v>
      </c>
      <c r="BH869" t="s">
        <v>1029</v>
      </c>
      <c r="BP869" t="s">
        <v>1489</v>
      </c>
    </row>
    <row r="870" spans="1:68" x14ac:dyDescent="0.25">
      <c r="A870" t="s">
        <v>5713</v>
      </c>
      <c r="B870" t="s">
        <v>474</v>
      </c>
      <c r="C870" t="s">
        <v>1486</v>
      </c>
      <c r="E870" t="s">
        <v>475</v>
      </c>
      <c r="G870" s="1" t="s">
        <v>3379</v>
      </c>
      <c r="H870" t="s">
        <v>578</v>
      </c>
      <c r="J870">
        <v>612000</v>
      </c>
      <c r="M870">
        <v>3312</v>
      </c>
      <c r="R870" t="s">
        <v>918</v>
      </c>
      <c r="S870" t="s">
        <v>1093</v>
      </c>
      <c r="T870" t="s">
        <v>3380</v>
      </c>
      <c r="V870" t="s">
        <v>1105</v>
      </c>
      <c r="AE870" t="s">
        <v>478</v>
      </c>
      <c r="AL870" t="s">
        <v>919</v>
      </c>
      <c r="AM870" t="s">
        <v>919</v>
      </c>
      <c r="AO870" t="s">
        <v>480</v>
      </c>
      <c r="AP870" t="s">
        <v>481</v>
      </c>
      <c r="BF870" s="1" t="s">
        <v>1077</v>
      </c>
      <c r="BH870" t="s">
        <v>1029</v>
      </c>
      <c r="BP870" t="s">
        <v>1489</v>
      </c>
    </row>
    <row r="871" spans="1:68" x14ac:dyDescent="0.25">
      <c r="A871" t="s">
        <v>5713</v>
      </c>
      <c r="B871" t="s">
        <v>474</v>
      </c>
      <c r="C871" t="s">
        <v>1486</v>
      </c>
      <c r="E871" t="s">
        <v>475</v>
      </c>
      <c r="G871" s="1" t="s">
        <v>3379</v>
      </c>
      <c r="H871" t="s">
        <v>585</v>
      </c>
      <c r="J871">
        <v>612000</v>
      </c>
      <c r="M871">
        <v>3312</v>
      </c>
      <c r="R871" t="s">
        <v>918</v>
      </c>
      <c r="S871" t="s">
        <v>1103</v>
      </c>
      <c r="T871" t="s">
        <v>1397</v>
      </c>
      <c r="V871" t="s">
        <v>1106</v>
      </c>
      <c r="AE871" t="s">
        <v>478</v>
      </c>
      <c r="AL871" t="s">
        <v>919</v>
      </c>
      <c r="AM871" t="s">
        <v>919</v>
      </c>
      <c r="AO871" t="s">
        <v>480</v>
      </c>
      <c r="AP871" t="s">
        <v>481</v>
      </c>
      <c r="BF871" s="1" t="s">
        <v>1077</v>
      </c>
      <c r="BH871" t="s">
        <v>1029</v>
      </c>
      <c r="BP871" t="s">
        <v>1489</v>
      </c>
    </row>
    <row r="872" spans="1:68" x14ac:dyDescent="0.25">
      <c r="A872" t="s">
        <v>5713</v>
      </c>
      <c r="B872" t="s">
        <v>474</v>
      </c>
      <c r="C872" t="s">
        <v>1486</v>
      </c>
      <c r="E872" t="s">
        <v>475</v>
      </c>
      <c r="G872" s="1" t="s">
        <v>3379</v>
      </c>
      <c r="H872" t="s">
        <v>592</v>
      </c>
      <c r="J872">
        <v>612000</v>
      </c>
      <c r="M872">
        <v>3312</v>
      </c>
      <c r="R872" t="s">
        <v>918</v>
      </c>
      <c r="S872" t="s">
        <v>1103</v>
      </c>
      <c r="T872" t="s">
        <v>1397</v>
      </c>
      <c r="V872" t="s">
        <v>1107</v>
      </c>
      <c r="AE872" t="s">
        <v>478</v>
      </c>
      <c r="AL872" t="s">
        <v>919</v>
      </c>
      <c r="AM872" t="s">
        <v>919</v>
      </c>
      <c r="AO872" t="s">
        <v>480</v>
      </c>
      <c r="AP872" t="s">
        <v>481</v>
      </c>
      <c r="BF872" s="1" t="s">
        <v>1077</v>
      </c>
      <c r="BH872" t="s">
        <v>1029</v>
      </c>
      <c r="BP872" t="s">
        <v>1489</v>
      </c>
    </row>
    <row r="873" spans="1:68" x14ac:dyDescent="0.25">
      <c r="A873" t="s">
        <v>5713</v>
      </c>
      <c r="B873" t="s">
        <v>474</v>
      </c>
      <c r="C873" t="s">
        <v>1486</v>
      </c>
      <c r="E873" t="s">
        <v>475</v>
      </c>
      <c r="G873" s="1" t="s">
        <v>3379</v>
      </c>
      <c r="H873" t="s">
        <v>600</v>
      </c>
      <c r="J873">
        <v>612000</v>
      </c>
      <c r="M873">
        <v>3312</v>
      </c>
      <c r="R873" t="s">
        <v>918</v>
      </c>
      <c r="S873" t="s">
        <v>1103</v>
      </c>
      <c r="T873" t="s">
        <v>1397</v>
      </c>
      <c r="V873" t="s">
        <v>1108</v>
      </c>
      <c r="AE873" t="s">
        <v>478</v>
      </c>
      <c r="AL873" t="s">
        <v>919</v>
      </c>
      <c r="AM873" t="s">
        <v>919</v>
      </c>
      <c r="AO873" t="s">
        <v>480</v>
      </c>
      <c r="AP873" t="s">
        <v>481</v>
      </c>
      <c r="BF873" s="1" t="s">
        <v>1077</v>
      </c>
      <c r="BH873" t="s">
        <v>1029</v>
      </c>
      <c r="BP873" t="s">
        <v>1489</v>
      </c>
    </row>
    <row r="874" spans="1:68" x14ac:dyDescent="0.25">
      <c r="A874" t="s">
        <v>5713</v>
      </c>
      <c r="B874" t="s">
        <v>474</v>
      </c>
      <c r="C874" t="s">
        <v>1486</v>
      </c>
      <c r="E874" t="s">
        <v>475</v>
      </c>
      <c r="G874" s="1" t="s">
        <v>3379</v>
      </c>
      <c r="H874" t="s">
        <v>608</v>
      </c>
      <c r="J874">
        <v>612000</v>
      </c>
      <c r="M874">
        <v>3312</v>
      </c>
      <c r="R874" t="s">
        <v>918</v>
      </c>
      <c r="S874" t="s">
        <v>1093</v>
      </c>
      <c r="T874" t="s">
        <v>3380</v>
      </c>
      <c r="V874" t="s">
        <v>1109</v>
      </c>
      <c r="AE874" t="s">
        <v>478</v>
      </c>
      <c r="AL874" t="s">
        <v>919</v>
      </c>
      <c r="AM874" t="s">
        <v>919</v>
      </c>
      <c r="AO874" t="s">
        <v>480</v>
      </c>
      <c r="AP874" t="s">
        <v>481</v>
      </c>
      <c r="BF874" s="1" t="s">
        <v>1077</v>
      </c>
      <c r="BH874" t="s">
        <v>1029</v>
      </c>
      <c r="BP874" t="s">
        <v>1489</v>
      </c>
    </row>
    <row r="875" spans="1:68" x14ac:dyDescent="0.25">
      <c r="A875" t="s">
        <v>5713</v>
      </c>
      <c r="B875" t="s">
        <v>474</v>
      </c>
      <c r="C875" t="s">
        <v>1486</v>
      </c>
      <c r="E875" t="s">
        <v>475</v>
      </c>
      <c r="G875" s="1" t="s">
        <v>3379</v>
      </c>
      <c r="H875" t="s">
        <v>612</v>
      </c>
      <c r="J875">
        <v>612000</v>
      </c>
      <c r="M875">
        <v>3312</v>
      </c>
      <c r="R875" t="s">
        <v>918</v>
      </c>
      <c r="S875" t="s">
        <v>1103</v>
      </c>
      <c r="T875" t="s">
        <v>1397</v>
      </c>
      <c r="V875" t="s">
        <v>1110</v>
      </c>
      <c r="AE875" t="s">
        <v>478</v>
      </c>
      <c r="AL875" t="s">
        <v>919</v>
      </c>
      <c r="AM875" t="s">
        <v>919</v>
      </c>
      <c r="AO875" t="s">
        <v>480</v>
      </c>
      <c r="AP875" t="s">
        <v>481</v>
      </c>
      <c r="BF875" s="1" t="s">
        <v>1077</v>
      </c>
      <c r="BH875" t="s">
        <v>1029</v>
      </c>
      <c r="BP875" t="s">
        <v>1489</v>
      </c>
    </row>
    <row r="876" spans="1:68" x14ac:dyDescent="0.25">
      <c r="A876" t="s">
        <v>5713</v>
      </c>
      <c r="B876" t="s">
        <v>474</v>
      </c>
      <c r="C876" t="s">
        <v>1486</v>
      </c>
      <c r="E876" t="s">
        <v>475</v>
      </c>
      <c r="G876" s="1" t="s">
        <v>3379</v>
      </c>
      <c r="H876" t="s">
        <v>619</v>
      </c>
      <c r="J876">
        <v>612000</v>
      </c>
      <c r="M876">
        <v>3312</v>
      </c>
      <c r="R876" t="s">
        <v>918</v>
      </c>
      <c r="S876" t="s">
        <v>1093</v>
      </c>
      <c r="T876" t="s">
        <v>3380</v>
      </c>
      <c r="V876" t="s">
        <v>1111</v>
      </c>
      <c r="AE876" t="s">
        <v>478</v>
      </c>
      <c r="AL876" t="s">
        <v>919</v>
      </c>
      <c r="AM876" t="s">
        <v>919</v>
      </c>
      <c r="AO876" t="s">
        <v>480</v>
      </c>
      <c r="AP876" t="s">
        <v>481</v>
      </c>
      <c r="BF876" s="1" t="s">
        <v>1077</v>
      </c>
      <c r="BH876" t="s">
        <v>1029</v>
      </c>
      <c r="BP876" t="s">
        <v>1489</v>
      </c>
    </row>
    <row r="877" spans="1:68" x14ac:dyDescent="0.25">
      <c r="A877" t="s">
        <v>5713</v>
      </c>
      <c r="B877" t="s">
        <v>474</v>
      </c>
      <c r="C877" t="s">
        <v>1486</v>
      </c>
      <c r="E877" t="s">
        <v>475</v>
      </c>
      <c r="G877" s="1" t="s">
        <v>3379</v>
      </c>
      <c r="H877" t="s">
        <v>811</v>
      </c>
      <c r="J877">
        <v>612000</v>
      </c>
      <c r="M877">
        <v>3312</v>
      </c>
      <c r="R877" t="s">
        <v>918</v>
      </c>
      <c r="S877" t="s">
        <v>1122</v>
      </c>
      <c r="T877" t="s">
        <v>3382</v>
      </c>
      <c r="V877" t="s">
        <v>1112</v>
      </c>
      <c r="AE877" t="s">
        <v>478</v>
      </c>
      <c r="AL877" t="s">
        <v>919</v>
      </c>
      <c r="AM877" t="s">
        <v>919</v>
      </c>
      <c r="AO877" t="s">
        <v>480</v>
      </c>
      <c r="AP877" t="s">
        <v>481</v>
      </c>
      <c r="BF877" s="1" t="s">
        <v>1077</v>
      </c>
      <c r="BH877" t="s">
        <v>1029</v>
      </c>
      <c r="BP877" t="s">
        <v>1489</v>
      </c>
    </row>
    <row r="878" spans="1:68" x14ac:dyDescent="0.25">
      <c r="A878" t="s">
        <v>5713</v>
      </c>
      <c r="B878" t="s">
        <v>474</v>
      </c>
      <c r="C878" t="s">
        <v>1486</v>
      </c>
      <c r="E878" t="s">
        <v>475</v>
      </c>
      <c r="G878" s="1" t="s">
        <v>3379</v>
      </c>
      <c r="H878" t="s">
        <v>817</v>
      </c>
      <c r="J878">
        <v>612000</v>
      </c>
      <c r="M878">
        <v>3312</v>
      </c>
      <c r="R878" t="s">
        <v>918</v>
      </c>
      <c r="S878" t="s">
        <v>1098</v>
      </c>
      <c r="T878" t="s">
        <v>3383</v>
      </c>
      <c r="V878" t="s">
        <v>1113</v>
      </c>
      <c r="AE878" t="s">
        <v>478</v>
      </c>
      <c r="AL878" t="s">
        <v>919</v>
      </c>
      <c r="AM878" t="s">
        <v>919</v>
      </c>
      <c r="AO878" t="s">
        <v>480</v>
      </c>
      <c r="AP878" t="s">
        <v>481</v>
      </c>
      <c r="BF878" s="1" t="s">
        <v>1077</v>
      </c>
      <c r="BH878" t="s">
        <v>1029</v>
      </c>
      <c r="BP878" t="s">
        <v>1489</v>
      </c>
    </row>
    <row r="879" spans="1:68" x14ac:dyDescent="0.25">
      <c r="A879" t="s">
        <v>5713</v>
      </c>
      <c r="B879" t="s">
        <v>474</v>
      </c>
      <c r="C879" t="s">
        <v>1486</v>
      </c>
      <c r="E879" t="s">
        <v>475</v>
      </c>
      <c r="G879" s="1" t="s">
        <v>3379</v>
      </c>
      <c r="H879" t="s">
        <v>820</v>
      </c>
      <c r="J879">
        <v>612000</v>
      </c>
      <c r="M879">
        <v>3312</v>
      </c>
      <c r="R879" t="s">
        <v>918</v>
      </c>
      <c r="S879" t="s">
        <v>1116</v>
      </c>
      <c r="T879" t="s">
        <v>3384</v>
      </c>
      <c r="V879" t="s">
        <v>1114</v>
      </c>
      <c r="AE879" t="s">
        <v>478</v>
      </c>
      <c r="AL879" t="s">
        <v>919</v>
      </c>
      <c r="AM879" t="s">
        <v>919</v>
      </c>
      <c r="AO879" t="s">
        <v>480</v>
      </c>
      <c r="AP879" t="s">
        <v>481</v>
      </c>
      <c r="BF879" s="1" t="s">
        <v>1077</v>
      </c>
      <c r="BH879" t="s">
        <v>1029</v>
      </c>
      <c r="BP879" t="s">
        <v>1489</v>
      </c>
    </row>
    <row r="880" spans="1:68" x14ac:dyDescent="0.25">
      <c r="A880" t="s">
        <v>5713</v>
      </c>
      <c r="B880" t="s">
        <v>474</v>
      </c>
      <c r="C880" t="s">
        <v>1486</v>
      </c>
      <c r="E880" t="s">
        <v>475</v>
      </c>
      <c r="G880" s="1" t="s">
        <v>3379</v>
      </c>
      <c r="H880" t="s">
        <v>960</v>
      </c>
      <c r="J880">
        <v>612000</v>
      </c>
      <c r="M880">
        <v>3312</v>
      </c>
      <c r="R880" t="s">
        <v>918</v>
      </c>
      <c r="S880" t="s">
        <v>1116</v>
      </c>
      <c r="T880" t="s">
        <v>3384</v>
      </c>
      <c r="V880" t="s">
        <v>1115</v>
      </c>
      <c r="AE880" t="s">
        <v>478</v>
      </c>
      <c r="AL880" t="s">
        <v>919</v>
      </c>
      <c r="AM880" t="s">
        <v>919</v>
      </c>
      <c r="AO880" t="s">
        <v>480</v>
      </c>
      <c r="AP880" t="s">
        <v>481</v>
      </c>
      <c r="BF880" s="1" t="s">
        <v>1077</v>
      </c>
      <c r="BH880" t="s">
        <v>1029</v>
      </c>
      <c r="BP880" t="s">
        <v>1489</v>
      </c>
    </row>
    <row r="881" spans="1:68" x14ac:dyDescent="0.25">
      <c r="A881" t="s">
        <v>5713</v>
      </c>
      <c r="B881" t="s">
        <v>474</v>
      </c>
      <c r="C881" t="s">
        <v>1486</v>
      </c>
      <c r="E881" t="s">
        <v>475</v>
      </c>
      <c r="G881" s="1" t="s">
        <v>3379</v>
      </c>
      <c r="H881" t="s">
        <v>965</v>
      </c>
      <c r="J881">
        <v>612000</v>
      </c>
      <c r="M881">
        <v>3312</v>
      </c>
      <c r="R881" t="s">
        <v>918</v>
      </c>
      <c r="S881" t="s">
        <v>1093</v>
      </c>
      <c r="T881" t="s">
        <v>3380</v>
      </c>
      <c r="V881" t="s">
        <v>1117</v>
      </c>
      <c r="AE881" t="s">
        <v>478</v>
      </c>
      <c r="AL881" t="s">
        <v>919</v>
      </c>
      <c r="AM881" t="s">
        <v>919</v>
      </c>
      <c r="AO881" t="s">
        <v>480</v>
      </c>
      <c r="AP881" t="s">
        <v>481</v>
      </c>
      <c r="BF881" s="1" t="s">
        <v>1077</v>
      </c>
      <c r="BH881" t="s">
        <v>1029</v>
      </c>
      <c r="BP881" t="s">
        <v>1489</v>
      </c>
    </row>
    <row r="882" spans="1:68" x14ac:dyDescent="0.25">
      <c r="A882" t="s">
        <v>5713</v>
      </c>
      <c r="B882" t="s">
        <v>474</v>
      </c>
      <c r="C882" t="s">
        <v>1486</v>
      </c>
      <c r="E882" t="s">
        <v>475</v>
      </c>
      <c r="G882" s="1" t="s">
        <v>3379</v>
      </c>
      <c r="H882" t="s">
        <v>961</v>
      </c>
      <c r="J882">
        <v>612000</v>
      </c>
      <c r="M882">
        <v>3312</v>
      </c>
      <c r="R882" t="s">
        <v>918</v>
      </c>
      <c r="S882" t="s">
        <v>1095</v>
      </c>
      <c r="T882" t="s">
        <v>3381</v>
      </c>
      <c r="V882" t="s">
        <v>1118</v>
      </c>
      <c r="AE882" t="s">
        <v>478</v>
      </c>
      <c r="AL882" t="s">
        <v>919</v>
      </c>
      <c r="AM882" t="s">
        <v>919</v>
      </c>
      <c r="AO882" t="s">
        <v>480</v>
      </c>
      <c r="AP882" t="s">
        <v>481</v>
      </c>
      <c r="BF882" s="1" t="s">
        <v>1077</v>
      </c>
      <c r="BH882" t="s">
        <v>1029</v>
      </c>
      <c r="BP882" t="s">
        <v>1489</v>
      </c>
    </row>
    <row r="883" spans="1:68" x14ac:dyDescent="0.25">
      <c r="A883" t="s">
        <v>5713</v>
      </c>
      <c r="B883" t="s">
        <v>474</v>
      </c>
      <c r="C883" t="s">
        <v>1486</v>
      </c>
      <c r="E883" t="s">
        <v>475</v>
      </c>
      <c r="G883" s="1" t="s">
        <v>3379</v>
      </c>
      <c r="H883" t="s">
        <v>966</v>
      </c>
      <c r="J883">
        <v>612000</v>
      </c>
      <c r="M883">
        <v>3312</v>
      </c>
      <c r="R883" t="s">
        <v>918</v>
      </c>
      <c r="S883" t="s">
        <v>3385</v>
      </c>
      <c r="T883" t="s">
        <v>3386</v>
      </c>
      <c r="V883" t="s">
        <v>1119</v>
      </c>
      <c r="AE883" t="s">
        <v>478</v>
      </c>
      <c r="AL883" t="s">
        <v>919</v>
      </c>
      <c r="AM883" t="s">
        <v>919</v>
      </c>
      <c r="AO883" t="s">
        <v>480</v>
      </c>
      <c r="AP883" t="s">
        <v>481</v>
      </c>
      <c r="BF883" s="1" t="s">
        <v>1077</v>
      </c>
      <c r="BH883" t="s">
        <v>1029</v>
      </c>
      <c r="BP883" t="s">
        <v>1489</v>
      </c>
    </row>
    <row r="884" spans="1:68" x14ac:dyDescent="0.25">
      <c r="A884" t="s">
        <v>5713</v>
      </c>
      <c r="B884" t="s">
        <v>474</v>
      </c>
      <c r="C884" t="s">
        <v>1486</v>
      </c>
      <c r="E884" t="s">
        <v>475</v>
      </c>
      <c r="G884" s="1" t="s">
        <v>3379</v>
      </c>
      <c r="H884" t="s">
        <v>967</v>
      </c>
      <c r="J884">
        <v>612000</v>
      </c>
      <c r="M884">
        <v>3312</v>
      </c>
      <c r="R884" t="s">
        <v>918</v>
      </c>
      <c r="S884" t="s">
        <v>3387</v>
      </c>
      <c r="T884" t="s">
        <v>3388</v>
      </c>
      <c r="V884" t="s">
        <v>1120</v>
      </c>
      <c r="AE884" t="s">
        <v>478</v>
      </c>
      <c r="AL884" t="s">
        <v>919</v>
      </c>
      <c r="AM884" t="s">
        <v>919</v>
      </c>
      <c r="AO884" t="s">
        <v>480</v>
      </c>
      <c r="AP884" t="s">
        <v>481</v>
      </c>
      <c r="BF884" s="1" t="s">
        <v>1077</v>
      </c>
      <c r="BH884" t="s">
        <v>1029</v>
      </c>
      <c r="BP884" t="s">
        <v>1489</v>
      </c>
    </row>
    <row r="885" spans="1:68" x14ac:dyDescent="0.25">
      <c r="A885" t="s">
        <v>5713</v>
      </c>
      <c r="B885" t="s">
        <v>474</v>
      </c>
      <c r="C885" t="s">
        <v>1486</v>
      </c>
      <c r="E885" t="s">
        <v>475</v>
      </c>
      <c r="G885" s="1" t="s">
        <v>3379</v>
      </c>
      <c r="H885" t="s">
        <v>962</v>
      </c>
      <c r="J885">
        <v>612000</v>
      </c>
      <c r="M885">
        <v>3312</v>
      </c>
      <c r="R885" t="s">
        <v>918</v>
      </c>
      <c r="S885" t="s">
        <v>3389</v>
      </c>
      <c r="T885" t="s">
        <v>3390</v>
      </c>
      <c r="V885" t="s">
        <v>1121</v>
      </c>
      <c r="AE885" t="s">
        <v>478</v>
      </c>
      <c r="AL885" t="s">
        <v>919</v>
      </c>
      <c r="AM885" t="s">
        <v>919</v>
      </c>
      <c r="AO885" t="s">
        <v>480</v>
      </c>
      <c r="AP885" t="s">
        <v>481</v>
      </c>
      <c r="BF885" s="1" t="s">
        <v>1077</v>
      </c>
      <c r="BH885" t="s">
        <v>1029</v>
      </c>
      <c r="BP885" t="s">
        <v>1489</v>
      </c>
    </row>
    <row r="886" spans="1:68" x14ac:dyDescent="0.25">
      <c r="A886" t="s">
        <v>5713</v>
      </c>
      <c r="B886" t="s">
        <v>474</v>
      </c>
      <c r="C886" t="s">
        <v>1486</v>
      </c>
      <c r="E886" t="s">
        <v>475</v>
      </c>
      <c r="G886" s="1" t="s">
        <v>3379</v>
      </c>
      <c r="H886" t="s">
        <v>968</v>
      </c>
      <c r="J886">
        <v>612000</v>
      </c>
      <c r="M886">
        <v>3312</v>
      </c>
      <c r="R886" t="s">
        <v>918</v>
      </c>
      <c r="S886" t="s">
        <v>1103</v>
      </c>
      <c r="T886" t="s">
        <v>1397</v>
      </c>
      <c r="V886" t="s">
        <v>1123</v>
      </c>
      <c r="AE886" t="s">
        <v>478</v>
      </c>
      <c r="AL886" t="s">
        <v>919</v>
      </c>
      <c r="AM886" t="s">
        <v>919</v>
      </c>
      <c r="AO886" t="s">
        <v>480</v>
      </c>
      <c r="AP886" t="s">
        <v>481</v>
      </c>
      <c r="BF886" s="1" t="s">
        <v>1077</v>
      </c>
      <c r="BH886" t="s">
        <v>1029</v>
      </c>
      <c r="BP886" t="s">
        <v>1489</v>
      </c>
    </row>
    <row r="887" spans="1:68" x14ac:dyDescent="0.25">
      <c r="A887" t="s">
        <v>5713</v>
      </c>
      <c r="B887" t="s">
        <v>474</v>
      </c>
      <c r="C887" t="s">
        <v>1486</v>
      </c>
      <c r="E887" t="s">
        <v>475</v>
      </c>
      <c r="G887" s="1" t="s">
        <v>3379</v>
      </c>
      <c r="H887" t="s">
        <v>969</v>
      </c>
      <c r="J887">
        <v>612000</v>
      </c>
      <c r="M887">
        <v>3312</v>
      </c>
      <c r="R887" t="s">
        <v>918</v>
      </c>
      <c r="S887" t="s">
        <v>1093</v>
      </c>
      <c r="T887" t="s">
        <v>3380</v>
      </c>
      <c r="V887" t="s">
        <v>1124</v>
      </c>
      <c r="AE887" t="s">
        <v>478</v>
      </c>
      <c r="AL887" t="s">
        <v>919</v>
      </c>
      <c r="AM887" t="s">
        <v>919</v>
      </c>
      <c r="AO887" t="s">
        <v>480</v>
      </c>
      <c r="AP887" t="s">
        <v>481</v>
      </c>
      <c r="BF887" s="1" t="s">
        <v>1077</v>
      </c>
      <c r="BH887" t="s">
        <v>1029</v>
      </c>
      <c r="BP887" t="s">
        <v>1489</v>
      </c>
    </row>
    <row r="888" spans="1:68" x14ac:dyDescent="0.25">
      <c r="A888" t="s">
        <v>5713</v>
      </c>
      <c r="B888" t="s">
        <v>474</v>
      </c>
      <c r="C888" t="s">
        <v>1486</v>
      </c>
      <c r="E888" t="s">
        <v>475</v>
      </c>
      <c r="G888" s="1" t="s">
        <v>3379</v>
      </c>
      <c r="H888" t="s">
        <v>963</v>
      </c>
      <c r="J888">
        <v>612000</v>
      </c>
      <c r="M888">
        <v>3312</v>
      </c>
      <c r="R888" t="s">
        <v>918</v>
      </c>
      <c r="S888" t="s">
        <v>1093</v>
      </c>
      <c r="T888" t="s">
        <v>3380</v>
      </c>
      <c r="V888" t="s">
        <v>1125</v>
      </c>
      <c r="AE888" t="s">
        <v>478</v>
      </c>
      <c r="AL888" t="s">
        <v>919</v>
      </c>
      <c r="AM888" t="s">
        <v>919</v>
      </c>
      <c r="AO888" t="s">
        <v>480</v>
      </c>
      <c r="AP888" t="s">
        <v>481</v>
      </c>
      <c r="BF888" s="1" t="s">
        <v>1077</v>
      </c>
      <c r="BH888" t="s">
        <v>1029</v>
      </c>
      <c r="BP888" t="s">
        <v>1489</v>
      </c>
    </row>
    <row r="889" spans="1:68" x14ac:dyDescent="0.25">
      <c r="A889" t="s">
        <v>5713</v>
      </c>
      <c r="B889" t="s">
        <v>474</v>
      </c>
      <c r="C889" t="s">
        <v>1486</v>
      </c>
      <c r="E889" t="s">
        <v>475</v>
      </c>
      <c r="G889" s="1" t="s">
        <v>3379</v>
      </c>
      <c r="H889" t="s">
        <v>964</v>
      </c>
      <c r="J889">
        <v>612000</v>
      </c>
      <c r="M889">
        <v>3312</v>
      </c>
      <c r="R889" t="s">
        <v>918</v>
      </c>
      <c r="S889" t="s">
        <v>1103</v>
      </c>
      <c r="T889" t="s">
        <v>1397</v>
      </c>
      <c r="V889" t="s">
        <v>1126</v>
      </c>
      <c r="AE889" t="s">
        <v>478</v>
      </c>
      <c r="AL889" t="s">
        <v>919</v>
      </c>
      <c r="AM889" t="s">
        <v>919</v>
      </c>
      <c r="AO889" t="s">
        <v>480</v>
      </c>
      <c r="AP889" t="s">
        <v>481</v>
      </c>
      <c r="BF889" s="1" t="s">
        <v>1077</v>
      </c>
      <c r="BH889" t="s">
        <v>1029</v>
      </c>
      <c r="BP889" t="s">
        <v>1489</v>
      </c>
    </row>
    <row r="890" spans="1:68" x14ac:dyDescent="0.25">
      <c r="A890" t="s">
        <v>5713</v>
      </c>
      <c r="B890" t="s">
        <v>474</v>
      </c>
      <c r="C890" t="s">
        <v>1486</v>
      </c>
      <c r="E890" t="s">
        <v>475</v>
      </c>
      <c r="G890" s="1" t="s">
        <v>3379</v>
      </c>
      <c r="H890" t="s">
        <v>1127</v>
      </c>
      <c r="J890">
        <v>612000</v>
      </c>
      <c r="M890">
        <v>3312</v>
      </c>
      <c r="R890" t="s">
        <v>918</v>
      </c>
      <c r="S890" t="s">
        <v>1093</v>
      </c>
      <c r="T890" t="s">
        <v>3380</v>
      </c>
      <c r="V890" t="s">
        <v>1128</v>
      </c>
      <c r="AE890" t="s">
        <v>478</v>
      </c>
      <c r="AL890" t="s">
        <v>919</v>
      </c>
      <c r="AM890" t="s">
        <v>919</v>
      </c>
      <c r="AO890" t="s">
        <v>480</v>
      </c>
      <c r="AP890" t="s">
        <v>481</v>
      </c>
      <c r="BF890" s="1" t="s">
        <v>1077</v>
      </c>
      <c r="BH890" t="s">
        <v>1029</v>
      </c>
      <c r="BP890" t="s">
        <v>1489</v>
      </c>
    </row>
    <row r="891" spans="1:68" x14ac:dyDescent="0.25">
      <c r="A891" t="s">
        <v>5713</v>
      </c>
      <c r="B891" t="s">
        <v>474</v>
      </c>
      <c r="C891" t="s">
        <v>1486</v>
      </c>
      <c r="E891" t="s">
        <v>475</v>
      </c>
      <c r="G891" s="1" t="s">
        <v>3379</v>
      </c>
      <c r="H891" t="s">
        <v>970</v>
      </c>
      <c r="J891">
        <v>612000</v>
      </c>
      <c r="M891">
        <v>3312</v>
      </c>
      <c r="R891" t="s">
        <v>918</v>
      </c>
      <c r="S891" t="s">
        <v>1095</v>
      </c>
      <c r="T891" t="s">
        <v>3381</v>
      </c>
      <c r="V891" t="s">
        <v>1129</v>
      </c>
      <c r="AE891" t="s">
        <v>478</v>
      </c>
      <c r="AL891" t="s">
        <v>919</v>
      </c>
      <c r="AM891" t="s">
        <v>919</v>
      </c>
      <c r="AO891" t="s">
        <v>480</v>
      </c>
      <c r="AP891" t="s">
        <v>481</v>
      </c>
      <c r="BF891" s="1" t="s">
        <v>1077</v>
      </c>
      <c r="BH891" t="s">
        <v>1029</v>
      </c>
      <c r="BP891" t="s">
        <v>1489</v>
      </c>
    </row>
    <row r="892" spans="1:68" x14ac:dyDescent="0.25">
      <c r="A892" t="s">
        <v>5713</v>
      </c>
      <c r="B892" t="s">
        <v>474</v>
      </c>
      <c r="C892" t="s">
        <v>1486</v>
      </c>
      <c r="E892" t="s">
        <v>475</v>
      </c>
      <c r="G892" s="1" t="s">
        <v>3379</v>
      </c>
      <c r="H892" t="s">
        <v>971</v>
      </c>
      <c r="J892">
        <v>612000</v>
      </c>
      <c r="M892">
        <v>3312</v>
      </c>
      <c r="R892" t="s">
        <v>918</v>
      </c>
      <c r="S892" t="s">
        <v>1116</v>
      </c>
      <c r="T892" t="s">
        <v>3384</v>
      </c>
      <c r="V892" t="s">
        <v>1130</v>
      </c>
      <c r="AE892" t="s">
        <v>478</v>
      </c>
      <c r="AL892" t="s">
        <v>919</v>
      </c>
      <c r="AM892" t="s">
        <v>919</v>
      </c>
      <c r="AO892" t="s">
        <v>480</v>
      </c>
      <c r="AP892" t="s">
        <v>481</v>
      </c>
      <c r="BF892" s="1" t="s">
        <v>1077</v>
      </c>
      <c r="BH892" t="s">
        <v>1029</v>
      </c>
      <c r="BP892" t="s">
        <v>1489</v>
      </c>
    </row>
    <row r="893" spans="1:68" x14ac:dyDescent="0.25">
      <c r="A893" t="s">
        <v>5713</v>
      </c>
      <c r="B893" t="s">
        <v>474</v>
      </c>
      <c r="C893" t="s">
        <v>1486</v>
      </c>
      <c r="E893" t="s">
        <v>475</v>
      </c>
      <c r="G893" s="1" t="s">
        <v>3379</v>
      </c>
      <c r="H893" t="s">
        <v>972</v>
      </c>
      <c r="J893">
        <v>612000</v>
      </c>
      <c r="M893">
        <v>3312</v>
      </c>
      <c r="R893" t="s">
        <v>918</v>
      </c>
      <c r="S893" t="s">
        <v>1116</v>
      </c>
      <c r="T893" t="s">
        <v>3384</v>
      </c>
      <c r="V893" t="s">
        <v>1131</v>
      </c>
      <c r="AE893" t="s">
        <v>478</v>
      </c>
      <c r="AL893" t="s">
        <v>919</v>
      </c>
      <c r="AM893" t="s">
        <v>919</v>
      </c>
      <c r="AO893" t="s">
        <v>480</v>
      </c>
      <c r="AP893" t="s">
        <v>481</v>
      </c>
      <c r="BF893" s="1" t="s">
        <v>1077</v>
      </c>
      <c r="BH893" t="s">
        <v>1029</v>
      </c>
      <c r="BP893" t="s">
        <v>1489</v>
      </c>
    </row>
    <row r="894" spans="1:68" x14ac:dyDescent="0.25">
      <c r="A894" t="s">
        <v>5713</v>
      </c>
      <c r="B894" t="s">
        <v>474</v>
      </c>
      <c r="C894" t="s">
        <v>1486</v>
      </c>
      <c r="E894" t="s">
        <v>475</v>
      </c>
      <c r="G894" s="1" t="s">
        <v>3379</v>
      </c>
      <c r="H894" t="s">
        <v>973</v>
      </c>
      <c r="J894">
        <v>612000</v>
      </c>
      <c r="M894">
        <v>3312</v>
      </c>
      <c r="R894" t="s">
        <v>918</v>
      </c>
      <c r="S894" t="s">
        <v>1116</v>
      </c>
      <c r="T894" t="s">
        <v>3384</v>
      </c>
      <c r="V894" t="s">
        <v>1132</v>
      </c>
      <c r="AE894" t="s">
        <v>478</v>
      </c>
      <c r="AL894" t="s">
        <v>919</v>
      </c>
      <c r="AM894" t="s">
        <v>919</v>
      </c>
      <c r="AO894" t="s">
        <v>480</v>
      </c>
      <c r="AP894" t="s">
        <v>481</v>
      </c>
      <c r="BF894" s="1" t="s">
        <v>1077</v>
      </c>
      <c r="BH894" t="s">
        <v>1029</v>
      </c>
      <c r="BP894" t="s">
        <v>1489</v>
      </c>
    </row>
    <row r="895" spans="1:68" x14ac:dyDescent="0.25">
      <c r="A895" t="s">
        <v>5713</v>
      </c>
      <c r="B895" t="s">
        <v>474</v>
      </c>
      <c r="C895" t="s">
        <v>1486</v>
      </c>
      <c r="E895" t="s">
        <v>475</v>
      </c>
      <c r="G895" s="1" t="s">
        <v>3379</v>
      </c>
      <c r="H895" t="s">
        <v>1133</v>
      </c>
      <c r="J895">
        <v>612000</v>
      </c>
      <c r="M895">
        <v>3312</v>
      </c>
      <c r="R895" t="s">
        <v>918</v>
      </c>
      <c r="S895" t="s">
        <v>3385</v>
      </c>
      <c r="T895" t="s">
        <v>3386</v>
      </c>
      <c r="V895" t="s">
        <v>1134</v>
      </c>
      <c r="AE895" t="s">
        <v>478</v>
      </c>
      <c r="AL895" t="s">
        <v>919</v>
      </c>
      <c r="AM895" t="s">
        <v>919</v>
      </c>
      <c r="AO895" t="s">
        <v>480</v>
      </c>
      <c r="AP895" t="s">
        <v>481</v>
      </c>
      <c r="BF895" s="1" t="s">
        <v>1077</v>
      </c>
      <c r="BH895" t="s">
        <v>1029</v>
      </c>
      <c r="BP895" t="s">
        <v>1489</v>
      </c>
    </row>
    <row r="896" spans="1:68" x14ac:dyDescent="0.25">
      <c r="A896" t="s">
        <v>5713</v>
      </c>
      <c r="B896" t="s">
        <v>474</v>
      </c>
      <c r="C896" t="s">
        <v>1486</v>
      </c>
      <c r="E896" t="s">
        <v>475</v>
      </c>
      <c r="G896" s="1" t="s">
        <v>3379</v>
      </c>
      <c r="H896" t="s">
        <v>974</v>
      </c>
      <c r="J896">
        <v>612000</v>
      </c>
      <c r="M896">
        <v>3312</v>
      </c>
      <c r="R896" t="s">
        <v>918</v>
      </c>
      <c r="S896" t="s">
        <v>1093</v>
      </c>
      <c r="T896" t="s">
        <v>3380</v>
      </c>
      <c r="V896" t="s">
        <v>1135</v>
      </c>
      <c r="AE896" t="s">
        <v>478</v>
      </c>
      <c r="AL896" t="s">
        <v>919</v>
      </c>
      <c r="AM896" t="s">
        <v>919</v>
      </c>
      <c r="AO896" t="s">
        <v>480</v>
      </c>
      <c r="AP896" t="s">
        <v>481</v>
      </c>
      <c r="BF896" s="1" t="s">
        <v>1077</v>
      </c>
      <c r="BH896" t="s">
        <v>1029</v>
      </c>
      <c r="BP896" t="s">
        <v>1489</v>
      </c>
    </row>
    <row r="897" spans="1:68" x14ac:dyDescent="0.25">
      <c r="A897" t="s">
        <v>5713</v>
      </c>
      <c r="B897" t="s">
        <v>474</v>
      </c>
      <c r="C897" t="s">
        <v>1486</v>
      </c>
      <c r="E897" t="s">
        <v>475</v>
      </c>
      <c r="G897" s="1" t="s">
        <v>3379</v>
      </c>
      <c r="H897" t="s">
        <v>975</v>
      </c>
      <c r="J897">
        <v>612000</v>
      </c>
      <c r="M897">
        <v>3312</v>
      </c>
      <c r="R897" t="s">
        <v>918</v>
      </c>
      <c r="S897" t="s">
        <v>1093</v>
      </c>
      <c r="T897" t="s">
        <v>3380</v>
      </c>
      <c r="V897" t="s">
        <v>1136</v>
      </c>
      <c r="AE897" t="s">
        <v>478</v>
      </c>
      <c r="AL897" t="s">
        <v>919</v>
      </c>
      <c r="AM897" t="s">
        <v>919</v>
      </c>
      <c r="AO897" t="s">
        <v>480</v>
      </c>
      <c r="AP897" t="s">
        <v>481</v>
      </c>
      <c r="BF897" s="1" t="s">
        <v>1077</v>
      </c>
      <c r="BH897" t="s">
        <v>1029</v>
      </c>
      <c r="BP897" t="s">
        <v>1489</v>
      </c>
    </row>
    <row r="898" spans="1:68" x14ac:dyDescent="0.25">
      <c r="A898" t="s">
        <v>5713</v>
      </c>
      <c r="B898" t="s">
        <v>474</v>
      </c>
      <c r="C898" t="s">
        <v>1486</v>
      </c>
      <c r="E898" t="s">
        <v>475</v>
      </c>
      <c r="G898" s="1" t="s">
        <v>3379</v>
      </c>
      <c r="H898" t="s">
        <v>976</v>
      </c>
      <c r="J898">
        <v>612000</v>
      </c>
      <c r="M898">
        <v>3312</v>
      </c>
      <c r="R898" t="s">
        <v>918</v>
      </c>
      <c r="S898" t="s">
        <v>1103</v>
      </c>
      <c r="T898" t="s">
        <v>1397</v>
      </c>
      <c r="V898" t="s">
        <v>1137</v>
      </c>
      <c r="AE898" t="s">
        <v>478</v>
      </c>
      <c r="AL898" t="s">
        <v>919</v>
      </c>
      <c r="AM898" t="s">
        <v>919</v>
      </c>
      <c r="AO898" t="s">
        <v>480</v>
      </c>
      <c r="AP898" t="s">
        <v>481</v>
      </c>
      <c r="BF898" s="1" t="s">
        <v>1077</v>
      </c>
      <c r="BH898" t="s">
        <v>1029</v>
      </c>
      <c r="BP898" t="s">
        <v>1489</v>
      </c>
    </row>
    <row r="899" spans="1:68" x14ac:dyDescent="0.25">
      <c r="A899" t="s">
        <v>5713</v>
      </c>
      <c r="B899" t="s">
        <v>474</v>
      </c>
      <c r="C899" t="s">
        <v>1486</v>
      </c>
      <c r="E899" t="s">
        <v>475</v>
      </c>
      <c r="G899" s="1" t="s">
        <v>3379</v>
      </c>
      <c r="H899" t="s">
        <v>977</v>
      </c>
      <c r="J899">
        <v>612000</v>
      </c>
      <c r="M899">
        <v>3312</v>
      </c>
      <c r="R899" t="s">
        <v>918</v>
      </c>
      <c r="S899" t="s">
        <v>1093</v>
      </c>
      <c r="T899" t="s">
        <v>3380</v>
      </c>
      <c r="V899" t="s">
        <v>1138</v>
      </c>
      <c r="AE899" t="s">
        <v>478</v>
      </c>
      <c r="AL899" t="s">
        <v>919</v>
      </c>
      <c r="AM899" t="s">
        <v>919</v>
      </c>
      <c r="AO899" t="s">
        <v>480</v>
      </c>
      <c r="AP899" t="s">
        <v>481</v>
      </c>
      <c r="BF899" s="1" t="s">
        <v>1077</v>
      </c>
      <c r="BH899" t="s">
        <v>1029</v>
      </c>
      <c r="BP899" t="s">
        <v>1489</v>
      </c>
    </row>
    <row r="900" spans="1:68" x14ac:dyDescent="0.25">
      <c r="A900" t="s">
        <v>5713</v>
      </c>
      <c r="B900" t="s">
        <v>474</v>
      </c>
      <c r="C900" t="s">
        <v>1486</v>
      </c>
      <c r="E900" t="s">
        <v>475</v>
      </c>
      <c r="G900" s="1" t="s">
        <v>3379</v>
      </c>
      <c r="H900" t="s">
        <v>1139</v>
      </c>
      <c r="J900">
        <v>612000</v>
      </c>
      <c r="M900">
        <v>3312</v>
      </c>
      <c r="R900" t="s">
        <v>918</v>
      </c>
      <c r="S900" t="s">
        <v>1093</v>
      </c>
      <c r="T900" t="s">
        <v>3380</v>
      </c>
      <c r="V900" t="s">
        <v>1140</v>
      </c>
      <c r="AE900" t="s">
        <v>478</v>
      </c>
      <c r="AL900" t="s">
        <v>919</v>
      </c>
      <c r="AM900" t="s">
        <v>919</v>
      </c>
      <c r="AO900" t="s">
        <v>480</v>
      </c>
      <c r="AP900" t="s">
        <v>481</v>
      </c>
      <c r="BF900" s="1" t="s">
        <v>1077</v>
      </c>
      <c r="BH900" t="s">
        <v>1029</v>
      </c>
      <c r="BP900" t="s">
        <v>1489</v>
      </c>
    </row>
    <row r="901" spans="1:68" x14ac:dyDescent="0.25">
      <c r="A901" t="s">
        <v>5713</v>
      </c>
      <c r="B901" t="s">
        <v>474</v>
      </c>
      <c r="C901" t="s">
        <v>1486</v>
      </c>
      <c r="E901" t="s">
        <v>475</v>
      </c>
      <c r="G901" s="1" t="s">
        <v>3379</v>
      </c>
      <c r="H901" t="s">
        <v>978</v>
      </c>
      <c r="J901">
        <v>612000</v>
      </c>
      <c r="M901">
        <v>3312</v>
      </c>
      <c r="R901" t="s">
        <v>918</v>
      </c>
      <c r="S901" t="s">
        <v>1093</v>
      </c>
      <c r="T901" t="s">
        <v>3380</v>
      </c>
      <c r="V901" t="s">
        <v>1141</v>
      </c>
      <c r="AE901" t="s">
        <v>478</v>
      </c>
      <c r="AL901" t="s">
        <v>919</v>
      </c>
      <c r="AM901" t="s">
        <v>919</v>
      </c>
      <c r="AO901" t="s">
        <v>480</v>
      </c>
      <c r="AP901" t="s">
        <v>481</v>
      </c>
      <c r="BF901" s="1" t="s">
        <v>1077</v>
      </c>
      <c r="BH901" t="s">
        <v>1029</v>
      </c>
      <c r="BP901" t="s">
        <v>1489</v>
      </c>
    </row>
    <row r="902" spans="1:68" x14ac:dyDescent="0.25">
      <c r="A902" t="s">
        <v>5713</v>
      </c>
      <c r="B902" t="s">
        <v>474</v>
      </c>
      <c r="C902" t="s">
        <v>1486</v>
      </c>
      <c r="E902" t="s">
        <v>475</v>
      </c>
      <c r="G902" s="1" t="s">
        <v>3379</v>
      </c>
      <c r="H902" t="s">
        <v>979</v>
      </c>
      <c r="J902">
        <v>612000</v>
      </c>
      <c r="M902">
        <v>3312</v>
      </c>
      <c r="R902" t="s">
        <v>918</v>
      </c>
      <c r="S902" t="s">
        <v>1093</v>
      </c>
      <c r="T902" t="s">
        <v>3380</v>
      </c>
      <c r="V902" t="s">
        <v>1142</v>
      </c>
      <c r="AE902" t="s">
        <v>478</v>
      </c>
      <c r="AL902" t="s">
        <v>919</v>
      </c>
      <c r="AM902" t="s">
        <v>919</v>
      </c>
      <c r="AO902" t="s">
        <v>480</v>
      </c>
      <c r="AP902" t="s">
        <v>481</v>
      </c>
      <c r="BF902" s="1" t="s">
        <v>1077</v>
      </c>
      <c r="BH902" t="s">
        <v>1029</v>
      </c>
      <c r="BP902" t="s">
        <v>1489</v>
      </c>
    </row>
    <row r="903" spans="1:68" x14ac:dyDescent="0.25">
      <c r="A903" t="s">
        <v>5713</v>
      </c>
      <c r="B903" t="s">
        <v>474</v>
      </c>
      <c r="C903" t="s">
        <v>1486</v>
      </c>
      <c r="E903" t="s">
        <v>475</v>
      </c>
      <c r="G903" s="1" t="s">
        <v>3379</v>
      </c>
      <c r="H903" t="s">
        <v>1143</v>
      </c>
      <c r="J903">
        <v>612000</v>
      </c>
      <c r="M903">
        <v>3312</v>
      </c>
      <c r="R903" t="s">
        <v>918</v>
      </c>
      <c r="S903" t="s">
        <v>1093</v>
      </c>
      <c r="T903" t="s">
        <v>3380</v>
      </c>
      <c r="V903" t="s">
        <v>1144</v>
      </c>
      <c r="AE903" t="s">
        <v>478</v>
      </c>
      <c r="AL903" t="s">
        <v>919</v>
      </c>
      <c r="AM903" t="s">
        <v>919</v>
      </c>
      <c r="AO903" t="s">
        <v>480</v>
      </c>
      <c r="AP903" t="s">
        <v>481</v>
      </c>
      <c r="BF903" s="1" t="s">
        <v>1077</v>
      </c>
      <c r="BH903" t="s">
        <v>1029</v>
      </c>
      <c r="BP903" t="s">
        <v>1489</v>
      </c>
    </row>
    <row r="904" spans="1:68" x14ac:dyDescent="0.25">
      <c r="A904" t="s">
        <v>5713</v>
      </c>
      <c r="B904" t="s">
        <v>474</v>
      </c>
      <c r="C904" t="s">
        <v>1486</v>
      </c>
      <c r="E904" t="s">
        <v>475</v>
      </c>
      <c r="G904" s="1" t="s">
        <v>3391</v>
      </c>
      <c r="H904" t="s">
        <v>959</v>
      </c>
      <c r="J904">
        <v>612000</v>
      </c>
      <c r="M904">
        <v>3312</v>
      </c>
      <c r="R904" t="s">
        <v>918</v>
      </c>
      <c r="S904" t="s">
        <v>3392</v>
      </c>
      <c r="T904" t="s">
        <v>3393</v>
      </c>
      <c r="V904" t="s">
        <v>3394</v>
      </c>
      <c r="AE904" t="s">
        <v>478</v>
      </c>
      <c r="AL904" t="s">
        <v>919</v>
      </c>
      <c r="AM904" t="s">
        <v>919</v>
      </c>
      <c r="AO904" t="s">
        <v>480</v>
      </c>
      <c r="AP904" t="s">
        <v>481</v>
      </c>
      <c r="BF904" s="1" t="s">
        <v>1077</v>
      </c>
      <c r="BH904" t="s">
        <v>1029</v>
      </c>
      <c r="BP904" t="s">
        <v>1489</v>
      </c>
    </row>
    <row r="905" spans="1:68" x14ac:dyDescent="0.25">
      <c r="A905" t="s">
        <v>5713</v>
      </c>
      <c r="B905" t="s">
        <v>474</v>
      </c>
      <c r="C905" t="s">
        <v>1486</v>
      </c>
      <c r="E905" t="s">
        <v>475</v>
      </c>
      <c r="G905" s="1" t="s">
        <v>3391</v>
      </c>
      <c r="H905" t="s">
        <v>492</v>
      </c>
      <c r="J905">
        <v>612000</v>
      </c>
      <c r="M905">
        <v>3312</v>
      </c>
      <c r="R905" t="s">
        <v>918</v>
      </c>
      <c r="S905" t="s">
        <v>3395</v>
      </c>
      <c r="T905" t="s">
        <v>3396</v>
      </c>
      <c r="V905" t="s">
        <v>3397</v>
      </c>
      <c r="AE905" t="s">
        <v>478</v>
      </c>
      <c r="AL905" t="s">
        <v>919</v>
      </c>
      <c r="AM905" t="s">
        <v>919</v>
      </c>
      <c r="AO905" t="s">
        <v>480</v>
      </c>
      <c r="AP905" t="s">
        <v>481</v>
      </c>
      <c r="BF905" s="1" t="s">
        <v>1077</v>
      </c>
      <c r="BH905" t="s">
        <v>1029</v>
      </c>
      <c r="BP905" t="s">
        <v>1489</v>
      </c>
    </row>
    <row r="906" spans="1:68" x14ac:dyDescent="0.25">
      <c r="A906" t="s">
        <v>5713</v>
      </c>
      <c r="B906" t="s">
        <v>474</v>
      </c>
      <c r="C906" t="s">
        <v>1486</v>
      </c>
      <c r="E906" t="s">
        <v>475</v>
      </c>
      <c r="G906" s="1" t="s">
        <v>3391</v>
      </c>
      <c r="H906" t="s">
        <v>500</v>
      </c>
      <c r="J906">
        <v>612000</v>
      </c>
      <c r="M906">
        <v>3312</v>
      </c>
      <c r="R906" t="s">
        <v>918</v>
      </c>
      <c r="S906" t="s">
        <v>3398</v>
      </c>
      <c r="T906" t="s">
        <v>2637</v>
      </c>
      <c r="V906" t="s">
        <v>3399</v>
      </c>
      <c r="AE906" t="s">
        <v>478</v>
      </c>
      <c r="AL906" t="s">
        <v>919</v>
      </c>
      <c r="AM906" t="s">
        <v>919</v>
      </c>
      <c r="AO906" t="s">
        <v>480</v>
      </c>
      <c r="AP906" t="s">
        <v>481</v>
      </c>
      <c r="BF906" s="1" t="s">
        <v>1077</v>
      </c>
      <c r="BH906" t="s">
        <v>1029</v>
      </c>
      <c r="BP906" t="s">
        <v>1489</v>
      </c>
    </row>
    <row r="907" spans="1:68" x14ac:dyDescent="0.25">
      <c r="A907" t="s">
        <v>5713</v>
      </c>
      <c r="B907" t="s">
        <v>474</v>
      </c>
      <c r="C907" t="s">
        <v>1486</v>
      </c>
      <c r="E907" t="s">
        <v>475</v>
      </c>
      <c r="G907" s="1" t="s">
        <v>3391</v>
      </c>
      <c r="H907" t="s">
        <v>537</v>
      </c>
      <c r="J907">
        <v>612000</v>
      </c>
      <c r="M907">
        <v>3312</v>
      </c>
      <c r="R907" t="s">
        <v>918</v>
      </c>
      <c r="S907" t="s">
        <v>3392</v>
      </c>
      <c r="T907" t="s">
        <v>3393</v>
      </c>
      <c r="V907" t="s">
        <v>3400</v>
      </c>
      <c r="AE907" t="s">
        <v>478</v>
      </c>
      <c r="AL907" t="s">
        <v>919</v>
      </c>
      <c r="AM907" t="s">
        <v>919</v>
      </c>
      <c r="AO907" t="s">
        <v>480</v>
      </c>
      <c r="AP907" t="s">
        <v>481</v>
      </c>
      <c r="BF907" s="1" t="s">
        <v>1077</v>
      </c>
      <c r="BH907" t="s">
        <v>1029</v>
      </c>
      <c r="BP907" t="s">
        <v>1489</v>
      </c>
    </row>
    <row r="908" spans="1:68" x14ac:dyDescent="0.25">
      <c r="A908" t="s">
        <v>5713</v>
      </c>
      <c r="B908" t="s">
        <v>474</v>
      </c>
      <c r="C908" t="s">
        <v>1486</v>
      </c>
      <c r="E908" t="s">
        <v>475</v>
      </c>
      <c r="G908" s="1" t="s">
        <v>3391</v>
      </c>
      <c r="H908" t="s">
        <v>546</v>
      </c>
      <c r="J908">
        <v>612000</v>
      </c>
      <c r="M908">
        <v>3312</v>
      </c>
      <c r="R908" t="s">
        <v>918</v>
      </c>
      <c r="S908" t="s">
        <v>3401</v>
      </c>
      <c r="T908" t="s">
        <v>3402</v>
      </c>
      <c r="V908" t="s">
        <v>3403</v>
      </c>
      <c r="AE908" t="s">
        <v>478</v>
      </c>
      <c r="AL908" t="s">
        <v>919</v>
      </c>
      <c r="AM908" t="s">
        <v>919</v>
      </c>
      <c r="AO908" t="s">
        <v>480</v>
      </c>
      <c r="AP908" t="s">
        <v>481</v>
      </c>
      <c r="BF908" s="1" t="s">
        <v>1077</v>
      </c>
      <c r="BH908" t="s">
        <v>1029</v>
      </c>
      <c r="BP908" t="s">
        <v>1489</v>
      </c>
    </row>
    <row r="909" spans="1:68" x14ac:dyDescent="0.25">
      <c r="A909" t="s">
        <v>5713</v>
      </c>
      <c r="B909" t="s">
        <v>474</v>
      </c>
      <c r="C909" t="s">
        <v>1486</v>
      </c>
      <c r="E909" t="s">
        <v>475</v>
      </c>
      <c r="G909" s="1" t="s">
        <v>3391</v>
      </c>
      <c r="H909" t="s">
        <v>553</v>
      </c>
      <c r="J909">
        <v>612000</v>
      </c>
      <c r="M909">
        <v>3312</v>
      </c>
      <c r="R909" t="s">
        <v>918</v>
      </c>
      <c r="S909" t="s">
        <v>3395</v>
      </c>
      <c r="T909" t="s">
        <v>3396</v>
      </c>
      <c r="V909" t="s">
        <v>3404</v>
      </c>
      <c r="AE909" t="s">
        <v>478</v>
      </c>
      <c r="AL909" t="s">
        <v>919</v>
      </c>
      <c r="AM909" t="s">
        <v>919</v>
      </c>
      <c r="AO909" t="s">
        <v>480</v>
      </c>
      <c r="AP909" t="s">
        <v>481</v>
      </c>
      <c r="BF909" s="1" t="s">
        <v>1077</v>
      </c>
      <c r="BH909" t="s">
        <v>1029</v>
      </c>
      <c r="BP909" t="s">
        <v>1489</v>
      </c>
    </row>
    <row r="910" spans="1:68" x14ac:dyDescent="0.25">
      <c r="A910" t="s">
        <v>5713</v>
      </c>
      <c r="B910" t="s">
        <v>474</v>
      </c>
      <c r="C910" t="s">
        <v>1486</v>
      </c>
      <c r="E910" t="s">
        <v>475</v>
      </c>
      <c r="G910" s="1" t="s">
        <v>3391</v>
      </c>
      <c r="H910" t="s">
        <v>559</v>
      </c>
      <c r="J910">
        <v>612000</v>
      </c>
      <c r="M910">
        <v>3312</v>
      </c>
      <c r="R910" t="s">
        <v>918</v>
      </c>
      <c r="S910" t="s">
        <v>3395</v>
      </c>
      <c r="T910" t="s">
        <v>3396</v>
      </c>
      <c r="V910" t="s">
        <v>3405</v>
      </c>
      <c r="AE910" t="s">
        <v>478</v>
      </c>
      <c r="AL910" t="s">
        <v>919</v>
      </c>
      <c r="AM910" t="s">
        <v>919</v>
      </c>
      <c r="AO910" t="s">
        <v>480</v>
      </c>
      <c r="AP910" t="s">
        <v>481</v>
      </c>
      <c r="BF910" s="1" t="s">
        <v>1077</v>
      </c>
      <c r="BH910" t="s">
        <v>1029</v>
      </c>
      <c r="BP910" t="s">
        <v>1489</v>
      </c>
    </row>
    <row r="911" spans="1:68" x14ac:dyDescent="0.25">
      <c r="A911" t="s">
        <v>5713</v>
      </c>
      <c r="B911" t="s">
        <v>474</v>
      </c>
      <c r="C911" t="s">
        <v>1486</v>
      </c>
      <c r="E911" t="s">
        <v>475</v>
      </c>
      <c r="G911" s="1" t="s">
        <v>3391</v>
      </c>
      <c r="H911" t="s">
        <v>564</v>
      </c>
      <c r="J911">
        <v>612000</v>
      </c>
      <c r="M911">
        <v>3312</v>
      </c>
      <c r="R911" t="s">
        <v>918</v>
      </c>
      <c r="S911" t="s">
        <v>3395</v>
      </c>
      <c r="T911" t="s">
        <v>3396</v>
      </c>
      <c r="V911" t="s">
        <v>3406</v>
      </c>
      <c r="AE911" t="s">
        <v>478</v>
      </c>
      <c r="AL911" t="s">
        <v>919</v>
      </c>
      <c r="AM911" t="s">
        <v>919</v>
      </c>
      <c r="AO911" t="s">
        <v>480</v>
      </c>
      <c r="AP911" t="s">
        <v>481</v>
      </c>
      <c r="BF911" s="1" t="s">
        <v>1077</v>
      </c>
      <c r="BH911" t="s">
        <v>1029</v>
      </c>
      <c r="BP911" t="s">
        <v>1489</v>
      </c>
    </row>
    <row r="912" spans="1:68" x14ac:dyDescent="0.25">
      <c r="A912" t="s">
        <v>5713</v>
      </c>
      <c r="B912" t="s">
        <v>474</v>
      </c>
      <c r="C912" t="s">
        <v>1486</v>
      </c>
      <c r="E912" t="s">
        <v>475</v>
      </c>
      <c r="G912" s="1" t="s">
        <v>3391</v>
      </c>
      <c r="H912" t="s">
        <v>571</v>
      </c>
      <c r="J912">
        <v>612000</v>
      </c>
      <c r="M912">
        <v>3312</v>
      </c>
      <c r="R912" t="s">
        <v>918</v>
      </c>
      <c r="S912" t="s">
        <v>3407</v>
      </c>
      <c r="T912" t="s">
        <v>1078</v>
      </c>
      <c r="V912" t="s">
        <v>3408</v>
      </c>
      <c r="AE912" t="s">
        <v>478</v>
      </c>
      <c r="AL912" t="s">
        <v>919</v>
      </c>
      <c r="AM912" t="s">
        <v>919</v>
      </c>
      <c r="AO912" t="s">
        <v>480</v>
      </c>
      <c r="AP912" t="s">
        <v>481</v>
      </c>
      <c r="BF912" s="1" t="s">
        <v>1077</v>
      </c>
      <c r="BH912" t="s">
        <v>1029</v>
      </c>
      <c r="BP912" t="s">
        <v>1489</v>
      </c>
    </row>
    <row r="913" spans="1:68" x14ac:dyDescent="0.25">
      <c r="A913" t="s">
        <v>5713</v>
      </c>
      <c r="B913" t="s">
        <v>474</v>
      </c>
      <c r="C913" t="s">
        <v>1486</v>
      </c>
      <c r="E913" t="s">
        <v>475</v>
      </c>
      <c r="G913" s="1" t="s">
        <v>3409</v>
      </c>
      <c r="H913" t="s">
        <v>959</v>
      </c>
      <c r="J913">
        <v>612000</v>
      </c>
      <c r="M913">
        <v>3312</v>
      </c>
      <c r="R913" t="s">
        <v>918</v>
      </c>
      <c r="S913" t="s">
        <v>1079</v>
      </c>
      <c r="T913" t="s">
        <v>1080</v>
      </c>
      <c r="V913" t="s">
        <v>3394</v>
      </c>
      <c r="AE913" t="s">
        <v>478</v>
      </c>
      <c r="AL913" t="s">
        <v>919</v>
      </c>
      <c r="AM913" t="s">
        <v>919</v>
      </c>
      <c r="AO913" t="s">
        <v>480</v>
      </c>
      <c r="AP913" t="s">
        <v>481</v>
      </c>
      <c r="BF913" s="1" t="s">
        <v>1077</v>
      </c>
      <c r="BH913" t="s">
        <v>1029</v>
      </c>
      <c r="BP913" t="s">
        <v>1489</v>
      </c>
    </row>
    <row r="914" spans="1:68" x14ac:dyDescent="0.25">
      <c r="A914" t="s">
        <v>5713</v>
      </c>
      <c r="B914" t="s">
        <v>474</v>
      </c>
      <c r="C914" t="s">
        <v>1486</v>
      </c>
      <c r="E914" t="s">
        <v>475</v>
      </c>
      <c r="G914" s="1" t="s">
        <v>3409</v>
      </c>
      <c r="H914" t="s">
        <v>492</v>
      </c>
      <c r="J914">
        <v>612000</v>
      </c>
      <c r="M914">
        <v>3312</v>
      </c>
      <c r="R914" t="s">
        <v>918</v>
      </c>
      <c r="S914" t="s">
        <v>1079</v>
      </c>
      <c r="T914" t="s">
        <v>1080</v>
      </c>
      <c r="V914" t="s">
        <v>3397</v>
      </c>
      <c r="AE914" t="s">
        <v>478</v>
      </c>
      <c r="AL914" t="s">
        <v>919</v>
      </c>
      <c r="AM914" t="s">
        <v>919</v>
      </c>
      <c r="AO914" t="s">
        <v>480</v>
      </c>
      <c r="AP914" t="s">
        <v>481</v>
      </c>
      <c r="BF914" s="1" t="s">
        <v>1077</v>
      </c>
      <c r="BH914" t="s">
        <v>1029</v>
      </c>
      <c r="BP914" t="s">
        <v>1489</v>
      </c>
    </row>
    <row r="915" spans="1:68" x14ac:dyDescent="0.25">
      <c r="A915" t="s">
        <v>5713</v>
      </c>
      <c r="B915" t="s">
        <v>474</v>
      </c>
      <c r="C915" t="s">
        <v>1486</v>
      </c>
      <c r="E915" t="s">
        <v>475</v>
      </c>
      <c r="G915" s="1" t="s">
        <v>3409</v>
      </c>
      <c r="H915" t="s">
        <v>500</v>
      </c>
      <c r="J915">
        <v>612000</v>
      </c>
      <c r="M915">
        <v>3312</v>
      </c>
      <c r="R915" t="s">
        <v>918</v>
      </c>
      <c r="S915" t="s">
        <v>1079</v>
      </c>
      <c r="T915" t="s">
        <v>1080</v>
      </c>
      <c r="V915" t="s">
        <v>3399</v>
      </c>
      <c r="AE915" t="s">
        <v>478</v>
      </c>
      <c r="AL915" t="s">
        <v>919</v>
      </c>
      <c r="AM915" t="s">
        <v>919</v>
      </c>
      <c r="AO915" t="s">
        <v>480</v>
      </c>
      <c r="AP915" t="s">
        <v>481</v>
      </c>
      <c r="BF915" s="1" t="s">
        <v>1077</v>
      </c>
      <c r="BH915" t="s">
        <v>1029</v>
      </c>
      <c r="BP915" t="s">
        <v>1489</v>
      </c>
    </row>
    <row r="916" spans="1:68" x14ac:dyDescent="0.25">
      <c r="A916" t="s">
        <v>5713</v>
      </c>
      <c r="B916" t="s">
        <v>474</v>
      </c>
      <c r="C916" t="s">
        <v>1486</v>
      </c>
      <c r="E916" t="s">
        <v>475</v>
      </c>
      <c r="G916" s="1" t="s">
        <v>3409</v>
      </c>
      <c r="H916" t="s">
        <v>537</v>
      </c>
      <c r="J916">
        <v>612000</v>
      </c>
      <c r="M916">
        <v>3312</v>
      </c>
      <c r="R916" t="s">
        <v>918</v>
      </c>
      <c r="S916" t="s">
        <v>1079</v>
      </c>
      <c r="T916" t="s">
        <v>1080</v>
      </c>
      <c r="V916" t="s">
        <v>3400</v>
      </c>
      <c r="AE916" t="s">
        <v>478</v>
      </c>
      <c r="AL916" t="s">
        <v>919</v>
      </c>
      <c r="AM916" t="s">
        <v>919</v>
      </c>
      <c r="AO916" t="s">
        <v>480</v>
      </c>
      <c r="AP916" t="s">
        <v>481</v>
      </c>
      <c r="BF916" s="1" t="s">
        <v>1077</v>
      </c>
      <c r="BH916" t="s">
        <v>1029</v>
      </c>
      <c r="BP916" t="s">
        <v>1489</v>
      </c>
    </row>
    <row r="917" spans="1:68" x14ac:dyDescent="0.25">
      <c r="A917" t="s">
        <v>5713</v>
      </c>
      <c r="B917" t="s">
        <v>474</v>
      </c>
      <c r="C917" t="s">
        <v>1486</v>
      </c>
      <c r="E917" t="s">
        <v>475</v>
      </c>
      <c r="G917" s="1" t="s">
        <v>3409</v>
      </c>
      <c r="H917" t="s">
        <v>546</v>
      </c>
      <c r="J917">
        <v>612000</v>
      </c>
      <c r="M917">
        <v>3312</v>
      </c>
      <c r="R917" t="s">
        <v>918</v>
      </c>
      <c r="S917" t="s">
        <v>1079</v>
      </c>
      <c r="T917" t="s">
        <v>1080</v>
      </c>
      <c r="V917" t="s">
        <v>3403</v>
      </c>
      <c r="AE917" t="s">
        <v>478</v>
      </c>
      <c r="AL917" t="s">
        <v>919</v>
      </c>
      <c r="AM917" t="s">
        <v>919</v>
      </c>
      <c r="AO917" t="s">
        <v>480</v>
      </c>
      <c r="AP917" t="s">
        <v>481</v>
      </c>
      <c r="BF917" s="1" t="s">
        <v>1077</v>
      </c>
      <c r="BH917" t="s">
        <v>1029</v>
      </c>
      <c r="BP917" t="s">
        <v>1489</v>
      </c>
    </row>
    <row r="918" spans="1:68" x14ac:dyDescent="0.25">
      <c r="A918" t="s">
        <v>5713</v>
      </c>
      <c r="B918" t="s">
        <v>474</v>
      </c>
      <c r="C918" t="s">
        <v>1486</v>
      </c>
      <c r="E918" t="s">
        <v>475</v>
      </c>
      <c r="G918" s="1" t="s">
        <v>3409</v>
      </c>
      <c r="H918" t="s">
        <v>553</v>
      </c>
      <c r="J918">
        <v>612000</v>
      </c>
      <c r="M918">
        <v>3312</v>
      </c>
      <c r="R918" t="s">
        <v>918</v>
      </c>
      <c r="S918" t="s">
        <v>1079</v>
      </c>
      <c r="T918" t="s">
        <v>1080</v>
      </c>
      <c r="V918" t="s">
        <v>3404</v>
      </c>
      <c r="AE918" t="s">
        <v>478</v>
      </c>
      <c r="AL918" t="s">
        <v>919</v>
      </c>
      <c r="AM918" t="s">
        <v>919</v>
      </c>
      <c r="AO918" t="s">
        <v>480</v>
      </c>
      <c r="AP918" t="s">
        <v>481</v>
      </c>
      <c r="BF918" s="1" t="s">
        <v>1077</v>
      </c>
      <c r="BH918" t="s">
        <v>1029</v>
      </c>
      <c r="BP918" t="s">
        <v>1489</v>
      </c>
    </row>
    <row r="919" spans="1:68" x14ac:dyDescent="0.25">
      <c r="A919" t="s">
        <v>5713</v>
      </c>
      <c r="B919" t="s">
        <v>474</v>
      </c>
      <c r="C919" t="s">
        <v>1486</v>
      </c>
      <c r="E919" t="s">
        <v>475</v>
      </c>
      <c r="G919" s="1" t="s">
        <v>3409</v>
      </c>
      <c r="H919" t="s">
        <v>559</v>
      </c>
      <c r="J919">
        <v>612000</v>
      </c>
      <c r="M919">
        <v>3312</v>
      </c>
      <c r="R919" t="s">
        <v>918</v>
      </c>
      <c r="S919" t="s">
        <v>1079</v>
      </c>
      <c r="T919" t="s">
        <v>1080</v>
      </c>
      <c r="V919" t="s">
        <v>3405</v>
      </c>
      <c r="AE919" t="s">
        <v>478</v>
      </c>
      <c r="AL919" t="s">
        <v>919</v>
      </c>
      <c r="AM919" t="s">
        <v>919</v>
      </c>
      <c r="AO919" t="s">
        <v>480</v>
      </c>
      <c r="AP919" t="s">
        <v>481</v>
      </c>
      <c r="BF919" s="1" t="s">
        <v>1077</v>
      </c>
      <c r="BH919" t="s">
        <v>1029</v>
      </c>
      <c r="BP919" t="s">
        <v>1489</v>
      </c>
    </row>
    <row r="920" spans="1:68" x14ac:dyDescent="0.25">
      <c r="A920" t="s">
        <v>5713</v>
      </c>
      <c r="B920" t="s">
        <v>474</v>
      </c>
      <c r="C920" t="s">
        <v>1486</v>
      </c>
      <c r="E920" t="s">
        <v>475</v>
      </c>
      <c r="G920" s="1" t="s">
        <v>3409</v>
      </c>
      <c r="H920" t="s">
        <v>564</v>
      </c>
      <c r="J920">
        <v>612000</v>
      </c>
      <c r="M920">
        <v>3312</v>
      </c>
      <c r="R920" t="s">
        <v>918</v>
      </c>
      <c r="S920" t="s">
        <v>1079</v>
      </c>
      <c r="T920" t="s">
        <v>1080</v>
      </c>
      <c r="V920" t="s">
        <v>3406</v>
      </c>
      <c r="AE920" t="s">
        <v>478</v>
      </c>
      <c r="AL920" t="s">
        <v>919</v>
      </c>
      <c r="AM920" t="s">
        <v>919</v>
      </c>
      <c r="AO920" t="s">
        <v>480</v>
      </c>
      <c r="AP920" t="s">
        <v>481</v>
      </c>
      <c r="BF920" s="1" t="s">
        <v>1077</v>
      </c>
      <c r="BH920" t="s">
        <v>1029</v>
      </c>
      <c r="BP920" t="s">
        <v>1489</v>
      </c>
    </row>
    <row r="921" spans="1:68" x14ac:dyDescent="0.25">
      <c r="A921" t="s">
        <v>5713</v>
      </c>
      <c r="B921" t="s">
        <v>474</v>
      </c>
      <c r="C921" t="s">
        <v>1486</v>
      </c>
      <c r="E921" t="s">
        <v>475</v>
      </c>
      <c r="G921" s="1" t="s">
        <v>3409</v>
      </c>
      <c r="H921" t="s">
        <v>571</v>
      </c>
      <c r="J921">
        <v>612000</v>
      </c>
      <c r="M921">
        <v>3312</v>
      </c>
      <c r="R921" t="s">
        <v>918</v>
      </c>
      <c r="S921" t="s">
        <v>1079</v>
      </c>
      <c r="T921" t="s">
        <v>1080</v>
      </c>
      <c r="V921" t="s">
        <v>3408</v>
      </c>
      <c r="AE921" t="s">
        <v>478</v>
      </c>
      <c r="AL921" t="s">
        <v>919</v>
      </c>
      <c r="AM921" t="s">
        <v>919</v>
      </c>
      <c r="AO921" t="s">
        <v>480</v>
      </c>
      <c r="AP921" t="s">
        <v>481</v>
      </c>
      <c r="BF921" s="1" t="s">
        <v>1077</v>
      </c>
      <c r="BH921" t="s">
        <v>1029</v>
      </c>
      <c r="BP921" t="s">
        <v>1489</v>
      </c>
    </row>
    <row r="922" spans="1:68" x14ac:dyDescent="0.25">
      <c r="A922" t="s">
        <v>5713</v>
      </c>
      <c r="B922" t="s">
        <v>474</v>
      </c>
      <c r="C922" t="s">
        <v>1486</v>
      </c>
      <c r="E922" t="s">
        <v>475</v>
      </c>
      <c r="G922" s="1" t="s">
        <v>3410</v>
      </c>
      <c r="H922" t="s">
        <v>959</v>
      </c>
      <c r="J922">
        <v>667011</v>
      </c>
      <c r="M922">
        <v>3312</v>
      </c>
      <c r="R922" t="s">
        <v>918</v>
      </c>
      <c r="S922" t="s">
        <v>3411</v>
      </c>
      <c r="T922" t="s">
        <v>3412</v>
      </c>
      <c r="V922" t="s">
        <v>3413</v>
      </c>
      <c r="AE922" t="s">
        <v>478</v>
      </c>
      <c r="AL922" t="s">
        <v>919</v>
      </c>
      <c r="AM922" t="s">
        <v>919</v>
      </c>
      <c r="AO922" t="s">
        <v>480</v>
      </c>
      <c r="AP922" t="s">
        <v>481</v>
      </c>
      <c r="BF922" s="1" t="s">
        <v>1055</v>
      </c>
      <c r="BH922" t="s">
        <v>1029</v>
      </c>
      <c r="BP922" t="s">
        <v>1489</v>
      </c>
    </row>
    <row r="923" spans="1:68" x14ac:dyDescent="0.25">
      <c r="A923" t="s">
        <v>5713</v>
      </c>
      <c r="B923" t="s">
        <v>474</v>
      </c>
      <c r="C923" t="s">
        <v>1486</v>
      </c>
      <c r="E923" t="s">
        <v>475</v>
      </c>
      <c r="G923" s="1" t="s">
        <v>3410</v>
      </c>
      <c r="H923" t="s">
        <v>492</v>
      </c>
      <c r="J923">
        <v>667011</v>
      </c>
      <c r="M923">
        <v>1213</v>
      </c>
      <c r="R923" t="s">
        <v>918</v>
      </c>
      <c r="S923" t="s">
        <v>3414</v>
      </c>
      <c r="T923" t="s">
        <v>3415</v>
      </c>
      <c r="V923" t="s">
        <v>3416</v>
      </c>
      <c r="AE923" t="s">
        <v>478</v>
      </c>
      <c r="AL923" t="s">
        <v>919</v>
      </c>
      <c r="AM923" t="s">
        <v>919</v>
      </c>
      <c r="AO923" t="s">
        <v>480</v>
      </c>
      <c r="AP923" t="s">
        <v>481</v>
      </c>
      <c r="BF923" s="1" t="s">
        <v>1056</v>
      </c>
      <c r="BH923" t="s">
        <v>1029</v>
      </c>
      <c r="BP923" t="s">
        <v>1489</v>
      </c>
    </row>
    <row r="924" spans="1:68" x14ac:dyDescent="0.25">
      <c r="A924" t="s">
        <v>5713</v>
      </c>
      <c r="B924" t="s">
        <v>474</v>
      </c>
      <c r="C924" t="s">
        <v>1486</v>
      </c>
      <c r="E924" t="s">
        <v>475</v>
      </c>
      <c r="G924" s="1" t="s">
        <v>3417</v>
      </c>
      <c r="H924" t="s">
        <v>959</v>
      </c>
      <c r="J924">
        <v>624142</v>
      </c>
      <c r="M924">
        <v>1213</v>
      </c>
      <c r="R924" t="s">
        <v>918</v>
      </c>
      <c r="S924" t="s">
        <v>3418</v>
      </c>
      <c r="T924" t="s">
        <v>3419</v>
      </c>
      <c r="V924" t="s">
        <v>3420</v>
      </c>
      <c r="AE924" t="s">
        <v>478</v>
      </c>
      <c r="AL924" t="s">
        <v>919</v>
      </c>
      <c r="AM924" t="s">
        <v>919</v>
      </c>
      <c r="AO924" t="s">
        <v>480</v>
      </c>
      <c r="AP924" t="s">
        <v>481</v>
      </c>
      <c r="BF924" s="1" t="s">
        <v>1060</v>
      </c>
      <c r="BH924" t="s">
        <v>1029</v>
      </c>
      <c r="BP924" t="s">
        <v>1489</v>
      </c>
    </row>
    <row r="925" spans="1:68" x14ac:dyDescent="0.25">
      <c r="A925" t="s">
        <v>5713</v>
      </c>
      <c r="B925" t="s">
        <v>474</v>
      </c>
      <c r="C925" t="s">
        <v>1486</v>
      </c>
      <c r="E925" t="s">
        <v>475</v>
      </c>
      <c r="G925" s="1" t="s">
        <v>3417</v>
      </c>
      <c r="H925" t="s">
        <v>500</v>
      </c>
      <c r="J925">
        <v>624142</v>
      </c>
      <c r="M925">
        <v>1213</v>
      </c>
      <c r="R925" t="s">
        <v>918</v>
      </c>
      <c r="S925" t="s">
        <v>3421</v>
      </c>
      <c r="T925" t="s">
        <v>3422</v>
      </c>
      <c r="V925" t="s">
        <v>3423</v>
      </c>
      <c r="AE925" t="s">
        <v>478</v>
      </c>
      <c r="AL925" t="s">
        <v>919</v>
      </c>
      <c r="AM925" t="s">
        <v>919</v>
      </c>
      <c r="AO925" t="s">
        <v>480</v>
      </c>
      <c r="AP925" t="s">
        <v>481</v>
      </c>
      <c r="BF925" s="1" t="s">
        <v>1060</v>
      </c>
      <c r="BH925" t="s">
        <v>1029</v>
      </c>
      <c r="BP925" t="s">
        <v>1489</v>
      </c>
    </row>
    <row r="926" spans="1:68" x14ac:dyDescent="0.25">
      <c r="A926" t="s">
        <v>5713</v>
      </c>
      <c r="B926" t="s">
        <v>474</v>
      </c>
      <c r="C926" t="s">
        <v>1486</v>
      </c>
      <c r="E926" t="s">
        <v>475</v>
      </c>
      <c r="G926" s="1" t="s">
        <v>3417</v>
      </c>
      <c r="H926" t="s">
        <v>546</v>
      </c>
      <c r="J926">
        <v>612100</v>
      </c>
      <c r="M926" t="s">
        <v>1058</v>
      </c>
      <c r="R926" t="s">
        <v>918</v>
      </c>
      <c r="S926" t="s">
        <v>3424</v>
      </c>
      <c r="T926" t="s">
        <v>3425</v>
      </c>
      <c r="V926" t="s">
        <v>3426</v>
      </c>
      <c r="AE926" t="s">
        <v>478</v>
      </c>
      <c r="AL926" t="s">
        <v>919</v>
      </c>
      <c r="AM926" t="s">
        <v>919</v>
      </c>
      <c r="AO926" t="s">
        <v>480</v>
      </c>
      <c r="AP926" t="s">
        <v>481</v>
      </c>
      <c r="BF926" s="1" t="s">
        <v>1059</v>
      </c>
      <c r="BH926" t="s">
        <v>1029</v>
      </c>
      <c r="BP926" t="s">
        <v>1489</v>
      </c>
    </row>
    <row r="927" spans="1:68" x14ac:dyDescent="0.25">
      <c r="A927" t="s">
        <v>5713</v>
      </c>
      <c r="B927" t="s">
        <v>474</v>
      </c>
      <c r="C927" t="s">
        <v>1486</v>
      </c>
      <c r="E927" t="s">
        <v>475</v>
      </c>
      <c r="G927" s="1" t="s">
        <v>3417</v>
      </c>
      <c r="H927" t="s">
        <v>559</v>
      </c>
      <c r="J927">
        <v>662502</v>
      </c>
      <c r="M927">
        <v>1213</v>
      </c>
      <c r="R927" t="s">
        <v>918</v>
      </c>
      <c r="S927" t="s">
        <v>1061</v>
      </c>
      <c r="T927" t="s">
        <v>3427</v>
      </c>
      <c r="V927" t="s">
        <v>3428</v>
      </c>
      <c r="AE927" t="s">
        <v>478</v>
      </c>
      <c r="AL927" t="s">
        <v>919</v>
      </c>
      <c r="AM927" t="s">
        <v>919</v>
      </c>
      <c r="AO927" t="s">
        <v>480</v>
      </c>
      <c r="AP927" t="s">
        <v>481</v>
      </c>
      <c r="BF927" s="1" t="s">
        <v>1062</v>
      </c>
      <c r="BH927" t="s">
        <v>1029</v>
      </c>
      <c r="BP927" t="s">
        <v>1489</v>
      </c>
    </row>
    <row r="928" spans="1:68" x14ac:dyDescent="0.25">
      <c r="A928" t="s">
        <v>5713</v>
      </c>
      <c r="B928" t="s">
        <v>474</v>
      </c>
      <c r="C928" t="s">
        <v>1486</v>
      </c>
      <c r="E928" t="s">
        <v>475</v>
      </c>
      <c r="G928" s="1" t="s">
        <v>3417</v>
      </c>
      <c r="H928" t="s">
        <v>564</v>
      </c>
      <c r="J928">
        <v>662502</v>
      </c>
      <c r="M928">
        <v>1213</v>
      </c>
      <c r="R928" t="s">
        <v>918</v>
      </c>
      <c r="S928" t="s">
        <v>3429</v>
      </c>
      <c r="T928" t="s">
        <v>3430</v>
      </c>
      <c r="V928" t="s">
        <v>3431</v>
      </c>
      <c r="AE928" t="s">
        <v>478</v>
      </c>
      <c r="AL928" t="s">
        <v>919</v>
      </c>
      <c r="AM928" t="s">
        <v>919</v>
      </c>
      <c r="AO928" t="s">
        <v>480</v>
      </c>
      <c r="AP928" t="s">
        <v>481</v>
      </c>
      <c r="BF928" s="1" t="s">
        <v>1062</v>
      </c>
      <c r="BH928" t="s">
        <v>1029</v>
      </c>
      <c r="BP928" t="s">
        <v>1489</v>
      </c>
    </row>
    <row r="929" spans="1:68" x14ac:dyDescent="0.25">
      <c r="A929" t="s">
        <v>5713</v>
      </c>
      <c r="B929" t="s">
        <v>474</v>
      </c>
      <c r="C929" t="s">
        <v>1486</v>
      </c>
      <c r="E929" t="s">
        <v>475</v>
      </c>
      <c r="G929" s="1" t="s">
        <v>3417</v>
      </c>
      <c r="H929" t="s">
        <v>571</v>
      </c>
      <c r="J929">
        <v>662502</v>
      </c>
      <c r="M929">
        <v>1213</v>
      </c>
      <c r="R929" t="s">
        <v>918</v>
      </c>
      <c r="S929" t="s">
        <v>1063</v>
      </c>
      <c r="T929" t="s">
        <v>3432</v>
      </c>
      <c r="V929" t="s">
        <v>3433</v>
      </c>
      <c r="AE929" t="s">
        <v>478</v>
      </c>
      <c r="AL929" t="s">
        <v>919</v>
      </c>
      <c r="AM929" t="s">
        <v>919</v>
      </c>
      <c r="AO929" t="s">
        <v>480</v>
      </c>
      <c r="AP929" t="s">
        <v>481</v>
      </c>
      <c r="BF929" s="1" t="s">
        <v>1062</v>
      </c>
      <c r="BH929" t="s">
        <v>1029</v>
      </c>
      <c r="BP929" t="s">
        <v>1489</v>
      </c>
    </row>
    <row r="930" spans="1:68" x14ac:dyDescent="0.25">
      <c r="A930" t="s">
        <v>5713</v>
      </c>
      <c r="B930" t="s">
        <v>474</v>
      </c>
      <c r="C930" t="s">
        <v>1504</v>
      </c>
      <c r="E930" t="s">
        <v>475</v>
      </c>
      <c r="G930" s="1" t="s">
        <v>3434</v>
      </c>
      <c r="H930" t="s">
        <v>959</v>
      </c>
      <c r="J930">
        <v>662702</v>
      </c>
      <c r="M930">
        <v>1213</v>
      </c>
      <c r="R930" t="s">
        <v>918</v>
      </c>
      <c r="S930" t="s">
        <v>3435</v>
      </c>
      <c r="T930" t="s">
        <v>3436</v>
      </c>
      <c r="V930" t="s">
        <v>3437</v>
      </c>
      <c r="AE930" t="s">
        <v>478</v>
      </c>
      <c r="AL930" t="s">
        <v>919</v>
      </c>
      <c r="AM930" t="s">
        <v>919</v>
      </c>
      <c r="AO930" t="s">
        <v>480</v>
      </c>
      <c r="AP930" t="s">
        <v>481</v>
      </c>
      <c r="BF930" s="1" t="s">
        <v>1024</v>
      </c>
      <c r="BH930" t="s">
        <v>1029</v>
      </c>
      <c r="BP930" t="s">
        <v>1489</v>
      </c>
    </row>
    <row r="931" spans="1:68" x14ac:dyDescent="0.25">
      <c r="A931" t="s">
        <v>5713</v>
      </c>
      <c r="B931" t="s">
        <v>474</v>
      </c>
      <c r="C931" t="s">
        <v>1504</v>
      </c>
      <c r="E931" t="s">
        <v>475</v>
      </c>
      <c r="G931" s="1" t="s">
        <v>3434</v>
      </c>
      <c r="H931" t="s">
        <v>492</v>
      </c>
      <c r="J931">
        <v>662702</v>
      </c>
      <c r="M931">
        <v>1213</v>
      </c>
      <c r="R931" t="s">
        <v>918</v>
      </c>
      <c r="S931" t="s">
        <v>3438</v>
      </c>
      <c r="T931" t="s">
        <v>3439</v>
      </c>
      <c r="V931" t="s">
        <v>3440</v>
      </c>
      <c r="AE931" t="s">
        <v>478</v>
      </c>
      <c r="AL931" t="s">
        <v>919</v>
      </c>
      <c r="AM931" t="s">
        <v>919</v>
      </c>
      <c r="AO931" t="s">
        <v>480</v>
      </c>
      <c r="AP931" t="s">
        <v>481</v>
      </c>
      <c r="BF931" s="1" t="s">
        <v>1024</v>
      </c>
      <c r="BH931" t="s">
        <v>1029</v>
      </c>
      <c r="BP931" t="s">
        <v>1489</v>
      </c>
    </row>
    <row r="932" spans="1:68" x14ac:dyDescent="0.25">
      <c r="A932" t="s">
        <v>5713</v>
      </c>
      <c r="B932" t="s">
        <v>474</v>
      </c>
      <c r="C932" t="s">
        <v>1486</v>
      </c>
      <c r="E932" t="s">
        <v>475</v>
      </c>
      <c r="G932" s="1" t="s">
        <v>3441</v>
      </c>
      <c r="H932" t="s">
        <v>959</v>
      </c>
      <c r="J932">
        <v>667011</v>
      </c>
      <c r="M932">
        <v>3312</v>
      </c>
      <c r="R932" t="s">
        <v>918</v>
      </c>
      <c r="S932" t="s">
        <v>3442</v>
      </c>
      <c r="T932" t="s">
        <v>1469</v>
      </c>
      <c r="V932" t="s">
        <v>3443</v>
      </c>
      <c r="AE932" t="s">
        <v>478</v>
      </c>
      <c r="AL932" t="s">
        <v>919</v>
      </c>
      <c r="AM932" t="s">
        <v>919</v>
      </c>
      <c r="AO932" t="s">
        <v>480</v>
      </c>
      <c r="AP932" t="s">
        <v>481</v>
      </c>
      <c r="BF932" s="1" t="s">
        <v>1055</v>
      </c>
      <c r="BH932" t="s">
        <v>1029</v>
      </c>
      <c r="BP932" t="s">
        <v>1489</v>
      </c>
    </row>
    <row r="933" spans="1:68" x14ac:dyDescent="0.25">
      <c r="A933" t="s">
        <v>5713</v>
      </c>
      <c r="B933" t="s">
        <v>474</v>
      </c>
      <c r="C933" t="s">
        <v>1486</v>
      </c>
      <c r="E933" t="s">
        <v>475</v>
      </c>
      <c r="G933" s="1" t="s">
        <v>3441</v>
      </c>
      <c r="H933" t="s">
        <v>537</v>
      </c>
      <c r="J933">
        <v>667011</v>
      </c>
      <c r="M933">
        <v>1212</v>
      </c>
      <c r="R933" t="s">
        <v>918</v>
      </c>
      <c r="S933" t="s">
        <v>3444</v>
      </c>
      <c r="T933" t="s">
        <v>3445</v>
      </c>
      <c r="V933" t="s">
        <v>3443</v>
      </c>
      <c r="AE933" t="s">
        <v>478</v>
      </c>
      <c r="AL933" t="s">
        <v>919</v>
      </c>
      <c r="AM933" t="s">
        <v>919</v>
      </c>
      <c r="AO933" t="s">
        <v>480</v>
      </c>
      <c r="AP933" t="s">
        <v>481</v>
      </c>
      <c r="BF933" s="1" t="s">
        <v>3446</v>
      </c>
      <c r="BH933" t="s">
        <v>1029</v>
      </c>
      <c r="BP933" t="s">
        <v>1489</v>
      </c>
    </row>
    <row r="934" spans="1:68" x14ac:dyDescent="0.25">
      <c r="A934" t="s">
        <v>5713</v>
      </c>
      <c r="B934" t="s">
        <v>474</v>
      </c>
      <c r="C934" t="s">
        <v>1486</v>
      </c>
      <c r="E934" t="s">
        <v>475</v>
      </c>
      <c r="G934" s="1" t="s">
        <v>3447</v>
      </c>
      <c r="H934" t="s">
        <v>959</v>
      </c>
      <c r="J934">
        <v>612100</v>
      </c>
      <c r="M934" t="s">
        <v>1058</v>
      </c>
      <c r="R934" t="s">
        <v>918</v>
      </c>
      <c r="S934" t="s">
        <v>3448</v>
      </c>
      <c r="T934" t="s">
        <v>3449</v>
      </c>
      <c r="V934" t="s">
        <v>3450</v>
      </c>
      <c r="AE934" t="s">
        <v>478</v>
      </c>
      <c r="AL934" t="s">
        <v>919</v>
      </c>
      <c r="AM934" t="s">
        <v>919</v>
      </c>
      <c r="AO934" t="s">
        <v>480</v>
      </c>
      <c r="AP934" t="s">
        <v>481</v>
      </c>
      <c r="BF934" s="1" t="s">
        <v>1059</v>
      </c>
      <c r="BH934" t="s">
        <v>1029</v>
      </c>
      <c r="BP934" t="s">
        <v>1489</v>
      </c>
    </row>
    <row r="935" spans="1:68" x14ac:dyDescent="0.25">
      <c r="A935" t="s">
        <v>5713</v>
      </c>
      <c r="B935" t="s">
        <v>474</v>
      </c>
      <c r="C935" t="s">
        <v>1486</v>
      </c>
      <c r="E935" t="s">
        <v>475</v>
      </c>
      <c r="G935" s="1" t="s">
        <v>3451</v>
      </c>
      <c r="H935" t="s">
        <v>492</v>
      </c>
      <c r="J935">
        <v>624162</v>
      </c>
      <c r="M935">
        <v>1211</v>
      </c>
      <c r="R935" t="s">
        <v>918</v>
      </c>
      <c r="S935" t="s">
        <v>3452</v>
      </c>
      <c r="T935" t="s">
        <v>3453</v>
      </c>
      <c r="V935" t="s">
        <v>3454</v>
      </c>
      <c r="AE935" t="s">
        <v>478</v>
      </c>
      <c r="AL935" t="s">
        <v>919</v>
      </c>
      <c r="AM935" t="s">
        <v>919</v>
      </c>
      <c r="AO935" t="s">
        <v>480</v>
      </c>
      <c r="AP935" t="s">
        <v>481</v>
      </c>
      <c r="BF935" s="1" t="s">
        <v>1263</v>
      </c>
      <c r="BH935" t="s">
        <v>1029</v>
      </c>
      <c r="BP935" t="s">
        <v>1489</v>
      </c>
    </row>
    <row r="936" spans="1:68" x14ac:dyDescent="0.25">
      <c r="A936" t="s">
        <v>5713</v>
      </c>
      <c r="B936" t="s">
        <v>474</v>
      </c>
      <c r="C936" t="s">
        <v>1486</v>
      </c>
      <c r="E936" t="s">
        <v>475</v>
      </c>
      <c r="G936" s="1" t="s">
        <v>3455</v>
      </c>
      <c r="H936" t="s">
        <v>959</v>
      </c>
      <c r="J936">
        <v>624134</v>
      </c>
      <c r="M936">
        <v>1213</v>
      </c>
      <c r="R936" t="s">
        <v>918</v>
      </c>
      <c r="S936" t="s">
        <v>3456</v>
      </c>
      <c r="T936" t="s">
        <v>3457</v>
      </c>
      <c r="V936" t="s">
        <v>3458</v>
      </c>
      <c r="AE936" t="s">
        <v>478</v>
      </c>
      <c r="AL936" t="s">
        <v>919</v>
      </c>
      <c r="AM936" t="s">
        <v>919</v>
      </c>
      <c r="AO936" t="s">
        <v>480</v>
      </c>
      <c r="AP936" t="s">
        <v>481</v>
      </c>
      <c r="BF936" s="1" t="s">
        <v>1085</v>
      </c>
      <c r="BH936" t="s">
        <v>1029</v>
      </c>
      <c r="BP936" t="s">
        <v>1489</v>
      </c>
    </row>
    <row r="937" spans="1:68" x14ac:dyDescent="0.25">
      <c r="A937" t="s">
        <v>5713</v>
      </c>
      <c r="B937" t="s">
        <v>474</v>
      </c>
      <c r="C937" t="s">
        <v>1486</v>
      </c>
      <c r="E937" t="s">
        <v>475</v>
      </c>
      <c r="G937" s="1" t="s">
        <v>3455</v>
      </c>
      <c r="H937" t="s">
        <v>537</v>
      </c>
      <c r="J937">
        <v>612100</v>
      </c>
      <c r="M937" t="s">
        <v>1058</v>
      </c>
      <c r="R937" t="s">
        <v>918</v>
      </c>
      <c r="S937" t="s">
        <v>3459</v>
      </c>
      <c r="T937" t="s">
        <v>3460</v>
      </c>
      <c r="V937" t="s">
        <v>3461</v>
      </c>
      <c r="AE937" t="s">
        <v>478</v>
      </c>
      <c r="AL937" t="s">
        <v>919</v>
      </c>
      <c r="AM937" t="s">
        <v>919</v>
      </c>
      <c r="AO937" t="s">
        <v>480</v>
      </c>
      <c r="AP937" t="s">
        <v>481</v>
      </c>
      <c r="BF937" s="1" t="s">
        <v>1059</v>
      </c>
      <c r="BH937" t="s">
        <v>1029</v>
      </c>
      <c r="BP937" t="s">
        <v>1489</v>
      </c>
    </row>
    <row r="938" spans="1:68" x14ac:dyDescent="0.25">
      <c r="A938" t="s">
        <v>5713</v>
      </c>
      <c r="B938" t="s">
        <v>474</v>
      </c>
      <c r="C938" t="s">
        <v>1486</v>
      </c>
      <c r="E938" t="s">
        <v>475</v>
      </c>
      <c r="G938" s="1" t="s">
        <v>3462</v>
      </c>
      <c r="H938" t="s">
        <v>959</v>
      </c>
      <c r="J938">
        <v>662402</v>
      </c>
      <c r="M938">
        <v>1213</v>
      </c>
      <c r="R938" t="s">
        <v>918</v>
      </c>
      <c r="S938" t="s">
        <v>3463</v>
      </c>
      <c r="T938" t="s">
        <v>3464</v>
      </c>
      <c r="V938" t="s">
        <v>3465</v>
      </c>
      <c r="AE938" t="s">
        <v>478</v>
      </c>
      <c r="AL938" t="s">
        <v>919</v>
      </c>
      <c r="AM938" t="s">
        <v>919</v>
      </c>
      <c r="AO938" t="s">
        <v>480</v>
      </c>
      <c r="AP938" t="s">
        <v>481</v>
      </c>
      <c r="BF938" s="1" t="s">
        <v>3466</v>
      </c>
      <c r="BH938" t="s">
        <v>1029</v>
      </c>
      <c r="BP938" t="s">
        <v>1489</v>
      </c>
    </row>
    <row r="939" spans="1:68" x14ac:dyDescent="0.25">
      <c r="A939" t="s">
        <v>5713</v>
      </c>
      <c r="B939" t="s">
        <v>474</v>
      </c>
      <c r="C939" t="s">
        <v>1486</v>
      </c>
      <c r="E939" t="s">
        <v>475</v>
      </c>
      <c r="G939" s="1" t="s">
        <v>3467</v>
      </c>
      <c r="H939" t="s">
        <v>959</v>
      </c>
      <c r="J939">
        <v>661002</v>
      </c>
      <c r="M939">
        <v>3311</v>
      </c>
      <c r="R939" t="s">
        <v>918</v>
      </c>
      <c r="S939" t="s">
        <v>3468</v>
      </c>
      <c r="T939" t="s">
        <v>3469</v>
      </c>
      <c r="V939" t="s">
        <v>3470</v>
      </c>
      <c r="AE939" t="s">
        <v>478</v>
      </c>
      <c r="AL939" t="s">
        <v>919</v>
      </c>
      <c r="AM939" t="s">
        <v>919</v>
      </c>
      <c r="AO939" t="s">
        <v>480</v>
      </c>
      <c r="AP939" t="s">
        <v>481</v>
      </c>
      <c r="BF939" s="1" t="s">
        <v>3471</v>
      </c>
      <c r="BH939" t="s">
        <v>1029</v>
      </c>
      <c r="BP939" t="s">
        <v>1489</v>
      </c>
    </row>
    <row r="940" spans="1:68" x14ac:dyDescent="0.25">
      <c r="A940" t="s">
        <v>5713</v>
      </c>
      <c r="B940" t="s">
        <v>474</v>
      </c>
      <c r="C940" t="s">
        <v>1486</v>
      </c>
      <c r="E940" t="s">
        <v>475</v>
      </c>
      <c r="G940" s="1" t="s">
        <v>3472</v>
      </c>
      <c r="H940" t="s">
        <v>492</v>
      </c>
      <c r="J940">
        <v>666020</v>
      </c>
      <c r="M940">
        <v>1213</v>
      </c>
      <c r="R940" t="s">
        <v>918</v>
      </c>
      <c r="S940" t="s">
        <v>3473</v>
      </c>
      <c r="T940" t="s">
        <v>3474</v>
      </c>
      <c r="V940" t="s">
        <v>3475</v>
      </c>
      <c r="AE940" t="s">
        <v>478</v>
      </c>
      <c r="AL940" t="s">
        <v>919</v>
      </c>
      <c r="AM940" t="s">
        <v>919</v>
      </c>
      <c r="AO940" t="s">
        <v>480</v>
      </c>
      <c r="AP940" t="s">
        <v>481</v>
      </c>
      <c r="BF940" s="1" t="s">
        <v>3476</v>
      </c>
      <c r="BH940" t="s">
        <v>1029</v>
      </c>
      <c r="BP940" t="s">
        <v>1489</v>
      </c>
    </row>
    <row r="941" spans="1:68" x14ac:dyDescent="0.25">
      <c r="A941" t="s">
        <v>5713</v>
      </c>
      <c r="B941" t="s">
        <v>474</v>
      </c>
      <c r="C941" t="s">
        <v>1486</v>
      </c>
      <c r="E941" t="s">
        <v>475</v>
      </c>
      <c r="G941" s="1" t="s">
        <v>3477</v>
      </c>
      <c r="H941" t="s">
        <v>959</v>
      </c>
      <c r="J941">
        <v>662202</v>
      </c>
      <c r="M941">
        <v>1213</v>
      </c>
      <c r="R941" t="s">
        <v>918</v>
      </c>
      <c r="S941" t="s">
        <v>1180</v>
      </c>
      <c r="T941" t="s">
        <v>3478</v>
      </c>
      <c r="V941" t="s">
        <v>3479</v>
      </c>
      <c r="AE941" t="s">
        <v>478</v>
      </c>
      <c r="AL941" t="s">
        <v>919</v>
      </c>
      <c r="AM941" t="s">
        <v>919</v>
      </c>
      <c r="AO941" t="s">
        <v>480</v>
      </c>
      <c r="AP941" t="s">
        <v>481</v>
      </c>
      <c r="BF941" s="1" t="s">
        <v>1026</v>
      </c>
      <c r="BH941" t="s">
        <v>1029</v>
      </c>
      <c r="BP941" t="s">
        <v>1489</v>
      </c>
    </row>
    <row r="942" spans="1:68" x14ac:dyDescent="0.25">
      <c r="A942" t="s">
        <v>5713</v>
      </c>
      <c r="B942" t="s">
        <v>474</v>
      </c>
      <c r="C942" t="s">
        <v>1486</v>
      </c>
      <c r="E942" t="s">
        <v>475</v>
      </c>
      <c r="G942" s="1" t="s">
        <v>3480</v>
      </c>
      <c r="H942" t="s">
        <v>959</v>
      </c>
      <c r="J942">
        <v>612000</v>
      </c>
      <c r="M942">
        <v>3312</v>
      </c>
      <c r="R942" t="s">
        <v>918</v>
      </c>
      <c r="S942" t="s">
        <v>3481</v>
      </c>
      <c r="T942" t="s">
        <v>1084</v>
      </c>
      <c r="V942" t="s">
        <v>3394</v>
      </c>
      <c r="AE942" t="s">
        <v>478</v>
      </c>
      <c r="AL942" t="s">
        <v>919</v>
      </c>
      <c r="AM942" t="s">
        <v>919</v>
      </c>
      <c r="AO942" t="s">
        <v>480</v>
      </c>
      <c r="AP942" t="s">
        <v>481</v>
      </c>
      <c r="BF942" s="1" t="s">
        <v>1077</v>
      </c>
      <c r="BH942" t="s">
        <v>1029</v>
      </c>
      <c r="BP942" t="s">
        <v>1489</v>
      </c>
    </row>
    <row r="943" spans="1:68" x14ac:dyDescent="0.25">
      <c r="A943" t="s">
        <v>5713</v>
      </c>
      <c r="B943" t="s">
        <v>474</v>
      </c>
      <c r="C943" t="s">
        <v>1486</v>
      </c>
      <c r="E943" t="s">
        <v>475</v>
      </c>
      <c r="G943" s="1" t="s">
        <v>3480</v>
      </c>
      <c r="H943" t="s">
        <v>492</v>
      </c>
      <c r="J943">
        <v>612000</v>
      </c>
      <c r="M943">
        <v>3312</v>
      </c>
      <c r="R943" t="s">
        <v>918</v>
      </c>
      <c r="S943" t="s">
        <v>3482</v>
      </c>
      <c r="T943" t="s">
        <v>929</v>
      </c>
      <c r="V943" t="s">
        <v>3400</v>
      </c>
      <c r="AE943" t="s">
        <v>478</v>
      </c>
      <c r="AL943" t="s">
        <v>919</v>
      </c>
      <c r="AM943" t="s">
        <v>919</v>
      </c>
      <c r="AO943" t="s">
        <v>480</v>
      </c>
      <c r="AP943" t="s">
        <v>481</v>
      </c>
      <c r="BF943" s="1" t="s">
        <v>1077</v>
      </c>
      <c r="BH943" t="s">
        <v>1029</v>
      </c>
      <c r="BP943" t="s">
        <v>1489</v>
      </c>
    </row>
    <row r="944" spans="1:68" x14ac:dyDescent="0.25">
      <c r="A944" t="s">
        <v>5713</v>
      </c>
      <c r="B944" t="s">
        <v>474</v>
      </c>
      <c r="C944" t="s">
        <v>1486</v>
      </c>
      <c r="E944" t="s">
        <v>475</v>
      </c>
      <c r="G944" s="1" t="s">
        <v>3480</v>
      </c>
      <c r="H944" t="s">
        <v>500</v>
      </c>
      <c r="J944">
        <v>612000</v>
      </c>
      <c r="M944">
        <v>3312</v>
      </c>
      <c r="R944" t="s">
        <v>918</v>
      </c>
      <c r="S944" t="s">
        <v>3483</v>
      </c>
      <c r="T944" t="s">
        <v>3484</v>
      </c>
      <c r="V944" t="s">
        <v>3403</v>
      </c>
      <c r="AE944" t="s">
        <v>478</v>
      </c>
      <c r="AL944" t="s">
        <v>919</v>
      </c>
      <c r="AM944" t="s">
        <v>919</v>
      </c>
      <c r="AO944" t="s">
        <v>480</v>
      </c>
      <c r="AP944" t="s">
        <v>481</v>
      </c>
      <c r="BF944" s="1" t="s">
        <v>1077</v>
      </c>
      <c r="BH944" t="s">
        <v>1029</v>
      </c>
      <c r="BP944" t="s">
        <v>1489</v>
      </c>
    </row>
    <row r="945" spans="1:68" x14ac:dyDescent="0.25">
      <c r="A945" t="s">
        <v>5713</v>
      </c>
      <c r="B945" t="s">
        <v>474</v>
      </c>
      <c r="C945" t="s">
        <v>1486</v>
      </c>
      <c r="E945" t="s">
        <v>475</v>
      </c>
      <c r="G945" s="1" t="s">
        <v>3485</v>
      </c>
      <c r="H945" t="s">
        <v>959</v>
      </c>
      <c r="J945">
        <v>662302</v>
      </c>
      <c r="M945">
        <v>1213</v>
      </c>
      <c r="R945" t="s">
        <v>918</v>
      </c>
      <c r="S945" t="s">
        <v>3486</v>
      </c>
      <c r="T945" t="s">
        <v>3487</v>
      </c>
      <c r="V945" t="s">
        <v>3488</v>
      </c>
      <c r="AE945" t="s">
        <v>478</v>
      </c>
      <c r="AL945" t="s">
        <v>919</v>
      </c>
      <c r="AM945" t="s">
        <v>919</v>
      </c>
      <c r="AO945" t="s">
        <v>480</v>
      </c>
      <c r="AP945" t="s">
        <v>481</v>
      </c>
      <c r="BF945" s="1" t="s">
        <v>1225</v>
      </c>
      <c r="BH945" t="s">
        <v>1029</v>
      </c>
      <c r="BP945" t="s">
        <v>1489</v>
      </c>
    </row>
    <row r="946" spans="1:68" x14ac:dyDescent="0.25">
      <c r="A946" t="s">
        <v>5713</v>
      </c>
      <c r="B946" t="s">
        <v>474</v>
      </c>
      <c r="C946" t="s">
        <v>1486</v>
      </c>
      <c r="E946" t="s">
        <v>475</v>
      </c>
      <c r="G946" s="1" t="s">
        <v>3485</v>
      </c>
      <c r="H946" t="s">
        <v>492</v>
      </c>
      <c r="J946">
        <v>662702</v>
      </c>
      <c r="M946">
        <v>1213</v>
      </c>
      <c r="R946" t="s">
        <v>918</v>
      </c>
      <c r="S946" t="s">
        <v>3489</v>
      </c>
      <c r="T946" t="s">
        <v>3490</v>
      </c>
      <c r="V946" t="s">
        <v>3491</v>
      </c>
      <c r="AE946" t="s">
        <v>478</v>
      </c>
      <c r="AL946" t="s">
        <v>919</v>
      </c>
      <c r="AM946" t="s">
        <v>919</v>
      </c>
      <c r="AO946" t="s">
        <v>480</v>
      </c>
      <c r="AP946" t="s">
        <v>481</v>
      </c>
      <c r="BF946" s="1" t="s">
        <v>1024</v>
      </c>
      <c r="BH946" t="s">
        <v>1029</v>
      </c>
      <c r="BP946" t="s">
        <v>1489</v>
      </c>
    </row>
    <row r="947" spans="1:68" x14ac:dyDescent="0.25">
      <c r="A947" t="s">
        <v>5713</v>
      </c>
      <c r="B947" t="s">
        <v>474</v>
      </c>
      <c r="C947" t="s">
        <v>1486</v>
      </c>
      <c r="E947" t="s">
        <v>475</v>
      </c>
      <c r="G947" s="1" t="s">
        <v>3492</v>
      </c>
      <c r="H947" t="s">
        <v>492</v>
      </c>
      <c r="J947">
        <v>662702</v>
      </c>
      <c r="M947">
        <v>1213</v>
      </c>
      <c r="R947" t="s">
        <v>918</v>
      </c>
      <c r="S947" t="s">
        <v>3493</v>
      </c>
      <c r="T947" t="s">
        <v>3494</v>
      </c>
      <c r="V947" t="s">
        <v>3495</v>
      </c>
      <c r="AE947" t="s">
        <v>478</v>
      </c>
      <c r="AL947" t="s">
        <v>919</v>
      </c>
      <c r="AM947" t="s">
        <v>919</v>
      </c>
      <c r="AO947" t="s">
        <v>480</v>
      </c>
      <c r="AP947" t="s">
        <v>481</v>
      </c>
      <c r="BF947" s="1" t="s">
        <v>1024</v>
      </c>
      <c r="BH947" t="s">
        <v>1029</v>
      </c>
      <c r="BP947" t="s">
        <v>1489</v>
      </c>
    </row>
    <row r="948" spans="1:68" x14ac:dyDescent="0.25">
      <c r="A948" t="s">
        <v>5713</v>
      </c>
      <c r="B948" t="s">
        <v>474</v>
      </c>
      <c r="C948" t="s">
        <v>1486</v>
      </c>
      <c r="E948" t="s">
        <v>475</v>
      </c>
      <c r="G948" s="1" t="s">
        <v>3492</v>
      </c>
      <c r="H948" t="s">
        <v>500</v>
      </c>
      <c r="J948">
        <v>624134</v>
      </c>
      <c r="M948">
        <v>1213</v>
      </c>
      <c r="R948" t="s">
        <v>918</v>
      </c>
      <c r="S948" t="s">
        <v>3496</v>
      </c>
      <c r="T948" t="s">
        <v>3497</v>
      </c>
      <c r="V948" t="s">
        <v>3498</v>
      </c>
      <c r="AE948" t="s">
        <v>478</v>
      </c>
      <c r="AL948" t="s">
        <v>919</v>
      </c>
      <c r="AM948" t="s">
        <v>919</v>
      </c>
      <c r="AO948" t="s">
        <v>480</v>
      </c>
      <c r="AP948" t="s">
        <v>481</v>
      </c>
      <c r="BF948" s="1" t="s">
        <v>1085</v>
      </c>
      <c r="BH948" t="s">
        <v>1029</v>
      </c>
      <c r="BP948" t="s">
        <v>1489</v>
      </c>
    </row>
    <row r="949" spans="1:68" x14ac:dyDescent="0.25">
      <c r="A949" t="s">
        <v>5713</v>
      </c>
      <c r="B949" t="s">
        <v>474</v>
      </c>
      <c r="C949" t="s">
        <v>1486</v>
      </c>
      <c r="E949" t="s">
        <v>475</v>
      </c>
      <c r="G949" s="1" t="s">
        <v>3499</v>
      </c>
      <c r="H949" t="s">
        <v>959</v>
      </c>
      <c r="J949">
        <v>662302</v>
      </c>
      <c r="M949">
        <v>1213</v>
      </c>
      <c r="R949" t="s">
        <v>918</v>
      </c>
      <c r="S949" t="s">
        <v>3500</v>
      </c>
      <c r="T949" t="s">
        <v>3501</v>
      </c>
      <c r="V949" t="s">
        <v>3502</v>
      </c>
      <c r="AE949" t="s">
        <v>478</v>
      </c>
      <c r="AL949" t="s">
        <v>919</v>
      </c>
      <c r="AM949" t="s">
        <v>919</v>
      </c>
      <c r="AO949" t="s">
        <v>480</v>
      </c>
      <c r="AP949" t="s">
        <v>481</v>
      </c>
      <c r="BF949" s="1" t="s">
        <v>1225</v>
      </c>
      <c r="BH949" t="s">
        <v>1029</v>
      </c>
      <c r="BP949" t="s">
        <v>1489</v>
      </c>
    </row>
    <row r="950" spans="1:68" x14ac:dyDescent="0.25">
      <c r="A950" t="s">
        <v>5713</v>
      </c>
      <c r="B950" t="s">
        <v>474</v>
      </c>
      <c r="C950" t="s">
        <v>1486</v>
      </c>
      <c r="E950" t="s">
        <v>475</v>
      </c>
      <c r="G950" s="1" t="s">
        <v>3499</v>
      </c>
      <c r="H950" t="s">
        <v>492</v>
      </c>
      <c r="J950">
        <v>662702</v>
      </c>
      <c r="M950">
        <v>1213</v>
      </c>
      <c r="R950" t="s">
        <v>918</v>
      </c>
      <c r="S950" t="s">
        <v>3503</v>
      </c>
      <c r="T950" t="s">
        <v>3504</v>
      </c>
      <c r="V950" t="s">
        <v>3505</v>
      </c>
      <c r="AE950" t="s">
        <v>478</v>
      </c>
      <c r="AL950" t="s">
        <v>919</v>
      </c>
      <c r="AM950" t="s">
        <v>919</v>
      </c>
      <c r="AO950" t="s">
        <v>480</v>
      </c>
      <c r="AP950" t="s">
        <v>481</v>
      </c>
      <c r="BF950" s="1" t="s">
        <v>1024</v>
      </c>
      <c r="BH950" t="s">
        <v>1029</v>
      </c>
      <c r="BP950" t="s">
        <v>1489</v>
      </c>
    </row>
    <row r="951" spans="1:68" x14ac:dyDescent="0.25">
      <c r="A951" t="s">
        <v>5713</v>
      </c>
      <c r="B951" t="s">
        <v>474</v>
      </c>
      <c r="C951" t="s">
        <v>1486</v>
      </c>
      <c r="E951" t="s">
        <v>475</v>
      </c>
      <c r="G951" s="1" t="s">
        <v>3499</v>
      </c>
      <c r="H951" t="s">
        <v>500</v>
      </c>
      <c r="J951">
        <v>624134</v>
      </c>
      <c r="M951">
        <v>1213</v>
      </c>
      <c r="R951" t="s">
        <v>918</v>
      </c>
      <c r="S951" t="s">
        <v>3506</v>
      </c>
      <c r="T951" t="s">
        <v>3507</v>
      </c>
      <c r="V951" t="s">
        <v>3508</v>
      </c>
      <c r="AE951" t="s">
        <v>478</v>
      </c>
      <c r="AL951" t="s">
        <v>919</v>
      </c>
      <c r="AM951" t="s">
        <v>919</v>
      </c>
      <c r="AO951" t="s">
        <v>480</v>
      </c>
      <c r="AP951" t="s">
        <v>481</v>
      </c>
      <c r="BF951" s="1" t="s">
        <v>1085</v>
      </c>
      <c r="BH951" t="s">
        <v>1029</v>
      </c>
      <c r="BP951" t="s">
        <v>1489</v>
      </c>
    </row>
    <row r="952" spans="1:68" x14ac:dyDescent="0.25">
      <c r="A952" t="s">
        <v>5713</v>
      </c>
      <c r="B952" t="s">
        <v>474</v>
      </c>
      <c r="C952" t="s">
        <v>1486</v>
      </c>
      <c r="E952" t="s">
        <v>475</v>
      </c>
      <c r="G952" s="1" t="s">
        <v>3509</v>
      </c>
      <c r="H952" t="s">
        <v>492</v>
      </c>
      <c r="J952">
        <v>662702</v>
      </c>
      <c r="M952">
        <v>1213</v>
      </c>
      <c r="R952" t="s">
        <v>918</v>
      </c>
      <c r="S952" t="s">
        <v>3510</v>
      </c>
      <c r="T952" t="s">
        <v>3511</v>
      </c>
      <c r="V952" t="s">
        <v>3512</v>
      </c>
      <c r="AE952" t="s">
        <v>478</v>
      </c>
      <c r="AL952" t="s">
        <v>919</v>
      </c>
      <c r="AM952" t="s">
        <v>919</v>
      </c>
      <c r="AO952" t="s">
        <v>480</v>
      </c>
      <c r="AP952" t="s">
        <v>481</v>
      </c>
      <c r="BF952" s="1" t="s">
        <v>1024</v>
      </c>
      <c r="BH952" t="s">
        <v>1029</v>
      </c>
      <c r="BP952" t="s">
        <v>1489</v>
      </c>
    </row>
    <row r="953" spans="1:68" x14ac:dyDescent="0.25">
      <c r="A953" t="s">
        <v>5713</v>
      </c>
      <c r="B953" t="s">
        <v>474</v>
      </c>
      <c r="C953" t="s">
        <v>1486</v>
      </c>
      <c r="E953" t="s">
        <v>475</v>
      </c>
      <c r="G953" s="1" t="s">
        <v>3509</v>
      </c>
      <c r="H953" t="s">
        <v>537</v>
      </c>
      <c r="J953">
        <v>624134</v>
      </c>
      <c r="M953">
        <v>1213</v>
      </c>
      <c r="R953" t="s">
        <v>918</v>
      </c>
      <c r="S953" t="s">
        <v>3513</v>
      </c>
      <c r="T953" t="s">
        <v>3514</v>
      </c>
      <c r="V953" t="s">
        <v>3515</v>
      </c>
      <c r="AE953" t="s">
        <v>478</v>
      </c>
      <c r="AL953" t="s">
        <v>919</v>
      </c>
      <c r="AM953" t="s">
        <v>919</v>
      </c>
      <c r="AO953" t="s">
        <v>480</v>
      </c>
      <c r="AP953" t="s">
        <v>481</v>
      </c>
      <c r="BF953" s="1" t="s">
        <v>1085</v>
      </c>
      <c r="BH953" t="s">
        <v>1029</v>
      </c>
      <c r="BP953" t="s">
        <v>1489</v>
      </c>
    </row>
    <row r="954" spans="1:68" x14ac:dyDescent="0.25">
      <c r="A954" t="s">
        <v>5713</v>
      </c>
      <c r="B954" t="s">
        <v>474</v>
      </c>
      <c r="C954" t="s">
        <v>1486</v>
      </c>
      <c r="E954" t="s">
        <v>475</v>
      </c>
      <c r="G954" s="1" t="s">
        <v>3516</v>
      </c>
      <c r="H954" t="s">
        <v>500</v>
      </c>
      <c r="J954">
        <v>624134</v>
      </c>
      <c r="M954">
        <v>1213</v>
      </c>
      <c r="R954" t="s">
        <v>918</v>
      </c>
      <c r="S954" t="s">
        <v>3517</v>
      </c>
      <c r="T954" t="s">
        <v>3518</v>
      </c>
      <c r="V954" t="s">
        <v>3519</v>
      </c>
      <c r="AE954" t="s">
        <v>478</v>
      </c>
      <c r="AL954" t="s">
        <v>919</v>
      </c>
      <c r="AM954" t="s">
        <v>919</v>
      </c>
      <c r="AO954" t="s">
        <v>480</v>
      </c>
      <c r="AP954" t="s">
        <v>481</v>
      </c>
      <c r="BF954" s="1" t="s">
        <v>1085</v>
      </c>
      <c r="BH954" t="s">
        <v>1029</v>
      </c>
      <c r="BP954" t="s">
        <v>1489</v>
      </c>
    </row>
    <row r="955" spans="1:68" x14ac:dyDescent="0.25">
      <c r="A955" t="s">
        <v>5713</v>
      </c>
      <c r="B955" t="s">
        <v>474</v>
      </c>
      <c r="C955" t="s">
        <v>1486</v>
      </c>
      <c r="E955" t="s">
        <v>475</v>
      </c>
      <c r="G955" s="1" t="s">
        <v>3520</v>
      </c>
      <c r="H955" t="s">
        <v>500</v>
      </c>
      <c r="J955">
        <v>612300</v>
      </c>
      <c r="M955" t="s">
        <v>1058</v>
      </c>
      <c r="R955" t="s">
        <v>918</v>
      </c>
      <c r="S955" t="s">
        <v>3521</v>
      </c>
      <c r="T955" t="s">
        <v>3522</v>
      </c>
      <c r="V955" t="s">
        <v>3523</v>
      </c>
      <c r="AE955" t="s">
        <v>478</v>
      </c>
      <c r="AL955" t="s">
        <v>919</v>
      </c>
      <c r="AM955" t="s">
        <v>919</v>
      </c>
      <c r="AO955" t="s">
        <v>480</v>
      </c>
      <c r="AP955" t="s">
        <v>481</v>
      </c>
      <c r="BF955" s="1" t="s">
        <v>1207</v>
      </c>
      <c r="BH955" t="s">
        <v>1029</v>
      </c>
      <c r="BP955" t="s">
        <v>1489</v>
      </c>
    </row>
    <row r="956" spans="1:68" x14ac:dyDescent="0.25">
      <c r="A956" t="s">
        <v>5713</v>
      </c>
      <c r="B956" t="s">
        <v>474</v>
      </c>
      <c r="C956" t="s">
        <v>1486</v>
      </c>
      <c r="E956" t="s">
        <v>475</v>
      </c>
      <c r="G956" s="1" t="s">
        <v>3520</v>
      </c>
      <c r="H956" t="s">
        <v>537</v>
      </c>
      <c r="J956">
        <v>612300</v>
      </c>
      <c r="M956" t="s">
        <v>1058</v>
      </c>
      <c r="R956" t="s">
        <v>918</v>
      </c>
      <c r="S956" t="s">
        <v>3524</v>
      </c>
      <c r="T956" t="s">
        <v>3525</v>
      </c>
      <c r="V956" t="s">
        <v>3523</v>
      </c>
      <c r="AE956" t="s">
        <v>478</v>
      </c>
      <c r="AL956" t="s">
        <v>919</v>
      </c>
      <c r="AM956" t="s">
        <v>919</v>
      </c>
      <c r="AO956" t="s">
        <v>480</v>
      </c>
      <c r="AP956" t="s">
        <v>481</v>
      </c>
      <c r="BF956" s="1" t="s">
        <v>1207</v>
      </c>
      <c r="BH956" t="s">
        <v>1029</v>
      </c>
      <c r="BP956" t="s">
        <v>1489</v>
      </c>
    </row>
    <row r="957" spans="1:68" x14ac:dyDescent="0.25">
      <c r="A957" t="s">
        <v>5713</v>
      </c>
      <c r="B957" t="s">
        <v>474</v>
      </c>
      <c r="C957" t="s">
        <v>1486</v>
      </c>
      <c r="E957" t="s">
        <v>475</v>
      </c>
      <c r="G957" s="1" t="s">
        <v>3520</v>
      </c>
      <c r="H957" t="s">
        <v>546</v>
      </c>
      <c r="J957">
        <v>612300</v>
      </c>
      <c r="M957" t="s">
        <v>1058</v>
      </c>
      <c r="R957" t="s">
        <v>918</v>
      </c>
      <c r="S957" t="s">
        <v>3524</v>
      </c>
      <c r="T957" t="s">
        <v>3525</v>
      </c>
      <c r="V957" t="s">
        <v>3523</v>
      </c>
      <c r="AE957" t="s">
        <v>478</v>
      </c>
      <c r="AL957" t="s">
        <v>919</v>
      </c>
      <c r="AM957" t="s">
        <v>919</v>
      </c>
      <c r="AO957" t="s">
        <v>480</v>
      </c>
      <c r="AP957" t="s">
        <v>481</v>
      </c>
      <c r="BF957" s="1" t="s">
        <v>1207</v>
      </c>
      <c r="BH957" t="s">
        <v>1029</v>
      </c>
      <c r="BP957" t="s">
        <v>1489</v>
      </c>
    </row>
    <row r="958" spans="1:68" x14ac:dyDescent="0.25">
      <c r="A958" t="s">
        <v>5713</v>
      </c>
      <c r="B958" t="s">
        <v>474</v>
      </c>
      <c r="C958" t="s">
        <v>1486</v>
      </c>
      <c r="E958" t="s">
        <v>475</v>
      </c>
      <c r="G958" s="1" t="s">
        <v>3520</v>
      </c>
      <c r="H958" t="s">
        <v>553</v>
      </c>
      <c r="J958">
        <v>612300</v>
      </c>
      <c r="M958" t="s">
        <v>1058</v>
      </c>
      <c r="R958" t="s">
        <v>918</v>
      </c>
      <c r="S958" t="s">
        <v>3524</v>
      </c>
      <c r="T958" t="s">
        <v>3525</v>
      </c>
      <c r="V958" t="s">
        <v>3523</v>
      </c>
      <c r="AE958" t="s">
        <v>478</v>
      </c>
      <c r="AL958" t="s">
        <v>919</v>
      </c>
      <c r="AM958" t="s">
        <v>919</v>
      </c>
      <c r="AO958" t="s">
        <v>480</v>
      </c>
      <c r="AP958" t="s">
        <v>481</v>
      </c>
      <c r="BF958" s="1" t="s">
        <v>1207</v>
      </c>
      <c r="BH958" t="s">
        <v>1029</v>
      </c>
      <c r="BP958" t="s">
        <v>1489</v>
      </c>
    </row>
    <row r="959" spans="1:68" x14ac:dyDescent="0.25">
      <c r="A959" t="s">
        <v>5713</v>
      </c>
      <c r="B959" t="s">
        <v>474</v>
      </c>
      <c r="C959" t="s">
        <v>1486</v>
      </c>
      <c r="E959" t="s">
        <v>475</v>
      </c>
      <c r="G959" s="1" t="s">
        <v>3520</v>
      </c>
      <c r="H959" t="s">
        <v>559</v>
      </c>
      <c r="J959">
        <v>612300</v>
      </c>
      <c r="M959" t="s">
        <v>1058</v>
      </c>
      <c r="R959" t="s">
        <v>918</v>
      </c>
      <c r="S959" t="s">
        <v>3526</v>
      </c>
      <c r="T959" t="s">
        <v>3527</v>
      </c>
      <c r="V959" t="s">
        <v>3523</v>
      </c>
      <c r="AE959" t="s">
        <v>478</v>
      </c>
      <c r="AL959" t="s">
        <v>919</v>
      </c>
      <c r="AM959" t="s">
        <v>919</v>
      </c>
      <c r="AO959" t="s">
        <v>480</v>
      </c>
      <c r="AP959" t="s">
        <v>481</v>
      </c>
      <c r="BF959" s="1" t="s">
        <v>1207</v>
      </c>
      <c r="BH959" t="s">
        <v>1029</v>
      </c>
      <c r="BP959" t="s">
        <v>1489</v>
      </c>
    </row>
    <row r="960" spans="1:68" x14ac:dyDescent="0.25">
      <c r="A960" t="s">
        <v>5713</v>
      </c>
      <c r="B960" t="s">
        <v>474</v>
      </c>
      <c r="C960" t="s">
        <v>1486</v>
      </c>
      <c r="E960" t="s">
        <v>475</v>
      </c>
      <c r="G960" s="1" t="s">
        <v>3520</v>
      </c>
      <c r="H960" t="s">
        <v>564</v>
      </c>
      <c r="J960">
        <v>612300</v>
      </c>
      <c r="M960" t="s">
        <v>1058</v>
      </c>
      <c r="R960" t="s">
        <v>918</v>
      </c>
      <c r="S960" t="s">
        <v>3528</v>
      </c>
      <c r="T960" t="s">
        <v>3529</v>
      </c>
      <c r="V960" t="s">
        <v>3523</v>
      </c>
      <c r="AE960" t="s">
        <v>478</v>
      </c>
      <c r="AL960" t="s">
        <v>919</v>
      </c>
      <c r="AM960" t="s">
        <v>919</v>
      </c>
      <c r="AO960" t="s">
        <v>480</v>
      </c>
      <c r="AP960" t="s">
        <v>481</v>
      </c>
      <c r="BF960" s="1" t="s">
        <v>1207</v>
      </c>
      <c r="BH960" t="s">
        <v>1029</v>
      </c>
      <c r="BP960" t="s">
        <v>1489</v>
      </c>
    </row>
    <row r="961" spans="1:68" x14ac:dyDescent="0.25">
      <c r="A961" t="s">
        <v>5713</v>
      </c>
      <c r="B961" t="s">
        <v>474</v>
      </c>
      <c r="C961" t="s">
        <v>1486</v>
      </c>
      <c r="E961" t="s">
        <v>475</v>
      </c>
      <c r="G961" s="1" t="s">
        <v>3520</v>
      </c>
      <c r="H961" t="s">
        <v>571</v>
      </c>
      <c r="J961">
        <v>612300</v>
      </c>
      <c r="M961" t="s">
        <v>1058</v>
      </c>
      <c r="R961" t="s">
        <v>918</v>
      </c>
      <c r="S961" t="s">
        <v>3530</v>
      </c>
      <c r="T961" t="s">
        <v>3531</v>
      </c>
      <c r="V961" t="s">
        <v>3523</v>
      </c>
      <c r="AE961" t="s">
        <v>478</v>
      </c>
      <c r="AL961" t="s">
        <v>919</v>
      </c>
      <c r="AM961" t="s">
        <v>919</v>
      </c>
      <c r="AO961" t="s">
        <v>480</v>
      </c>
      <c r="AP961" t="s">
        <v>481</v>
      </c>
      <c r="BF961" s="1" t="s">
        <v>1207</v>
      </c>
      <c r="BH961" t="s">
        <v>1029</v>
      </c>
      <c r="BP961" t="s">
        <v>1489</v>
      </c>
    </row>
    <row r="962" spans="1:68" x14ac:dyDescent="0.25">
      <c r="A962" t="s">
        <v>5713</v>
      </c>
      <c r="B962" t="s">
        <v>474</v>
      </c>
      <c r="C962" t="s">
        <v>1486</v>
      </c>
      <c r="E962" t="s">
        <v>475</v>
      </c>
      <c r="G962" s="1" t="s">
        <v>3520</v>
      </c>
      <c r="H962" t="s">
        <v>578</v>
      </c>
      <c r="J962">
        <v>612300</v>
      </c>
      <c r="M962" t="s">
        <v>1058</v>
      </c>
      <c r="R962" t="s">
        <v>918</v>
      </c>
      <c r="S962" t="s">
        <v>3532</v>
      </c>
      <c r="T962" t="s">
        <v>3533</v>
      </c>
      <c r="V962" t="s">
        <v>3523</v>
      </c>
      <c r="AE962" t="s">
        <v>478</v>
      </c>
      <c r="AL962" t="s">
        <v>919</v>
      </c>
      <c r="AM962" t="s">
        <v>919</v>
      </c>
      <c r="AO962" t="s">
        <v>480</v>
      </c>
      <c r="AP962" t="s">
        <v>481</v>
      </c>
      <c r="BF962" s="1" t="s">
        <v>1207</v>
      </c>
      <c r="BH962" t="s">
        <v>1029</v>
      </c>
      <c r="BP962" t="s">
        <v>1489</v>
      </c>
    </row>
    <row r="963" spans="1:68" x14ac:dyDescent="0.25">
      <c r="A963" t="s">
        <v>5713</v>
      </c>
      <c r="B963" t="s">
        <v>474</v>
      </c>
      <c r="C963" t="s">
        <v>1486</v>
      </c>
      <c r="E963" t="s">
        <v>475</v>
      </c>
      <c r="G963" s="1" t="s">
        <v>3520</v>
      </c>
      <c r="H963" t="s">
        <v>585</v>
      </c>
      <c r="J963">
        <v>612300</v>
      </c>
      <c r="M963" t="s">
        <v>1058</v>
      </c>
      <c r="R963" t="s">
        <v>918</v>
      </c>
      <c r="S963" t="s">
        <v>3528</v>
      </c>
      <c r="T963" t="s">
        <v>3529</v>
      </c>
      <c r="V963" t="s">
        <v>3523</v>
      </c>
      <c r="AE963" t="s">
        <v>478</v>
      </c>
      <c r="AL963" t="s">
        <v>919</v>
      </c>
      <c r="AM963" t="s">
        <v>919</v>
      </c>
      <c r="AO963" t="s">
        <v>480</v>
      </c>
      <c r="AP963" t="s">
        <v>481</v>
      </c>
      <c r="BF963" s="1" t="s">
        <v>1207</v>
      </c>
      <c r="BH963" t="s">
        <v>1029</v>
      </c>
      <c r="BP963" t="s">
        <v>1489</v>
      </c>
    </row>
    <row r="964" spans="1:68" x14ac:dyDescent="0.25">
      <c r="A964" t="s">
        <v>5713</v>
      </c>
      <c r="B964" t="s">
        <v>474</v>
      </c>
      <c r="C964" t="s">
        <v>1486</v>
      </c>
      <c r="E964" t="s">
        <v>475</v>
      </c>
      <c r="G964" s="1" t="s">
        <v>3520</v>
      </c>
      <c r="H964" t="s">
        <v>592</v>
      </c>
      <c r="J964">
        <v>612300</v>
      </c>
      <c r="M964" t="s">
        <v>1058</v>
      </c>
      <c r="R964" t="s">
        <v>918</v>
      </c>
      <c r="S964" t="s">
        <v>3534</v>
      </c>
      <c r="T964" t="s">
        <v>1193</v>
      </c>
      <c r="V964" t="s">
        <v>3523</v>
      </c>
      <c r="AE964" t="s">
        <v>478</v>
      </c>
      <c r="AL964" t="s">
        <v>919</v>
      </c>
      <c r="AM964" t="s">
        <v>919</v>
      </c>
      <c r="AO964" t="s">
        <v>480</v>
      </c>
      <c r="AP964" t="s">
        <v>481</v>
      </c>
      <c r="BF964" s="1" t="s">
        <v>1207</v>
      </c>
      <c r="BH964" t="s">
        <v>1029</v>
      </c>
      <c r="BP964" t="s">
        <v>1489</v>
      </c>
    </row>
    <row r="965" spans="1:68" x14ac:dyDescent="0.25">
      <c r="A965" t="s">
        <v>5713</v>
      </c>
      <c r="B965" t="s">
        <v>474</v>
      </c>
      <c r="C965" t="s">
        <v>1486</v>
      </c>
      <c r="E965" t="s">
        <v>475</v>
      </c>
      <c r="G965" s="1" t="s">
        <v>3520</v>
      </c>
      <c r="H965" t="s">
        <v>600</v>
      </c>
      <c r="J965">
        <v>612300</v>
      </c>
      <c r="M965" t="s">
        <v>1058</v>
      </c>
      <c r="R965" t="s">
        <v>918</v>
      </c>
      <c r="S965" t="s">
        <v>3524</v>
      </c>
      <c r="T965" t="s">
        <v>3525</v>
      </c>
      <c r="V965" t="s">
        <v>3523</v>
      </c>
      <c r="AE965" t="s">
        <v>478</v>
      </c>
      <c r="AL965" t="s">
        <v>919</v>
      </c>
      <c r="AM965" t="s">
        <v>919</v>
      </c>
      <c r="AO965" t="s">
        <v>480</v>
      </c>
      <c r="AP965" t="s">
        <v>481</v>
      </c>
      <c r="BF965" s="1" t="s">
        <v>1207</v>
      </c>
      <c r="BH965" t="s">
        <v>1029</v>
      </c>
      <c r="BP965" t="s">
        <v>1489</v>
      </c>
    </row>
    <row r="966" spans="1:68" x14ac:dyDescent="0.25">
      <c r="A966" t="s">
        <v>5713</v>
      </c>
      <c r="B966" t="s">
        <v>474</v>
      </c>
      <c r="C966" t="s">
        <v>1486</v>
      </c>
      <c r="E966" t="s">
        <v>475</v>
      </c>
      <c r="G966" s="1" t="s">
        <v>3520</v>
      </c>
      <c r="H966" t="s">
        <v>608</v>
      </c>
      <c r="J966">
        <v>612300</v>
      </c>
      <c r="M966" t="s">
        <v>1058</v>
      </c>
      <c r="R966" t="s">
        <v>918</v>
      </c>
      <c r="S966" t="s">
        <v>3524</v>
      </c>
      <c r="T966" t="s">
        <v>3525</v>
      </c>
      <c r="V966" t="s">
        <v>3523</v>
      </c>
      <c r="AE966" t="s">
        <v>478</v>
      </c>
      <c r="AL966" t="s">
        <v>919</v>
      </c>
      <c r="AM966" t="s">
        <v>919</v>
      </c>
      <c r="AO966" t="s">
        <v>480</v>
      </c>
      <c r="AP966" t="s">
        <v>481</v>
      </c>
      <c r="BF966" s="1" t="s">
        <v>1207</v>
      </c>
      <c r="BH966" t="s">
        <v>1029</v>
      </c>
      <c r="BP966" t="s">
        <v>1489</v>
      </c>
    </row>
    <row r="967" spans="1:68" x14ac:dyDescent="0.25">
      <c r="A967" t="s">
        <v>5713</v>
      </c>
      <c r="B967" t="s">
        <v>474</v>
      </c>
      <c r="C967" t="s">
        <v>1486</v>
      </c>
      <c r="E967" t="s">
        <v>475</v>
      </c>
      <c r="G967" s="1" t="s">
        <v>3520</v>
      </c>
      <c r="H967" t="s">
        <v>612</v>
      </c>
      <c r="J967">
        <v>612300</v>
      </c>
      <c r="M967" t="s">
        <v>1058</v>
      </c>
      <c r="R967" t="s">
        <v>918</v>
      </c>
      <c r="S967" t="s">
        <v>3524</v>
      </c>
      <c r="T967" t="s">
        <v>3525</v>
      </c>
      <c r="V967" t="s">
        <v>3523</v>
      </c>
      <c r="AE967" t="s">
        <v>478</v>
      </c>
      <c r="AL967" t="s">
        <v>919</v>
      </c>
      <c r="AM967" t="s">
        <v>919</v>
      </c>
      <c r="AO967" t="s">
        <v>480</v>
      </c>
      <c r="AP967" t="s">
        <v>481</v>
      </c>
      <c r="BF967" s="1" t="s">
        <v>1207</v>
      </c>
      <c r="BH967" t="s">
        <v>1029</v>
      </c>
      <c r="BP967" t="s">
        <v>1489</v>
      </c>
    </row>
    <row r="968" spans="1:68" x14ac:dyDescent="0.25">
      <c r="A968" t="s">
        <v>5713</v>
      </c>
      <c r="B968" t="s">
        <v>474</v>
      </c>
      <c r="C968" t="s">
        <v>1486</v>
      </c>
      <c r="E968" t="s">
        <v>475</v>
      </c>
      <c r="G968" s="1" t="s">
        <v>3520</v>
      </c>
      <c r="H968" t="s">
        <v>619</v>
      </c>
      <c r="J968">
        <v>612300</v>
      </c>
      <c r="M968" t="s">
        <v>1058</v>
      </c>
      <c r="R968" t="s">
        <v>918</v>
      </c>
      <c r="S968" t="s">
        <v>3535</v>
      </c>
      <c r="T968" t="s">
        <v>957</v>
      </c>
      <c r="V968" t="s">
        <v>3523</v>
      </c>
      <c r="AE968" t="s">
        <v>478</v>
      </c>
      <c r="AL968" t="s">
        <v>919</v>
      </c>
      <c r="AM968" t="s">
        <v>919</v>
      </c>
      <c r="AO968" t="s">
        <v>480</v>
      </c>
      <c r="AP968" t="s">
        <v>481</v>
      </c>
      <c r="BF968" s="1" t="s">
        <v>1207</v>
      </c>
      <c r="BH968" t="s">
        <v>1029</v>
      </c>
      <c r="BP968" t="s">
        <v>1489</v>
      </c>
    </row>
    <row r="969" spans="1:68" x14ac:dyDescent="0.25">
      <c r="A969" t="s">
        <v>5713</v>
      </c>
      <c r="B969" t="s">
        <v>474</v>
      </c>
      <c r="C969" t="s">
        <v>1486</v>
      </c>
      <c r="E969" t="s">
        <v>475</v>
      </c>
      <c r="G969" s="1" t="s">
        <v>3520</v>
      </c>
      <c r="H969" t="s">
        <v>811</v>
      </c>
      <c r="J969">
        <v>612300</v>
      </c>
      <c r="M969" t="s">
        <v>1058</v>
      </c>
      <c r="R969" t="s">
        <v>918</v>
      </c>
      <c r="S969" t="s">
        <v>3535</v>
      </c>
      <c r="T969" t="s">
        <v>957</v>
      </c>
      <c r="V969" t="s">
        <v>3523</v>
      </c>
      <c r="AE969" t="s">
        <v>478</v>
      </c>
      <c r="AL969" t="s">
        <v>919</v>
      </c>
      <c r="AM969" t="s">
        <v>919</v>
      </c>
      <c r="AO969" t="s">
        <v>480</v>
      </c>
      <c r="AP969" t="s">
        <v>481</v>
      </c>
      <c r="BF969" s="1" t="s">
        <v>1207</v>
      </c>
      <c r="BH969" t="s">
        <v>1029</v>
      </c>
      <c r="BP969" t="s">
        <v>1489</v>
      </c>
    </row>
    <row r="970" spans="1:68" x14ac:dyDescent="0.25">
      <c r="A970" t="s">
        <v>5713</v>
      </c>
      <c r="B970" t="s">
        <v>474</v>
      </c>
      <c r="C970" t="s">
        <v>1486</v>
      </c>
      <c r="E970" t="s">
        <v>475</v>
      </c>
      <c r="G970" s="1" t="s">
        <v>3520</v>
      </c>
      <c r="H970" t="s">
        <v>817</v>
      </c>
      <c r="J970">
        <v>612300</v>
      </c>
      <c r="M970" t="s">
        <v>1058</v>
      </c>
      <c r="R970" t="s">
        <v>918</v>
      </c>
      <c r="S970" t="s">
        <v>3524</v>
      </c>
      <c r="T970" t="s">
        <v>3525</v>
      </c>
      <c r="V970" t="s">
        <v>3523</v>
      </c>
      <c r="AE970" t="s">
        <v>478</v>
      </c>
      <c r="AL970" t="s">
        <v>919</v>
      </c>
      <c r="AM970" t="s">
        <v>919</v>
      </c>
      <c r="AO970" t="s">
        <v>480</v>
      </c>
      <c r="AP970" t="s">
        <v>481</v>
      </c>
      <c r="BF970" s="1" t="s">
        <v>1207</v>
      </c>
      <c r="BH970" t="s">
        <v>1029</v>
      </c>
      <c r="BP970" t="s">
        <v>1489</v>
      </c>
    </row>
    <row r="971" spans="1:68" x14ac:dyDescent="0.25">
      <c r="A971" t="s">
        <v>5713</v>
      </c>
      <c r="B971" t="s">
        <v>474</v>
      </c>
      <c r="C971" t="s">
        <v>1486</v>
      </c>
      <c r="E971" t="s">
        <v>475</v>
      </c>
      <c r="G971" s="1" t="s">
        <v>3520</v>
      </c>
      <c r="H971" t="s">
        <v>820</v>
      </c>
      <c r="J971">
        <v>612300</v>
      </c>
      <c r="M971" t="s">
        <v>1058</v>
      </c>
      <c r="R971" t="s">
        <v>918</v>
      </c>
      <c r="S971" t="s">
        <v>3524</v>
      </c>
      <c r="T971" t="s">
        <v>3525</v>
      </c>
      <c r="V971" t="s">
        <v>3523</v>
      </c>
      <c r="AE971" t="s">
        <v>478</v>
      </c>
      <c r="AL971" t="s">
        <v>919</v>
      </c>
      <c r="AM971" t="s">
        <v>919</v>
      </c>
      <c r="AO971" t="s">
        <v>480</v>
      </c>
      <c r="AP971" t="s">
        <v>481</v>
      </c>
      <c r="BF971" s="1" t="s">
        <v>1207</v>
      </c>
      <c r="BH971" t="s">
        <v>1029</v>
      </c>
      <c r="BP971" t="s">
        <v>1489</v>
      </c>
    </row>
    <row r="972" spans="1:68" x14ac:dyDescent="0.25">
      <c r="A972" t="s">
        <v>5713</v>
      </c>
      <c r="B972" t="s">
        <v>474</v>
      </c>
      <c r="C972" t="s">
        <v>1486</v>
      </c>
      <c r="E972" t="s">
        <v>475</v>
      </c>
      <c r="G972" s="1" t="s">
        <v>3520</v>
      </c>
      <c r="H972" t="s">
        <v>960</v>
      </c>
      <c r="J972">
        <v>612300</v>
      </c>
      <c r="M972" t="s">
        <v>1058</v>
      </c>
      <c r="R972" t="s">
        <v>918</v>
      </c>
      <c r="S972" t="s">
        <v>3524</v>
      </c>
      <c r="T972" t="s">
        <v>3525</v>
      </c>
      <c r="V972" t="s">
        <v>3523</v>
      </c>
      <c r="AE972" t="s">
        <v>478</v>
      </c>
      <c r="AL972" t="s">
        <v>919</v>
      </c>
      <c r="AM972" t="s">
        <v>919</v>
      </c>
      <c r="AO972" t="s">
        <v>480</v>
      </c>
      <c r="AP972" t="s">
        <v>481</v>
      </c>
      <c r="BF972" s="1" t="s">
        <v>1207</v>
      </c>
      <c r="BH972" t="s">
        <v>1029</v>
      </c>
      <c r="BP972" t="s">
        <v>1489</v>
      </c>
    </row>
    <row r="973" spans="1:68" x14ac:dyDescent="0.25">
      <c r="A973" t="s">
        <v>5713</v>
      </c>
      <c r="B973" t="s">
        <v>474</v>
      </c>
      <c r="C973" t="s">
        <v>1486</v>
      </c>
      <c r="E973" t="s">
        <v>475</v>
      </c>
      <c r="G973" s="1" t="s">
        <v>3520</v>
      </c>
      <c r="H973" t="s">
        <v>965</v>
      </c>
      <c r="J973">
        <v>612300</v>
      </c>
      <c r="M973" t="s">
        <v>1058</v>
      </c>
      <c r="R973" t="s">
        <v>918</v>
      </c>
      <c r="S973" t="s">
        <v>3536</v>
      </c>
      <c r="T973" t="s">
        <v>3537</v>
      </c>
      <c r="V973" t="s">
        <v>3523</v>
      </c>
      <c r="AE973" t="s">
        <v>478</v>
      </c>
      <c r="AL973" t="s">
        <v>919</v>
      </c>
      <c r="AM973" t="s">
        <v>919</v>
      </c>
      <c r="AO973" t="s">
        <v>480</v>
      </c>
      <c r="AP973" t="s">
        <v>481</v>
      </c>
      <c r="BF973" s="1" t="s">
        <v>1207</v>
      </c>
      <c r="BH973" t="s">
        <v>1029</v>
      </c>
      <c r="BP973" t="s">
        <v>1489</v>
      </c>
    </row>
    <row r="974" spans="1:68" x14ac:dyDescent="0.25">
      <c r="A974" t="s">
        <v>5713</v>
      </c>
      <c r="B974" t="s">
        <v>474</v>
      </c>
      <c r="C974" t="s">
        <v>1486</v>
      </c>
      <c r="E974" t="s">
        <v>475</v>
      </c>
      <c r="G974" s="1" t="s">
        <v>3520</v>
      </c>
      <c r="H974" t="s">
        <v>961</v>
      </c>
      <c r="J974">
        <v>612300</v>
      </c>
      <c r="M974" t="s">
        <v>1058</v>
      </c>
      <c r="R974" t="s">
        <v>918</v>
      </c>
      <c r="S974" t="s">
        <v>3538</v>
      </c>
      <c r="T974" t="s">
        <v>3539</v>
      </c>
      <c r="V974" t="s">
        <v>3523</v>
      </c>
      <c r="AE974" t="s">
        <v>478</v>
      </c>
      <c r="AL974" t="s">
        <v>919</v>
      </c>
      <c r="AM974" t="s">
        <v>919</v>
      </c>
      <c r="AO974" t="s">
        <v>480</v>
      </c>
      <c r="AP974" t="s">
        <v>481</v>
      </c>
      <c r="BF974" s="1" t="s">
        <v>1207</v>
      </c>
      <c r="BH974" t="s">
        <v>1029</v>
      </c>
      <c r="BP974" t="s">
        <v>1489</v>
      </c>
    </row>
    <row r="975" spans="1:68" x14ac:dyDescent="0.25">
      <c r="A975" t="s">
        <v>5713</v>
      </c>
      <c r="B975" t="s">
        <v>474</v>
      </c>
      <c r="C975" t="s">
        <v>1486</v>
      </c>
      <c r="E975" t="s">
        <v>475</v>
      </c>
      <c r="G975" s="1" t="s">
        <v>3520</v>
      </c>
      <c r="H975" t="s">
        <v>966</v>
      </c>
      <c r="J975">
        <v>612300</v>
      </c>
      <c r="M975" t="s">
        <v>1058</v>
      </c>
      <c r="R975" t="s">
        <v>918</v>
      </c>
      <c r="S975" t="s">
        <v>3524</v>
      </c>
      <c r="T975" t="s">
        <v>3525</v>
      </c>
      <c r="V975" t="s">
        <v>3523</v>
      </c>
      <c r="AE975" t="s">
        <v>478</v>
      </c>
      <c r="AL975" t="s">
        <v>919</v>
      </c>
      <c r="AM975" t="s">
        <v>919</v>
      </c>
      <c r="AO975" t="s">
        <v>480</v>
      </c>
      <c r="AP975" t="s">
        <v>481</v>
      </c>
      <c r="BF975" s="1" t="s">
        <v>1207</v>
      </c>
      <c r="BH975" t="s">
        <v>1029</v>
      </c>
      <c r="BP975" t="s">
        <v>1489</v>
      </c>
    </row>
    <row r="976" spans="1:68" x14ac:dyDescent="0.25">
      <c r="A976" t="s">
        <v>5713</v>
      </c>
      <c r="B976" t="s">
        <v>474</v>
      </c>
      <c r="C976" t="s">
        <v>1486</v>
      </c>
      <c r="E976" t="s">
        <v>475</v>
      </c>
      <c r="G976" s="1" t="s">
        <v>3520</v>
      </c>
      <c r="H976" t="s">
        <v>967</v>
      </c>
      <c r="J976">
        <v>612300</v>
      </c>
      <c r="M976" t="s">
        <v>1058</v>
      </c>
      <c r="R976" t="s">
        <v>918</v>
      </c>
      <c r="S976" t="s">
        <v>3524</v>
      </c>
      <c r="T976" t="s">
        <v>3525</v>
      </c>
      <c r="V976" t="s">
        <v>3523</v>
      </c>
      <c r="AE976" t="s">
        <v>478</v>
      </c>
      <c r="AL976" t="s">
        <v>919</v>
      </c>
      <c r="AM976" t="s">
        <v>919</v>
      </c>
      <c r="AO976" t="s">
        <v>480</v>
      </c>
      <c r="AP976" t="s">
        <v>481</v>
      </c>
      <c r="BF976" s="1" t="s">
        <v>1207</v>
      </c>
      <c r="BH976" t="s">
        <v>1029</v>
      </c>
      <c r="BP976" t="s">
        <v>1489</v>
      </c>
    </row>
    <row r="977" spans="1:68" x14ac:dyDescent="0.25">
      <c r="A977" t="s">
        <v>5713</v>
      </c>
      <c r="B977" t="s">
        <v>474</v>
      </c>
      <c r="C977" t="s">
        <v>1486</v>
      </c>
      <c r="E977" t="s">
        <v>475</v>
      </c>
      <c r="G977" s="1" t="s">
        <v>3520</v>
      </c>
      <c r="H977" t="s">
        <v>962</v>
      </c>
      <c r="J977">
        <v>612300</v>
      </c>
      <c r="M977" t="s">
        <v>1058</v>
      </c>
      <c r="R977" t="s">
        <v>918</v>
      </c>
      <c r="S977" t="s">
        <v>3524</v>
      </c>
      <c r="T977" t="s">
        <v>3525</v>
      </c>
      <c r="V977" t="s">
        <v>3523</v>
      </c>
      <c r="AE977" t="s">
        <v>478</v>
      </c>
      <c r="AL977" t="s">
        <v>919</v>
      </c>
      <c r="AM977" t="s">
        <v>919</v>
      </c>
      <c r="AO977" t="s">
        <v>480</v>
      </c>
      <c r="AP977" t="s">
        <v>481</v>
      </c>
      <c r="BF977" s="1" t="s">
        <v>1207</v>
      </c>
      <c r="BH977" t="s">
        <v>1029</v>
      </c>
      <c r="BP977" t="s">
        <v>1489</v>
      </c>
    </row>
    <row r="978" spans="1:68" x14ac:dyDescent="0.25">
      <c r="A978" t="s">
        <v>5713</v>
      </c>
      <c r="B978" t="s">
        <v>474</v>
      </c>
      <c r="C978" t="s">
        <v>1486</v>
      </c>
      <c r="E978" t="s">
        <v>475</v>
      </c>
      <c r="G978" s="1" t="s">
        <v>3520</v>
      </c>
      <c r="H978" t="s">
        <v>968</v>
      </c>
      <c r="J978">
        <v>612300</v>
      </c>
      <c r="M978" t="s">
        <v>1058</v>
      </c>
      <c r="R978" t="s">
        <v>918</v>
      </c>
      <c r="S978" t="s">
        <v>3540</v>
      </c>
      <c r="T978" t="s">
        <v>1012</v>
      </c>
      <c r="V978" t="s">
        <v>3541</v>
      </c>
      <c r="AE978" t="s">
        <v>478</v>
      </c>
      <c r="AL978" t="s">
        <v>919</v>
      </c>
      <c r="AM978" t="s">
        <v>919</v>
      </c>
      <c r="AO978" t="s">
        <v>480</v>
      </c>
      <c r="AP978" t="s">
        <v>481</v>
      </c>
      <c r="BF978" s="1" t="s">
        <v>1207</v>
      </c>
      <c r="BH978" t="s">
        <v>1029</v>
      </c>
      <c r="BP978" t="s">
        <v>1489</v>
      </c>
    </row>
    <row r="979" spans="1:68" x14ac:dyDescent="0.25">
      <c r="A979" t="s">
        <v>5713</v>
      </c>
      <c r="B979" t="s">
        <v>474</v>
      </c>
      <c r="C979" t="s">
        <v>1486</v>
      </c>
      <c r="E979" t="s">
        <v>475</v>
      </c>
      <c r="G979" s="1" t="s">
        <v>3520</v>
      </c>
      <c r="H979" t="s">
        <v>969</v>
      </c>
      <c r="J979">
        <v>612300</v>
      </c>
      <c r="M979" t="s">
        <v>1058</v>
      </c>
      <c r="R979" t="s">
        <v>918</v>
      </c>
      <c r="S979" t="s">
        <v>3542</v>
      </c>
      <c r="T979" t="s">
        <v>3543</v>
      </c>
      <c r="V979" t="s">
        <v>3541</v>
      </c>
      <c r="AE979" t="s">
        <v>478</v>
      </c>
      <c r="AL979" t="s">
        <v>919</v>
      </c>
      <c r="AM979" t="s">
        <v>919</v>
      </c>
      <c r="AO979" t="s">
        <v>480</v>
      </c>
      <c r="AP979" t="s">
        <v>481</v>
      </c>
      <c r="BF979" s="1" t="s">
        <v>1207</v>
      </c>
      <c r="BH979" t="s">
        <v>1029</v>
      </c>
      <c r="BP979" t="s">
        <v>1489</v>
      </c>
    </row>
    <row r="980" spans="1:68" x14ac:dyDescent="0.25">
      <c r="A980" t="s">
        <v>5713</v>
      </c>
      <c r="B980" t="s">
        <v>474</v>
      </c>
      <c r="C980" t="s">
        <v>1486</v>
      </c>
      <c r="E980" t="s">
        <v>475</v>
      </c>
      <c r="G980" s="1" t="s">
        <v>3520</v>
      </c>
      <c r="H980" t="s">
        <v>963</v>
      </c>
      <c r="J980">
        <v>612300</v>
      </c>
      <c r="M980" t="s">
        <v>1058</v>
      </c>
      <c r="R980" t="s">
        <v>918</v>
      </c>
      <c r="S980" t="s">
        <v>3540</v>
      </c>
      <c r="T980" t="s">
        <v>1012</v>
      </c>
      <c r="V980" t="s">
        <v>3541</v>
      </c>
      <c r="AE980" t="s">
        <v>478</v>
      </c>
      <c r="AL980" t="s">
        <v>919</v>
      </c>
      <c r="AM980" t="s">
        <v>919</v>
      </c>
      <c r="AO980" t="s">
        <v>480</v>
      </c>
      <c r="AP980" t="s">
        <v>481</v>
      </c>
      <c r="BF980" s="1" t="s">
        <v>1207</v>
      </c>
      <c r="BH980" t="s">
        <v>1029</v>
      </c>
      <c r="BP980" t="s">
        <v>1489</v>
      </c>
    </row>
    <row r="981" spans="1:68" x14ac:dyDescent="0.25">
      <c r="A981" t="s">
        <v>5713</v>
      </c>
      <c r="B981" t="s">
        <v>474</v>
      </c>
      <c r="C981" t="s">
        <v>1486</v>
      </c>
      <c r="E981" t="s">
        <v>475</v>
      </c>
      <c r="G981" s="1" t="s">
        <v>3520</v>
      </c>
      <c r="H981" t="s">
        <v>964</v>
      </c>
      <c r="J981">
        <v>612300</v>
      </c>
      <c r="M981" t="s">
        <v>1058</v>
      </c>
      <c r="R981" t="s">
        <v>918</v>
      </c>
      <c r="S981" t="s">
        <v>3544</v>
      </c>
      <c r="T981" t="s">
        <v>3527</v>
      </c>
      <c r="V981" t="s">
        <v>3541</v>
      </c>
      <c r="AE981" t="s">
        <v>478</v>
      </c>
      <c r="AL981" t="s">
        <v>919</v>
      </c>
      <c r="AM981" t="s">
        <v>919</v>
      </c>
      <c r="AO981" t="s">
        <v>480</v>
      </c>
      <c r="AP981" t="s">
        <v>481</v>
      </c>
      <c r="BF981" s="1" t="s">
        <v>1207</v>
      </c>
      <c r="BH981" t="s">
        <v>1029</v>
      </c>
      <c r="BP981" t="s">
        <v>1489</v>
      </c>
    </row>
    <row r="982" spans="1:68" x14ac:dyDescent="0.25">
      <c r="A982" t="s">
        <v>5713</v>
      </c>
      <c r="B982" t="s">
        <v>474</v>
      </c>
      <c r="C982" t="s">
        <v>1486</v>
      </c>
      <c r="E982" t="s">
        <v>475</v>
      </c>
      <c r="G982" s="1" t="s">
        <v>3520</v>
      </c>
      <c r="H982" t="s">
        <v>1127</v>
      </c>
      <c r="J982">
        <v>612300</v>
      </c>
      <c r="M982" t="s">
        <v>1058</v>
      </c>
      <c r="R982" t="s">
        <v>918</v>
      </c>
      <c r="S982" t="s">
        <v>3545</v>
      </c>
      <c r="T982" t="s">
        <v>3546</v>
      </c>
      <c r="V982" t="s">
        <v>3541</v>
      </c>
      <c r="AE982" t="s">
        <v>478</v>
      </c>
      <c r="AL982" t="s">
        <v>919</v>
      </c>
      <c r="AM982" t="s">
        <v>919</v>
      </c>
      <c r="AO982" t="s">
        <v>480</v>
      </c>
      <c r="AP982" t="s">
        <v>481</v>
      </c>
      <c r="BF982" s="1" t="s">
        <v>1207</v>
      </c>
      <c r="BH982" t="s">
        <v>1029</v>
      </c>
      <c r="BP982" t="s">
        <v>1489</v>
      </c>
    </row>
    <row r="983" spans="1:68" x14ac:dyDescent="0.25">
      <c r="A983" t="s">
        <v>5713</v>
      </c>
      <c r="B983" t="s">
        <v>474</v>
      </c>
      <c r="C983" t="s">
        <v>1486</v>
      </c>
      <c r="E983" t="s">
        <v>475</v>
      </c>
      <c r="G983" s="1" t="s">
        <v>3520</v>
      </c>
      <c r="H983" t="s">
        <v>970</v>
      </c>
      <c r="J983">
        <v>612300</v>
      </c>
      <c r="M983" t="s">
        <v>1058</v>
      </c>
      <c r="R983" t="s">
        <v>918</v>
      </c>
      <c r="S983" t="s">
        <v>3547</v>
      </c>
      <c r="T983" t="s">
        <v>1069</v>
      </c>
      <c r="V983" t="s">
        <v>3541</v>
      </c>
      <c r="AE983" t="s">
        <v>478</v>
      </c>
      <c r="AL983" t="s">
        <v>919</v>
      </c>
      <c r="AM983" t="s">
        <v>919</v>
      </c>
      <c r="AO983" t="s">
        <v>480</v>
      </c>
      <c r="AP983" t="s">
        <v>481</v>
      </c>
      <c r="BF983" s="1" t="s">
        <v>1207</v>
      </c>
      <c r="BH983" t="s">
        <v>1029</v>
      </c>
      <c r="BP983" t="s">
        <v>1489</v>
      </c>
    </row>
    <row r="984" spans="1:68" x14ac:dyDescent="0.25">
      <c r="A984" t="s">
        <v>5713</v>
      </c>
      <c r="B984" t="s">
        <v>474</v>
      </c>
      <c r="C984" t="s">
        <v>1486</v>
      </c>
      <c r="E984" t="s">
        <v>475</v>
      </c>
      <c r="G984" s="1" t="s">
        <v>3520</v>
      </c>
      <c r="H984" t="s">
        <v>971</v>
      </c>
      <c r="J984">
        <v>612300</v>
      </c>
      <c r="M984" t="s">
        <v>1058</v>
      </c>
      <c r="R984" t="s">
        <v>918</v>
      </c>
      <c r="S984" t="s">
        <v>3548</v>
      </c>
      <c r="T984" t="s">
        <v>3531</v>
      </c>
      <c r="V984" t="s">
        <v>3541</v>
      </c>
      <c r="AE984" t="s">
        <v>478</v>
      </c>
      <c r="AL984" t="s">
        <v>919</v>
      </c>
      <c r="AM984" t="s">
        <v>919</v>
      </c>
      <c r="AO984" t="s">
        <v>480</v>
      </c>
      <c r="AP984" t="s">
        <v>481</v>
      </c>
      <c r="BF984" s="1" t="s">
        <v>1207</v>
      </c>
      <c r="BH984" t="s">
        <v>1029</v>
      </c>
      <c r="BP984" t="s">
        <v>1489</v>
      </c>
    </row>
    <row r="985" spans="1:68" x14ac:dyDescent="0.25">
      <c r="A985" t="s">
        <v>5713</v>
      </c>
      <c r="B985" t="s">
        <v>474</v>
      </c>
      <c r="C985" t="s">
        <v>1486</v>
      </c>
      <c r="E985" t="s">
        <v>475</v>
      </c>
      <c r="G985" s="1" t="s">
        <v>3520</v>
      </c>
      <c r="H985" t="s">
        <v>972</v>
      </c>
      <c r="J985">
        <v>612300</v>
      </c>
      <c r="M985" t="s">
        <v>1058</v>
      </c>
      <c r="R985" t="s">
        <v>918</v>
      </c>
      <c r="S985" t="s">
        <v>3540</v>
      </c>
      <c r="T985" t="s">
        <v>1012</v>
      </c>
      <c r="V985" t="s">
        <v>3541</v>
      </c>
      <c r="AE985" t="s">
        <v>478</v>
      </c>
      <c r="AL985" t="s">
        <v>919</v>
      </c>
      <c r="AM985" t="s">
        <v>919</v>
      </c>
      <c r="AO985" t="s">
        <v>480</v>
      </c>
      <c r="AP985" t="s">
        <v>481</v>
      </c>
      <c r="BF985" s="1" t="s">
        <v>1207</v>
      </c>
      <c r="BH985" t="s">
        <v>1029</v>
      </c>
      <c r="BP985" t="s">
        <v>1489</v>
      </c>
    </row>
    <row r="986" spans="1:68" x14ac:dyDescent="0.25">
      <c r="A986" t="s">
        <v>5713</v>
      </c>
      <c r="B986" t="s">
        <v>474</v>
      </c>
      <c r="C986" t="s">
        <v>1486</v>
      </c>
      <c r="E986" t="s">
        <v>475</v>
      </c>
      <c r="G986" s="1" t="s">
        <v>3520</v>
      </c>
      <c r="H986" t="s">
        <v>973</v>
      </c>
      <c r="J986">
        <v>612300</v>
      </c>
      <c r="M986" t="s">
        <v>1058</v>
      </c>
      <c r="R986" t="s">
        <v>918</v>
      </c>
      <c r="S986" t="s">
        <v>3540</v>
      </c>
      <c r="T986" t="s">
        <v>1012</v>
      </c>
      <c r="V986" t="s">
        <v>3541</v>
      </c>
      <c r="AE986" t="s">
        <v>478</v>
      </c>
      <c r="AL986" t="s">
        <v>919</v>
      </c>
      <c r="AM986" t="s">
        <v>919</v>
      </c>
      <c r="AO986" t="s">
        <v>480</v>
      </c>
      <c r="AP986" t="s">
        <v>481</v>
      </c>
      <c r="BF986" s="1" t="s">
        <v>1207</v>
      </c>
      <c r="BH986" t="s">
        <v>1029</v>
      </c>
      <c r="BP986" t="s">
        <v>1489</v>
      </c>
    </row>
    <row r="987" spans="1:68" x14ac:dyDescent="0.25">
      <c r="A987" t="s">
        <v>5713</v>
      </c>
      <c r="B987" t="s">
        <v>474</v>
      </c>
      <c r="C987" t="s">
        <v>1486</v>
      </c>
      <c r="E987" t="s">
        <v>475</v>
      </c>
      <c r="G987" s="1" t="s">
        <v>3520</v>
      </c>
      <c r="H987" t="s">
        <v>1133</v>
      </c>
      <c r="J987">
        <v>612300</v>
      </c>
      <c r="M987" t="s">
        <v>1058</v>
      </c>
      <c r="R987" t="s">
        <v>918</v>
      </c>
      <c r="S987" t="s">
        <v>3549</v>
      </c>
      <c r="T987" t="s">
        <v>1184</v>
      </c>
      <c r="V987" t="s">
        <v>3541</v>
      </c>
      <c r="AE987" t="s">
        <v>478</v>
      </c>
      <c r="AL987" t="s">
        <v>919</v>
      </c>
      <c r="AM987" t="s">
        <v>919</v>
      </c>
      <c r="AO987" t="s">
        <v>480</v>
      </c>
      <c r="AP987" t="s">
        <v>481</v>
      </c>
      <c r="BF987" s="1" t="s">
        <v>1207</v>
      </c>
      <c r="BH987" t="s">
        <v>1029</v>
      </c>
      <c r="BP987" t="s">
        <v>1489</v>
      </c>
    </row>
    <row r="988" spans="1:68" x14ac:dyDescent="0.25">
      <c r="A988" t="s">
        <v>5713</v>
      </c>
      <c r="B988" t="s">
        <v>474</v>
      </c>
      <c r="C988" t="s">
        <v>1486</v>
      </c>
      <c r="E988" t="s">
        <v>475</v>
      </c>
      <c r="G988" s="1" t="s">
        <v>3520</v>
      </c>
      <c r="H988" t="s">
        <v>974</v>
      </c>
      <c r="J988">
        <v>612300</v>
      </c>
      <c r="M988" t="s">
        <v>1058</v>
      </c>
      <c r="R988" t="s">
        <v>918</v>
      </c>
      <c r="S988" t="s">
        <v>3540</v>
      </c>
      <c r="T988" t="s">
        <v>1012</v>
      </c>
      <c r="V988" t="s">
        <v>3541</v>
      </c>
      <c r="AE988" t="s">
        <v>478</v>
      </c>
      <c r="AL988" t="s">
        <v>919</v>
      </c>
      <c r="AM988" t="s">
        <v>919</v>
      </c>
      <c r="AO988" t="s">
        <v>480</v>
      </c>
      <c r="AP988" t="s">
        <v>481</v>
      </c>
      <c r="BF988" s="1" t="s">
        <v>1207</v>
      </c>
      <c r="BH988" t="s">
        <v>1029</v>
      </c>
      <c r="BP988" t="s">
        <v>1489</v>
      </c>
    </row>
    <row r="989" spans="1:68" x14ac:dyDescent="0.25">
      <c r="A989" t="s">
        <v>5713</v>
      </c>
      <c r="B989" t="s">
        <v>474</v>
      </c>
      <c r="C989" t="s">
        <v>1486</v>
      </c>
      <c r="E989" t="s">
        <v>475</v>
      </c>
      <c r="G989" s="1" t="s">
        <v>3520</v>
      </c>
      <c r="H989" t="s">
        <v>975</v>
      </c>
      <c r="J989">
        <v>612300</v>
      </c>
      <c r="M989" t="s">
        <v>1058</v>
      </c>
      <c r="R989" t="s">
        <v>918</v>
      </c>
      <c r="S989" t="s">
        <v>3540</v>
      </c>
      <c r="T989" t="s">
        <v>1012</v>
      </c>
      <c r="V989" t="s">
        <v>3541</v>
      </c>
      <c r="AE989" t="s">
        <v>478</v>
      </c>
      <c r="AL989" t="s">
        <v>919</v>
      </c>
      <c r="AM989" t="s">
        <v>919</v>
      </c>
      <c r="AO989" t="s">
        <v>480</v>
      </c>
      <c r="AP989" t="s">
        <v>481</v>
      </c>
      <c r="BF989" s="1" t="s">
        <v>1207</v>
      </c>
      <c r="BH989" t="s">
        <v>1029</v>
      </c>
      <c r="BP989" t="s">
        <v>1489</v>
      </c>
    </row>
    <row r="990" spans="1:68" x14ac:dyDescent="0.25">
      <c r="A990" t="s">
        <v>5713</v>
      </c>
      <c r="B990" t="s">
        <v>474</v>
      </c>
      <c r="C990" t="s">
        <v>1486</v>
      </c>
      <c r="E990" t="s">
        <v>475</v>
      </c>
      <c r="G990" s="1" t="s">
        <v>3520</v>
      </c>
      <c r="H990" t="s">
        <v>976</v>
      </c>
      <c r="J990">
        <v>612300</v>
      </c>
      <c r="M990" t="s">
        <v>1058</v>
      </c>
      <c r="R990" t="s">
        <v>918</v>
      </c>
      <c r="S990" t="s">
        <v>3540</v>
      </c>
      <c r="T990" t="s">
        <v>1012</v>
      </c>
      <c r="V990" t="s">
        <v>3541</v>
      </c>
      <c r="AE990" t="s">
        <v>478</v>
      </c>
      <c r="AL990" t="s">
        <v>919</v>
      </c>
      <c r="AM990" t="s">
        <v>919</v>
      </c>
      <c r="AO990" t="s">
        <v>480</v>
      </c>
      <c r="AP990" t="s">
        <v>481</v>
      </c>
      <c r="BF990" s="1" t="s">
        <v>1207</v>
      </c>
      <c r="BH990" t="s">
        <v>1029</v>
      </c>
      <c r="BP990" t="s">
        <v>1489</v>
      </c>
    </row>
    <row r="991" spans="1:68" x14ac:dyDescent="0.25">
      <c r="A991" t="s">
        <v>5713</v>
      </c>
      <c r="B991" t="s">
        <v>474</v>
      </c>
      <c r="C991" t="s">
        <v>1486</v>
      </c>
      <c r="E991" t="s">
        <v>475</v>
      </c>
      <c r="G991" s="1" t="s">
        <v>3520</v>
      </c>
      <c r="H991" t="s">
        <v>977</v>
      </c>
      <c r="J991">
        <v>612300</v>
      </c>
      <c r="M991" t="s">
        <v>1058</v>
      </c>
      <c r="R991" t="s">
        <v>918</v>
      </c>
      <c r="S991" t="s">
        <v>3550</v>
      </c>
      <c r="T991" t="s">
        <v>3551</v>
      </c>
      <c r="V991" t="s">
        <v>3541</v>
      </c>
      <c r="AE991" t="s">
        <v>478</v>
      </c>
      <c r="AL991" t="s">
        <v>919</v>
      </c>
      <c r="AM991" t="s">
        <v>919</v>
      </c>
      <c r="AO991" t="s">
        <v>480</v>
      </c>
      <c r="AP991" t="s">
        <v>481</v>
      </c>
      <c r="BF991" s="1" t="s">
        <v>1207</v>
      </c>
      <c r="BH991" t="s">
        <v>1029</v>
      </c>
      <c r="BP991" t="s">
        <v>1489</v>
      </c>
    </row>
    <row r="992" spans="1:68" x14ac:dyDescent="0.25">
      <c r="A992" t="s">
        <v>5713</v>
      </c>
      <c r="B992" t="s">
        <v>474</v>
      </c>
      <c r="C992" t="s">
        <v>1486</v>
      </c>
      <c r="E992" t="s">
        <v>475</v>
      </c>
      <c r="G992" s="1" t="s">
        <v>3520</v>
      </c>
      <c r="H992" t="s">
        <v>1139</v>
      </c>
      <c r="J992">
        <v>612300</v>
      </c>
      <c r="M992" t="s">
        <v>1058</v>
      </c>
      <c r="R992" t="s">
        <v>918</v>
      </c>
      <c r="S992" t="s">
        <v>3552</v>
      </c>
      <c r="T992" t="s">
        <v>1217</v>
      </c>
      <c r="V992" t="s">
        <v>3541</v>
      </c>
      <c r="AE992" t="s">
        <v>478</v>
      </c>
      <c r="AL992" t="s">
        <v>919</v>
      </c>
      <c r="AM992" t="s">
        <v>919</v>
      </c>
      <c r="AO992" t="s">
        <v>480</v>
      </c>
      <c r="AP992" t="s">
        <v>481</v>
      </c>
      <c r="BF992" s="1" t="s">
        <v>1207</v>
      </c>
      <c r="BH992" t="s">
        <v>1029</v>
      </c>
      <c r="BP992" t="s">
        <v>1489</v>
      </c>
    </row>
    <row r="993" spans="1:68" x14ac:dyDescent="0.25">
      <c r="A993" t="s">
        <v>5713</v>
      </c>
      <c r="B993" t="s">
        <v>474</v>
      </c>
      <c r="C993" t="s">
        <v>1486</v>
      </c>
      <c r="E993" t="s">
        <v>475</v>
      </c>
      <c r="G993" s="1" t="s">
        <v>3520</v>
      </c>
      <c r="H993" t="s">
        <v>978</v>
      </c>
      <c r="J993">
        <v>612300</v>
      </c>
      <c r="M993" t="s">
        <v>1058</v>
      </c>
      <c r="R993" t="s">
        <v>918</v>
      </c>
      <c r="S993" t="s">
        <v>3553</v>
      </c>
      <c r="T993" t="s">
        <v>3554</v>
      </c>
      <c r="V993" t="s">
        <v>3541</v>
      </c>
      <c r="AE993" t="s">
        <v>478</v>
      </c>
      <c r="AL993" t="s">
        <v>919</v>
      </c>
      <c r="AM993" t="s">
        <v>919</v>
      </c>
      <c r="AO993" t="s">
        <v>480</v>
      </c>
      <c r="AP993" t="s">
        <v>481</v>
      </c>
      <c r="BF993" s="1" t="s">
        <v>1207</v>
      </c>
      <c r="BH993" t="s">
        <v>1029</v>
      </c>
      <c r="BP993" t="s">
        <v>1489</v>
      </c>
    </row>
    <row r="994" spans="1:68" x14ac:dyDescent="0.25">
      <c r="A994" t="s">
        <v>5713</v>
      </c>
      <c r="B994" t="s">
        <v>474</v>
      </c>
      <c r="C994" t="s">
        <v>1486</v>
      </c>
      <c r="E994" t="s">
        <v>475</v>
      </c>
      <c r="G994" s="1" t="s">
        <v>3520</v>
      </c>
      <c r="H994" t="s">
        <v>979</v>
      </c>
      <c r="J994">
        <v>612300</v>
      </c>
      <c r="M994" t="s">
        <v>1058</v>
      </c>
      <c r="R994" t="s">
        <v>918</v>
      </c>
      <c r="S994" t="s">
        <v>3555</v>
      </c>
      <c r="T994" t="s">
        <v>1193</v>
      </c>
      <c r="V994" t="s">
        <v>3541</v>
      </c>
      <c r="AE994" t="s">
        <v>478</v>
      </c>
      <c r="AL994" t="s">
        <v>919</v>
      </c>
      <c r="AM994" t="s">
        <v>919</v>
      </c>
      <c r="AO994" t="s">
        <v>480</v>
      </c>
      <c r="AP994" t="s">
        <v>481</v>
      </c>
      <c r="BF994" s="1" t="s">
        <v>1207</v>
      </c>
      <c r="BH994" t="s">
        <v>1029</v>
      </c>
      <c r="BP994" t="s">
        <v>1489</v>
      </c>
    </row>
    <row r="995" spans="1:68" x14ac:dyDescent="0.25">
      <c r="A995" t="s">
        <v>5713</v>
      </c>
      <c r="B995" t="s">
        <v>474</v>
      </c>
      <c r="C995" t="s">
        <v>1486</v>
      </c>
      <c r="E995" t="s">
        <v>475</v>
      </c>
      <c r="G995" s="1" t="s">
        <v>3520</v>
      </c>
      <c r="H995" t="s">
        <v>1143</v>
      </c>
      <c r="J995">
        <v>612300</v>
      </c>
      <c r="M995" t="s">
        <v>1058</v>
      </c>
      <c r="R995" t="s">
        <v>918</v>
      </c>
      <c r="S995" t="s">
        <v>3556</v>
      </c>
      <c r="T995" t="s">
        <v>3557</v>
      </c>
      <c r="V995" t="s">
        <v>3541</v>
      </c>
      <c r="AE995" t="s">
        <v>478</v>
      </c>
      <c r="AL995" t="s">
        <v>919</v>
      </c>
      <c r="AM995" t="s">
        <v>919</v>
      </c>
      <c r="AO995" t="s">
        <v>480</v>
      </c>
      <c r="AP995" t="s">
        <v>481</v>
      </c>
      <c r="BF995" s="1" t="s">
        <v>1207</v>
      </c>
      <c r="BH995" t="s">
        <v>1029</v>
      </c>
      <c r="BP995" t="s">
        <v>1489</v>
      </c>
    </row>
    <row r="996" spans="1:68" x14ac:dyDescent="0.25">
      <c r="A996" t="s">
        <v>5713</v>
      </c>
      <c r="B996" t="s">
        <v>474</v>
      </c>
      <c r="C996" t="s">
        <v>1486</v>
      </c>
      <c r="E996" t="s">
        <v>475</v>
      </c>
      <c r="G996" s="1" t="s">
        <v>3520</v>
      </c>
      <c r="H996" t="s">
        <v>1145</v>
      </c>
      <c r="J996">
        <v>612300</v>
      </c>
      <c r="M996" t="s">
        <v>1058</v>
      </c>
      <c r="R996" t="s">
        <v>918</v>
      </c>
      <c r="S996" t="s">
        <v>3540</v>
      </c>
      <c r="T996" t="s">
        <v>1012</v>
      </c>
      <c r="V996" t="s">
        <v>3541</v>
      </c>
      <c r="AE996" t="s">
        <v>478</v>
      </c>
      <c r="AL996" t="s">
        <v>919</v>
      </c>
      <c r="AM996" t="s">
        <v>919</v>
      </c>
      <c r="AO996" t="s">
        <v>480</v>
      </c>
      <c r="AP996" t="s">
        <v>481</v>
      </c>
      <c r="BF996" s="1" t="s">
        <v>1207</v>
      </c>
      <c r="BH996" t="s">
        <v>1029</v>
      </c>
      <c r="BP996" t="s">
        <v>1489</v>
      </c>
    </row>
    <row r="997" spans="1:68" x14ac:dyDescent="0.25">
      <c r="A997" t="s">
        <v>5713</v>
      </c>
      <c r="B997" t="s">
        <v>474</v>
      </c>
      <c r="C997" t="s">
        <v>1486</v>
      </c>
      <c r="E997" t="s">
        <v>475</v>
      </c>
      <c r="G997" s="1" t="s">
        <v>3520</v>
      </c>
      <c r="H997" t="s">
        <v>980</v>
      </c>
      <c r="J997">
        <v>612300</v>
      </c>
      <c r="M997" t="s">
        <v>1058</v>
      </c>
      <c r="R997" t="s">
        <v>918</v>
      </c>
      <c r="S997" t="s">
        <v>3540</v>
      </c>
      <c r="T997" t="s">
        <v>1012</v>
      </c>
      <c r="V997" t="s">
        <v>3541</v>
      </c>
      <c r="AE997" t="s">
        <v>478</v>
      </c>
      <c r="AL997" t="s">
        <v>919</v>
      </c>
      <c r="AM997" t="s">
        <v>919</v>
      </c>
      <c r="AO997" t="s">
        <v>480</v>
      </c>
      <c r="AP997" t="s">
        <v>481</v>
      </c>
      <c r="BF997" s="1" t="s">
        <v>1207</v>
      </c>
      <c r="BH997" t="s">
        <v>1029</v>
      </c>
      <c r="BP997" t="s">
        <v>1489</v>
      </c>
    </row>
    <row r="998" spans="1:68" x14ac:dyDescent="0.25">
      <c r="A998" t="s">
        <v>5713</v>
      </c>
      <c r="B998" t="s">
        <v>474</v>
      </c>
      <c r="C998" t="s">
        <v>1486</v>
      </c>
      <c r="E998" t="s">
        <v>475</v>
      </c>
      <c r="G998" s="1" t="s">
        <v>3520</v>
      </c>
      <c r="H998" t="s">
        <v>1148</v>
      </c>
      <c r="J998">
        <v>612300</v>
      </c>
      <c r="M998" t="s">
        <v>1058</v>
      </c>
      <c r="R998" t="s">
        <v>918</v>
      </c>
      <c r="S998" t="s">
        <v>3558</v>
      </c>
      <c r="T998" t="s">
        <v>1217</v>
      </c>
      <c r="V998" t="s">
        <v>3541</v>
      </c>
      <c r="AE998" t="s">
        <v>478</v>
      </c>
      <c r="AL998" t="s">
        <v>919</v>
      </c>
      <c r="AM998" t="s">
        <v>919</v>
      </c>
      <c r="AO998" t="s">
        <v>480</v>
      </c>
      <c r="AP998" t="s">
        <v>481</v>
      </c>
      <c r="BF998" s="1" t="s">
        <v>1207</v>
      </c>
      <c r="BH998" t="s">
        <v>1029</v>
      </c>
      <c r="BP998" t="s">
        <v>1489</v>
      </c>
    </row>
    <row r="999" spans="1:68" x14ac:dyDescent="0.25">
      <c r="A999" t="s">
        <v>5713</v>
      </c>
      <c r="B999" t="s">
        <v>474</v>
      </c>
      <c r="C999" t="s">
        <v>1486</v>
      </c>
      <c r="E999" t="s">
        <v>475</v>
      </c>
      <c r="G999" s="1" t="s">
        <v>3520</v>
      </c>
      <c r="H999" t="s">
        <v>1150</v>
      </c>
      <c r="J999">
        <v>612300</v>
      </c>
      <c r="M999" t="s">
        <v>1058</v>
      </c>
      <c r="R999" t="s">
        <v>918</v>
      </c>
      <c r="S999" t="s">
        <v>3540</v>
      </c>
      <c r="T999" t="s">
        <v>1012</v>
      </c>
      <c r="V999" t="s">
        <v>3541</v>
      </c>
      <c r="AE999" t="s">
        <v>478</v>
      </c>
      <c r="AL999" t="s">
        <v>919</v>
      </c>
      <c r="AM999" t="s">
        <v>919</v>
      </c>
      <c r="AO999" t="s">
        <v>480</v>
      </c>
      <c r="AP999" t="s">
        <v>481</v>
      </c>
      <c r="BF999" s="1" t="s">
        <v>1207</v>
      </c>
      <c r="BH999" t="s">
        <v>1029</v>
      </c>
      <c r="BP999" t="s">
        <v>1489</v>
      </c>
    </row>
    <row r="1000" spans="1:68" x14ac:dyDescent="0.25">
      <c r="A1000" t="s">
        <v>5713</v>
      </c>
      <c r="B1000" t="s">
        <v>474</v>
      </c>
      <c r="C1000" t="s">
        <v>1486</v>
      </c>
      <c r="E1000" t="s">
        <v>475</v>
      </c>
      <c r="G1000" s="1" t="s">
        <v>3520</v>
      </c>
      <c r="H1000" t="s">
        <v>1152</v>
      </c>
      <c r="J1000">
        <v>612300</v>
      </c>
      <c r="M1000" t="s">
        <v>1058</v>
      </c>
      <c r="R1000" t="s">
        <v>918</v>
      </c>
      <c r="S1000" t="s">
        <v>3548</v>
      </c>
      <c r="T1000" t="s">
        <v>3531</v>
      </c>
      <c r="V1000" t="s">
        <v>3541</v>
      </c>
      <c r="AE1000" t="s">
        <v>478</v>
      </c>
      <c r="AL1000" t="s">
        <v>919</v>
      </c>
      <c r="AM1000" t="s">
        <v>919</v>
      </c>
      <c r="AO1000" t="s">
        <v>480</v>
      </c>
      <c r="AP1000" t="s">
        <v>481</v>
      </c>
      <c r="BF1000" s="1" t="s">
        <v>1207</v>
      </c>
      <c r="BH1000" t="s">
        <v>1029</v>
      </c>
      <c r="BP1000" t="s">
        <v>1489</v>
      </c>
    </row>
    <row r="1001" spans="1:68" x14ac:dyDescent="0.25">
      <c r="A1001" t="s">
        <v>5713</v>
      </c>
      <c r="B1001" t="s">
        <v>474</v>
      </c>
      <c r="C1001" t="s">
        <v>1486</v>
      </c>
      <c r="E1001" t="s">
        <v>475</v>
      </c>
      <c r="G1001" s="1" t="s">
        <v>3520</v>
      </c>
      <c r="H1001" t="s">
        <v>1154</v>
      </c>
      <c r="J1001">
        <v>612300</v>
      </c>
      <c r="M1001" t="s">
        <v>1058</v>
      </c>
      <c r="R1001" t="s">
        <v>918</v>
      </c>
      <c r="S1001" t="s">
        <v>3559</v>
      </c>
      <c r="T1001" t="s">
        <v>3560</v>
      </c>
      <c r="V1001" t="s">
        <v>3541</v>
      </c>
      <c r="AE1001" t="s">
        <v>478</v>
      </c>
      <c r="AL1001" t="s">
        <v>919</v>
      </c>
      <c r="AM1001" t="s">
        <v>919</v>
      </c>
      <c r="AO1001" t="s">
        <v>480</v>
      </c>
      <c r="AP1001" t="s">
        <v>481</v>
      </c>
      <c r="BF1001" s="1" t="s">
        <v>1207</v>
      </c>
      <c r="BH1001" t="s">
        <v>1029</v>
      </c>
      <c r="BP1001" t="s">
        <v>1489</v>
      </c>
    </row>
    <row r="1002" spans="1:68" x14ac:dyDescent="0.25">
      <c r="A1002" t="s">
        <v>5713</v>
      </c>
      <c r="B1002" t="s">
        <v>474</v>
      </c>
      <c r="C1002" t="s">
        <v>1486</v>
      </c>
      <c r="E1002" t="s">
        <v>475</v>
      </c>
      <c r="G1002" s="1" t="s">
        <v>3520</v>
      </c>
      <c r="H1002" t="s">
        <v>981</v>
      </c>
      <c r="J1002">
        <v>612300</v>
      </c>
      <c r="M1002" t="s">
        <v>1058</v>
      </c>
      <c r="R1002" t="s">
        <v>918</v>
      </c>
      <c r="S1002" t="s">
        <v>3561</v>
      </c>
      <c r="T1002" t="s">
        <v>3562</v>
      </c>
      <c r="V1002" t="s">
        <v>3563</v>
      </c>
      <c r="AE1002" t="s">
        <v>478</v>
      </c>
      <c r="AL1002" t="s">
        <v>919</v>
      </c>
      <c r="AM1002" t="s">
        <v>919</v>
      </c>
      <c r="AO1002" t="s">
        <v>480</v>
      </c>
      <c r="AP1002" t="s">
        <v>481</v>
      </c>
      <c r="BF1002" s="1" t="s">
        <v>1207</v>
      </c>
      <c r="BH1002" t="s">
        <v>1029</v>
      </c>
      <c r="BP1002" t="s">
        <v>1489</v>
      </c>
    </row>
    <row r="1003" spans="1:68" x14ac:dyDescent="0.25">
      <c r="A1003" t="s">
        <v>5713</v>
      </c>
      <c r="B1003" t="s">
        <v>474</v>
      </c>
      <c r="C1003" t="s">
        <v>1486</v>
      </c>
      <c r="E1003" t="s">
        <v>475</v>
      </c>
      <c r="G1003" s="1" t="s">
        <v>3520</v>
      </c>
      <c r="H1003" t="s">
        <v>1157</v>
      </c>
      <c r="J1003">
        <v>612300</v>
      </c>
      <c r="M1003" t="s">
        <v>1058</v>
      </c>
      <c r="R1003" t="s">
        <v>918</v>
      </c>
      <c r="S1003" t="s">
        <v>3564</v>
      </c>
      <c r="T1003" t="s">
        <v>3562</v>
      </c>
      <c r="V1003" t="s">
        <v>3563</v>
      </c>
      <c r="AE1003" t="s">
        <v>478</v>
      </c>
      <c r="AL1003" t="s">
        <v>919</v>
      </c>
      <c r="AM1003" t="s">
        <v>919</v>
      </c>
      <c r="AO1003" t="s">
        <v>480</v>
      </c>
      <c r="AP1003" t="s">
        <v>481</v>
      </c>
      <c r="BF1003" s="1" t="s">
        <v>1207</v>
      </c>
      <c r="BH1003" t="s">
        <v>1029</v>
      </c>
      <c r="BP1003" t="s">
        <v>1489</v>
      </c>
    </row>
    <row r="1004" spans="1:68" x14ac:dyDescent="0.25">
      <c r="A1004" t="s">
        <v>5713</v>
      </c>
      <c r="B1004" t="s">
        <v>474</v>
      </c>
      <c r="C1004" t="s">
        <v>1486</v>
      </c>
      <c r="E1004" t="s">
        <v>475</v>
      </c>
      <c r="G1004" s="1" t="s">
        <v>3520</v>
      </c>
      <c r="H1004" t="s">
        <v>982</v>
      </c>
      <c r="J1004">
        <v>612300</v>
      </c>
      <c r="M1004" t="s">
        <v>1058</v>
      </c>
      <c r="R1004" t="s">
        <v>918</v>
      </c>
      <c r="S1004" t="s">
        <v>3564</v>
      </c>
      <c r="T1004" t="s">
        <v>3562</v>
      </c>
      <c r="V1004" t="s">
        <v>3563</v>
      </c>
      <c r="AE1004" t="s">
        <v>478</v>
      </c>
      <c r="AL1004" t="s">
        <v>919</v>
      </c>
      <c r="AM1004" t="s">
        <v>919</v>
      </c>
      <c r="AO1004" t="s">
        <v>480</v>
      </c>
      <c r="AP1004" t="s">
        <v>481</v>
      </c>
      <c r="BF1004" s="1" t="s">
        <v>1207</v>
      </c>
      <c r="BH1004" t="s">
        <v>1029</v>
      </c>
      <c r="BP1004" t="s">
        <v>1489</v>
      </c>
    </row>
    <row r="1005" spans="1:68" x14ac:dyDescent="0.25">
      <c r="A1005" t="s">
        <v>5713</v>
      </c>
      <c r="B1005" t="s">
        <v>474</v>
      </c>
      <c r="C1005" t="s">
        <v>1486</v>
      </c>
      <c r="E1005" t="s">
        <v>475</v>
      </c>
      <c r="G1005" s="1" t="s">
        <v>3520</v>
      </c>
      <c r="H1005" t="s">
        <v>983</v>
      </c>
      <c r="J1005">
        <v>612300</v>
      </c>
      <c r="M1005" t="s">
        <v>1058</v>
      </c>
      <c r="R1005" t="s">
        <v>918</v>
      </c>
      <c r="S1005" t="s">
        <v>3565</v>
      </c>
      <c r="T1005" t="s">
        <v>3566</v>
      </c>
      <c r="V1005" t="s">
        <v>3563</v>
      </c>
      <c r="AE1005" t="s">
        <v>478</v>
      </c>
      <c r="AL1005" t="s">
        <v>919</v>
      </c>
      <c r="AM1005" t="s">
        <v>919</v>
      </c>
      <c r="AO1005" t="s">
        <v>480</v>
      </c>
      <c r="AP1005" t="s">
        <v>481</v>
      </c>
      <c r="BF1005" s="1" t="s">
        <v>1207</v>
      </c>
      <c r="BH1005" t="s">
        <v>1029</v>
      </c>
      <c r="BP1005" t="s">
        <v>1489</v>
      </c>
    </row>
    <row r="1006" spans="1:68" x14ac:dyDescent="0.25">
      <c r="A1006" t="s">
        <v>5713</v>
      </c>
      <c r="B1006" t="s">
        <v>474</v>
      </c>
      <c r="C1006" t="s">
        <v>1486</v>
      </c>
      <c r="E1006" t="s">
        <v>475</v>
      </c>
      <c r="G1006" s="1" t="s">
        <v>3520</v>
      </c>
      <c r="H1006" t="s">
        <v>1161</v>
      </c>
      <c r="J1006">
        <v>612300</v>
      </c>
      <c r="M1006" t="s">
        <v>1058</v>
      </c>
      <c r="R1006" t="s">
        <v>918</v>
      </c>
      <c r="S1006" t="s">
        <v>3564</v>
      </c>
      <c r="T1006" t="s">
        <v>3562</v>
      </c>
      <c r="V1006" t="s">
        <v>3563</v>
      </c>
      <c r="AE1006" t="s">
        <v>478</v>
      </c>
      <c r="AL1006" t="s">
        <v>919</v>
      </c>
      <c r="AM1006" t="s">
        <v>919</v>
      </c>
      <c r="AO1006" t="s">
        <v>480</v>
      </c>
      <c r="AP1006" t="s">
        <v>481</v>
      </c>
      <c r="BF1006" s="1" t="s">
        <v>1207</v>
      </c>
      <c r="BH1006" t="s">
        <v>1029</v>
      </c>
      <c r="BP1006" t="s">
        <v>1489</v>
      </c>
    </row>
    <row r="1007" spans="1:68" x14ac:dyDescent="0.25">
      <c r="A1007" t="s">
        <v>5713</v>
      </c>
      <c r="B1007" t="s">
        <v>474</v>
      </c>
      <c r="C1007" t="s">
        <v>1486</v>
      </c>
      <c r="E1007" t="s">
        <v>475</v>
      </c>
      <c r="G1007" s="1" t="s">
        <v>3520</v>
      </c>
      <c r="H1007" t="s">
        <v>1163</v>
      </c>
      <c r="J1007">
        <v>612300</v>
      </c>
      <c r="M1007" t="s">
        <v>1058</v>
      </c>
      <c r="R1007" t="s">
        <v>918</v>
      </c>
      <c r="S1007" t="s">
        <v>3564</v>
      </c>
      <c r="T1007" t="s">
        <v>3562</v>
      </c>
      <c r="V1007" t="s">
        <v>3563</v>
      </c>
      <c r="AE1007" t="s">
        <v>478</v>
      </c>
      <c r="AL1007" t="s">
        <v>919</v>
      </c>
      <c r="AM1007" t="s">
        <v>919</v>
      </c>
      <c r="AO1007" t="s">
        <v>480</v>
      </c>
      <c r="AP1007" t="s">
        <v>481</v>
      </c>
      <c r="BF1007" s="1" t="s">
        <v>1207</v>
      </c>
      <c r="BH1007" t="s">
        <v>1029</v>
      </c>
      <c r="BP1007" t="s">
        <v>1489</v>
      </c>
    </row>
    <row r="1008" spans="1:68" x14ac:dyDescent="0.25">
      <c r="A1008" t="s">
        <v>5713</v>
      </c>
      <c r="B1008" t="s">
        <v>474</v>
      </c>
      <c r="C1008" t="s">
        <v>1486</v>
      </c>
      <c r="E1008" t="s">
        <v>475</v>
      </c>
      <c r="G1008" s="1" t="s">
        <v>3520</v>
      </c>
      <c r="H1008" t="s">
        <v>1165</v>
      </c>
      <c r="J1008">
        <v>612300</v>
      </c>
      <c r="M1008" t="s">
        <v>1058</v>
      </c>
      <c r="R1008" t="s">
        <v>918</v>
      </c>
      <c r="S1008" t="s">
        <v>3564</v>
      </c>
      <c r="T1008" t="s">
        <v>3562</v>
      </c>
      <c r="V1008" t="s">
        <v>3563</v>
      </c>
      <c r="AE1008" t="s">
        <v>478</v>
      </c>
      <c r="AL1008" t="s">
        <v>919</v>
      </c>
      <c r="AM1008" t="s">
        <v>919</v>
      </c>
      <c r="AO1008" t="s">
        <v>480</v>
      </c>
      <c r="AP1008" t="s">
        <v>481</v>
      </c>
      <c r="BF1008" s="1" t="s">
        <v>1207</v>
      </c>
      <c r="BH1008" t="s">
        <v>1029</v>
      </c>
      <c r="BP1008" t="s">
        <v>1489</v>
      </c>
    </row>
    <row r="1009" spans="1:68" x14ac:dyDescent="0.25">
      <c r="A1009" t="s">
        <v>5713</v>
      </c>
      <c r="B1009" t="s">
        <v>474</v>
      </c>
      <c r="C1009" t="s">
        <v>1486</v>
      </c>
      <c r="E1009" t="s">
        <v>475</v>
      </c>
      <c r="G1009" s="1" t="s">
        <v>3520</v>
      </c>
      <c r="H1009" t="s">
        <v>1167</v>
      </c>
      <c r="J1009">
        <v>612300</v>
      </c>
      <c r="M1009" t="s">
        <v>1058</v>
      </c>
      <c r="R1009" t="s">
        <v>918</v>
      </c>
      <c r="S1009" t="s">
        <v>3567</v>
      </c>
      <c r="T1009" t="s">
        <v>1485</v>
      </c>
      <c r="V1009" t="s">
        <v>3563</v>
      </c>
      <c r="AE1009" t="s">
        <v>478</v>
      </c>
      <c r="AL1009" t="s">
        <v>919</v>
      </c>
      <c r="AM1009" t="s">
        <v>919</v>
      </c>
      <c r="AO1009" t="s">
        <v>480</v>
      </c>
      <c r="AP1009" t="s">
        <v>481</v>
      </c>
      <c r="BF1009" s="1" t="s">
        <v>1207</v>
      </c>
      <c r="BH1009" t="s">
        <v>1029</v>
      </c>
      <c r="BP1009" t="s">
        <v>1489</v>
      </c>
    </row>
    <row r="1010" spans="1:68" x14ac:dyDescent="0.25">
      <c r="A1010" t="s">
        <v>5713</v>
      </c>
      <c r="B1010" t="s">
        <v>474</v>
      </c>
      <c r="C1010" t="s">
        <v>1486</v>
      </c>
      <c r="E1010" t="s">
        <v>475</v>
      </c>
      <c r="G1010" s="1" t="s">
        <v>3520</v>
      </c>
      <c r="H1010" t="s">
        <v>1169</v>
      </c>
      <c r="J1010">
        <v>612300</v>
      </c>
      <c r="M1010" t="s">
        <v>1058</v>
      </c>
      <c r="R1010" t="s">
        <v>918</v>
      </c>
      <c r="S1010" t="s">
        <v>3568</v>
      </c>
      <c r="T1010" t="s">
        <v>3569</v>
      </c>
      <c r="V1010" t="s">
        <v>3563</v>
      </c>
      <c r="AE1010" t="s">
        <v>478</v>
      </c>
      <c r="AL1010" t="s">
        <v>919</v>
      </c>
      <c r="AM1010" t="s">
        <v>919</v>
      </c>
      <c r="AO1010" t="s">
        <v>480</v>
      </c>
      <c r="AP1010" t="s">
        <v>481</v>
      </c>
      <c r="BF1010" s="1" t="s">
        <v>1207</v>
      </c>
      <c r="BH1010" t="s">
        <v>1029</v>
      </c>
      <c r="BP1010" t="s">
        <v>1489</v>
      </c>
    </row>
    <row r="1011" spans="1:68" x14ac:dyDescent="0.25">
      <c r="A1011" t="s">
        <v>5713</v>
      </c>
      <c r="B1011" t="s">
        <v>474</v>
      </c>
      <c r="C1011" t="s">
        <v>1486</v>
      </c>
      <c r="E1011" t="s">
        <v>475</v>
      </c>
      <c r="G1011" s="1" t="s">
        <v>3520</v>
      </c>
      <c r="H1011" t="s">
        <v>1171</v>
      </c>
      <c r="J1011">
        <v>612300</v>
      </c>
      <c r="M1011" t="s">
        <v>1058</v>
      </c>
      <c r="R1011" t="s">
        <v>918</v>
      </c>
      <c r="S1011" t="s">
        <v>3570</v>
      </c>
      <c r="T1011" t="s">
        <v>3571</v>
      </c>
      <c r="V1011" t="s">
        <v>3563</v>
      </c>
      <c r="AE1011" t="s">
        <v>478</v>
      </c>
      <c r="AL1011" t="s">
        <v>919</v>
      </c>
      <c r="AM1011" t="s">
        <v>919</v>
      </c>
      <c r="AO1011" t="s">
        <v>480</v>
      </c>
      <c r="AP1011" t="s">
        <v>481</v>
      </c>
      <c r="BF1011" s="1" t="s">
        <v>1207</v>
      </c>
      <c r="BH1011" t="s">
        <v>1029</v>
      </c>
      <c r="BP1011" t="s">
        <v>1489</v>
      </c>
    </row>
    <row r="1012" spans="1:68" x14ac:dyDescent="0.25">
      <c r="A1012" t="s">
        <v>5713</v>
      </c>
      <c r="B1012" t="s">
        <v>474</v>
      </c>
      <c r="C1012" t="s">
        <v>1486</v>
      </c>
      <c r="E1012" t="s">
        <v>475</v>
      </c>
      <c r="G1012" s="1" t="s">
        <v>3520</v>
      </c>
      <c r="H1012" t="s">
        <v>1173</v>
      </c>
      <c r="J1012">
        <v>612300</v>
      </c>
      <c r="M1012" t="s">
        <v>1058</v>
      </c>
      <c r="R1012" t="s">
        <v>918</v>
      </c>
      <c r="S1012" t="s">
        <v>3572</v>
      </c>
      <c r="T1012" t="s">
        <v>3573</v>
      </c>
      <c r="V1012" t="s">
        <v>3563</v>
      </c>
      <c r="AE1012" t="s">
        <v>478</v>
      </c>
      <c r="AL1012" t="s">
        <v>919</v>
      </c>
      <c r="AM1012" t="s">
        <v>919</v>
      </c>
      <c r="AO1012" t="s">
        <v>480</v>
      </c>
      <c r="AP1012" t="s">
        <v>481</v>
      </c>
      <c r="BF1012" s="1" t="s">
        <v>1207</v>
      </c>
      <c r="BH1012" t="s">
        <v>1029</v>
      </c>
      <c r="BP1012" t="s">
        <v>1489</v>
      </c>
    </row>
    <row r="1013" spans="1:68" x14ac:dyDescent="0.25">
      <c r="A1013" t="s">
        <v>5713</v>
      </c>
      <c r="B1013" t="s">
        <v>474</v>
      </c>
      <c r="C1013" t="s">
        <v>1486</v>
      </c>
      <c r="E1013" t="s">
        <v>475</v>
      </c>
      <c r="G1013" s="1" t="s">
        <v>3520</v>
      </c>
      <c r="H1013" t="s">
        <v>1194</v>
      </c>
      <c r="J1013">
        <v>612300</v>
      </c>
      <c r="M1013" t="s">
        <v>1058</v>
      </c>
      <c r="R1013" t="s">
        <v>918</v>
      </c>
      <c r="S1013" t="s">
        <v>3574</v>
      </c>
      <c r="T1013" t="s">
        <v>3575</v>
      </c>
      <c r="V1013" t="s">
        <v>3563</v>
      </c>
      <c r="AE1013" t="s">
        <v>478</v>
      </c>
      <c r="AL1013" t="s">
        <v>919</v>
      </c>
      <c r="AM1013" t="s">
        <v>919</v>
      </c>
      <c r="AO1013" t="s">
        <v>480</v>
      </c>
      <c r="AP1013" t="s">
        <v>481</v>
      </c>
      <c r="BF1013" s="1" t="s">
        <v>1207</v>
      </c>
      <c r="BH1013" t="s">
        <v>1029</v>
      </c>
      <c r="BP1013" t="s">
        <v>1489</v>
      </c>
    </row>
    <row r="1014" spans="1:68" x14ac:dyDescent="0.25">
      <c r="A1014" t="s">
        <v>5713</v>
      </c>
      <c r="B1014" t="s">
        <v>474</v>
      </c>
      <c r="C1014" t="s">
        <v>1486</v>
      </c>
      <c r="E1014" t="s">
        <v>475</v>
      </c>
      <c r="G1014" s="1" t="s">
        <v>3520</v>
      </c>
      <c r="H1014" t="s">
        <v>1195</v>
      </c>
      <c r="J1014">
        <v>612300</v>
      </c>
      <c r="M1014" t="s">
        <v>1058</v>
      </c>
      <c r="R1014" t="s">
        <v>918</v>
      </c>
      <c r="S1014" t="s">
        <v>3564</v>
      </c>
      <c r="T1014" t="s">
        <v>3562</v>
      </c>
      <c r="V1014" t="s">
        <v>3563</v>
      </c>
      <c r="AE1014" t="s">
        <v>478</v>
      </c>
      <c r="AL1014" t="s">
        <v>919</v>
      </c>
      <c r="AM1014" t="s">
        <v>919</v>
      </c>
      <c r="AO1014" t="s">
        <v>480</v>
      </c>
      <c r="AP1014" t="s">
        <v>481</v>
      </c>
      <c r="BF1014" s="1" t="s">
        <v>1207</v>
      </c>
      <c r="BH1014" t="s">
        <v>1029</v>
      </c>
      <c r="BP1014" t="s">
        <v>1489</v>
      </c>
    </row>
    <row r="1015" spans="1:68" x14ac:dyDescent="0.25">
      <c r="A1015" t="s">
        <v>5713</v>
      </c>
      <c r="B1015" t="s">
        <v>474</v>
      </c>
      <c r="C1015" t="s">
        <v>1486</v>
      </c>
      <c r="E1015" t="s">
        <v>475</v>
      </c>
      <c r="G1015" s="1" t="s">
        <v>3520</v>
      </c>
      <c r="H1015" t="s">
        <v>1196</v>
      </c>
      <c r="J1015">
        <v>612300</v>
      </c>
      <c r="M1015" t="s">
        <v>1058</v>
      </c>
      <c r="R1015" t="s">
        <v>918</v>
      </c>
      <c r="S1015" t="s">
        <v>3564</v>
      </c>
      <c r="T1015" t="s">
        <v>3562</v>
      </c>
      <c r="V1015" t="s">
        <v>3563</v>
      </c>
      <c r="AE1015" t="s">
        <v>478</v>
      </c>
      <c r="AL1015" t="s">
        <v>919</v>
      </c>
      <c r="AM1015" t="s">
        <v>919</v>
      </c>
      <c r="AO1015" t="s">
        <v>480</v>
      </c>
      <c r="AP1015" t="s">
        <v>481</v>
      </c>
      <c r="BF1015" s="1" t="s">
        <v>1207</v>
      </c>
      <c r="BH1015" t="s">
        <v>1029</v>
      </c>
      <c r="BP1015" t="s">
        <v>1489</v>
      </c>
    </row>
    <row r="1016" spans="1:68" x14ac:dyDescent="0.25">
      <c r="A1016" t="s">
        <v>5713</v>
      </c>
      <c r="B1016" t="s">
        <v>474</v>
      </c>
      <c r="C1016" t="s">
        <v>1486</v>
      </c>
      <c r="E1016" t="s">
        <v>475</v>
      </c>
      <c r="G1016" s="1" t="s">
        <v>3520</v>
      </c>
      <c r="H1016" t="s">
        <v>1197</v>
      </c>
      <c r="J1016">
        <v>612300</v>
      </c>
      <c r="M1016" t="s">
        <v>1058</v>
      </c>
      <c r="R1016" t="s">
        <v>918</v>
      </c>
      <c r="S1016" t="s">
        <v>3564</v>
      </c>
      <c r="T1016" t="s">
        <v>3562</v>
      </c>
      <c r="V1016" t="s">
        <v>3563</v>
      </c>
      <c r="AE1016" t="s">
        <v>478</v>
      </c>
      <c r="AL1016" t="s">
        <v>919</v>
      </c>
      <c r="AM1016" t="s">
        <v>919</v>
      </c>
      <c r="AO1016" t="s">
        <v>480</v>
      </c>
      <c r="AP1016" t="s">
        <v>481</v>
      </c>
      <c r="BF1016" s="1" t="s">
        <v>1207</v>
      </c>
      <c r="BH1016" t="s">
        <v>1029</v>
      </c>
      <c r="BP1016" t="s">
        <v>1489</v>
      </c>
    </row>
    <row r="1017" spans="1:68" x14ac:dyDescent="0.25">
      <c r="A1017" t="s">
        <v>5713</v>
      </c>
      <c r="B1017" t="s">
        <v>474</v>
      </c>
      <c r="C1017" t="s">
        <v>1486</v>
      </c>
      <c r="E1017" t="s">
        <v>475</v>
      </c>
      <c r="G1017" s="1" t="s">
        <v>3520</v>
      </c>
      <c r="H1017" t="s">
        <v>1198</v>
      </c>
      <c r="J1017">
        <v>612300</v>
      </c>
      <c r="M1017" t="s">
        <v>1058</v>
      </c>
      <c r="R1017" t="s">
        <v>918</v>
      </c>
      <c r="S1017" t="s">
        <v>3576</v>
      </c>
      <c r="T1017" t="s">
        <v>1189</v>
      </c>
      <c r="V1017" t="s">
        <v>3577</v>
      </c>
      <c r="AE1017" t="s">
        <v>478</v>
      </c>
      <c r="AL1017" t="s">
        <v>919</v>
      </c>
      <c r="AM1017" t="s">
        <v>919</v>
      </c>
      <c r="AO1017" t="s">
        <v>480</v>
      </c>
      <c r="AP1017" t="s">
        <v>481</v>
      </c>
      <c r="BF1017" s="1" t="s">
        <v>1207</v>
      </c>
      <c r="BH1017" t="s">
        <v>1029</v>
      </c>
      <c r="BP1017" t="s">
        <v>1489</v>
      </c>
    </row>
    <row r="1018" spans="1:68" x14ac:dyDescent="0.25">
      <c r="A1018" t="s">
        <v>5713</v>
      </c>
      <c r="B1018" t="s">
        <v>474</v>
      </c>
      <c r="C1018" t="s">
        <v>1486</v>
      </c>
      <c r="E1018" t="s">
        <v>475</v>
      </c>
      <c r="G1018" s="1" t="s">
        <v>3520</v>
      </c>
      <c r="H1018" t="s">
        <v>1199</v>
      </c>
      <c r="J1018">
        <v>612300</v>
      </c>
      <c r="M1018" t="s">
        <v>1058</v>
      </c>
      <c r="R1018" t="s">
        <v>918</v>
      </c>
      <c r="S1018" t="s">
        <v>3578</v>
      </c>
      <c r="T1018" t="s">
        <v>3579</v>
      </c>
      <c r="V1018" t="s">
        <v>3577</v>
      </c>
      <c r="AE1018" t="s">
        <v>478</v>
      </c>
      <c r="AL1018" t="s">
        <v>919</v>
      </c>
      <c r="AM1018" t="s">
        <v>919</v>
      </c>
      <c r="AO1018" t="s">
        <v>480</v>
      </c>
      <c r="AP1018" t="s">
        <v>481</v>
      </c>
      <c r="BF1018" s="1" t="s">
        <v>1207</v>
      </c>
      <c r="BH1018" t="s">
        <v>1029</v>
      </c>
      <c r="BP1018" t="s">
        <v>1489</v>
      </c>
    </row>
    <row r="1019" spans="1:68" x14ac:dyDescent="0.25">
      <c r="A1019" t="s">
        <v>5713</v>
      </c>
      <c r="B1019" t="s">
        <v>474</v>
      </c>
      <c r="C1019" t="s">
        <v>1486</v>
      </c>
      <c r="E1019" t="s">
        <v>475</v>
      </c>
      <c r="G1019" s="1" t="s">
        <v>3520</v>
      </c>
      <c r="H1019" t="s">
        <v>1200</v>
      </c>
      <c r="J1019">
        <v>612300</v>
      </c>
      <c r="M1019" t="s">
        <v>1058</v>
      </c>
      <c r="R1019" t="s">
        <v>918</v>
      </c>
      <c r="S1019" t="s">
        <v>3580</v>
      </c>
      <c r="T1019" t="s">
        <v>3581</v>
      </c>
      <c r="V1019" t="s">
        <v>3577</v>
      </c>
      <c r="AE1019" t="s">
        <v>478</v>
      </c>
      <c r="AL1019" t="s">
        <v>919</v>
      </c>
      <c r="AM1019" t="s">
        <v>919</v>
      </c>
      <c r="AO1019" t="s">
        <v>480</v>
      </c>
      <c r="AP1019" t="s">
        <v>481</v>
      </c>
      <c r="BF1019" s="1" t="s">
        <v>1207</v>
      </c>
      <c r="BH1019" t="s">
        <v>1029</v>
      </c>
      <c r="BP1019" t="s">
        <v>1489</v>
      </c>
    </row>
    <row r="1020" spans="1:68" x14ac:dyDescent="0.25">
      <c r="A1020" t="s">
        <v>5713</v>
      </c>
      <c r="B1020" t="s">
        <v>474</v>
      </c>
      <c r="C1020" t="s">
        <v>1486</v>
      </c>
      <c r="E1020" t="s">
        <v>475</v>
      </c>
      <c r="G1020" s="1" t="s">
        <v>3520</v>
      </c>
      <c r="H1020" t="s">
        <v>1245</v>
      </c>
      <c r="J1020">
        <v>651220</v>
      </c>
      <c r="M1020">
        <v>1213</v>
      </c>
      <c r="R1020" t="s">
        <v>918</v>
      </c>
      <c r="S1020" t="s">
        <v>3582</v>
      </c>
      <c r="T1020" t="s">
        <v>3583</v>
      </c>
      <c r="V1020" t="s">
        <v>3584</v>
      </c>
      <c r="AE1020" t="s">
        <v>478</v>
      </c>
      <c r="AL1020" t="s">
        <v>919</v>
      </c>
      <c r="AM1020" t="s">
        <v>919</v>
      </c>
      <c r="AO1020" t="s">
        <v>480</v>
      </c>
      <c r="AP1020" t="s">
        <v>481</v>
      </c>
      <c r="BF1020" s="1" t="s">
        <v>3585</v>
      </c>
      <c r="BH1020" t="s">
        <v>1029</v>
      </c>
      <c r="BP1020" t="s">
        <v>1489</v>
      </c>
    </row>
    <row r="1021" spans="1:68" x14ac:dyDescent="0.25">
      <c r="A1021" t="s">
        <v>5713</v>
      </c>
      <c r="B1021" t="s">
        <v>474</v>
      </c>
      <c r="C1021" t="s">
        <v>1486</v>
      </c>
      <c r="E1021" t="s">
        <v>475</v>
      </c>
      <c r="G1021" s="1" t="s">
        <v>3520</v>
      </c>
      <c r="H1021" t="s">
        <v>1246</v>
      </c>
      <c r="J1021">
        <v>651220</v>
      </c>
      <c r="M1021">
        <v>1213</v>
      </c>
      <c r="R1021" t="s">
        <v>918</v>
      </c>
      <c r="S1021" t="s">
        <v>3586</v>
      </c>
      <c r="T1021" t="s">
        <v>3587</v>
      </c>
      <c r="V1021" t="s">
        <v>3584</v>
      </c>
      <c r="AE1021" t="s">
        <v>478</v>
      </c>
      <c r="AL1021" t="s">
        <v>919</v>
      </c>
      <c r="AM1021" t="s">
        <v>919</v>
      </c>
      <c r="AO1021" t="s">
        <v>480</v>
      </c>
      <c r="AP1021" t="s">
        <v>481</v>
      </c>
      <c r="BF1021" s="1" t="s">
        <v>3585</v>
      </c>
      <c r="BH1021" t="s">
        <v>1029</v>
      </c>
      <c r="BP1021" t="s">
        <v>1489</v>
      </c>
    </row>
    <row r="1022" spans="1:68" x14ac:dyDescent="0.25">
      <c r="A1022" t="s">
        <v>5713</v>
      </c>
      <c r="B1022" t="s">
        <v>474</v>
      </c>
      <c r="C1022" t="s">
        <v>1486</v>
      </c>
      <c r="E1022" t="s">
        <v>480</v>
      </c>
      <c r="G1022" s="1" t="s">
        <v>3588</v>
      </c>
      <c r="H1022" t="s">
        <v>959</v>
      </c>
      <c r="J1022">
        <v>612000</v>
      </c>
      <c r="M1022">
        <v>3312</v>
      </c>
      <c r="R1022" t="s">
        <v>918</v>
      </c>
      <c r="S1022" t="s">
        <v>3589</v>
      </c>
      <c r="T1022" t="s">
        <v>3590</v>
      </c>
      <c r="V1022" t="s">
        <v>3591</v>
      </c>
      <c r="AE1022" t="s">
        <v>478</v>
      </c>
      <c r="AL1022" t="s">
        <v>919</v>
      </c>
      <c r="AM1022" t="s">
        <v>919</v>
      </c>
      <c r="AO1022" t="s">
        <v>480</v>
      </c>
      <c r="AP1022" t="s">
        <v>481</v>
      </c>
      <c r="BF1022" s="1" t="s">
        <v>1077</v>
      </c>
      <c r="BH1022" t="s">
        <v>1029</v>
      </c>
      <c r="BP1022" t="s">
        <v>1489</v>
      </c>
    </row>
    <row r="1023" spans="1:68" x14ac:dyDescent="0.25">
      <c r="A1023" t="s">
        <v>5713</v>
      </c>
      <c r="B1023" t="s">
        <v>474</v>
      </c>
      <c r="C1023" t="s">
        <v>1486</v>
      </c>
      <c r="E1023" t="s">
        <v>480</v>
      </c>
      <c r="G1023" s="1" t="s">
        <v>3588</v>
      </c>
      <c r="H1023" t="s">
        <v>492</v>
      </c>
      <c r="J1023">
        <v>612000</v>
      </c>
      <c r="M1023">
        <v>3312</v>
      </c>
      <c r="R1023" t="s">
        <v>918</v>
      </c>
      <c r="S1023" t="s">
        <v>3592</v>
      </c>
      <c r="T1023" t="s">
        <v>3593</v>
      </c>
      <c r="V1023" t="s">
        <v>3594</v>
      </c>
      <c r="AE1023" t="s">
        <v>478</v>
      </c>
      <c r="AL1023" t="s">
        <v>919</v>
      </c>
      <c r="AM1023" t="s">
        <v>919</v>
      </c>
      <c r="AO1023" t="s">
        <v>480</v>
      </c>
      <c r="AP1023" t="s">
        <v>481</v>
      </c>
      <c r="BF1023" s="1" t="s">
        <v>1077</v>
      </c>
      <c r="BH1023" t="s">
        <v>1029</v>
      </c>
      <c r="BP1023" t="s">
        <v>1489</v>
      </c>
    </row>
    <row r="1024" spans="1:68" x14ac:dyDescent="0.25">
      <c r="A1024" t="s">
        <v>5713</v>
      </c>
      <c r="B1024" t="s">
        <v>474</v>
      </c>
      <c r="C1024" t="s">
        <v>1486</v>
      </c>
      <c r="E1024" t="s">
        <v>480</v>
      </c>
      <c r="G1024" s="1" t="s">
        <v>3595</v>
      </c>
      <c r="H1024" t="s">
        <v>959</v>
      </c>
      <c r="J1024">
        <v>612000</v>
      </c>
      <c r="M1024">
        <v>3312</v>
      </c>
      <c r="R1024" t="s">
        <v>918</v>
      </c>
      <c r="S1024" t="s">
        <v>3596</v>
      </c>
      <c r="T1024" t="s">
        <v>1364</v>
      </c>
      <c r="V1024" t="s">
        <v>3597</v>
      </c>
      <c r="AE1024" t="s">
        <v>478</v>
      </c>
      <c r="AL1024" t="s">
        <v>919</v>
      </c>
      <c r="AM1024" t="s">
        <v>919</v>
      </c>
      <c r="AO1024" t="s">
        <v>480</v>
      </c>
      <c r="AP1024" t="s">
        <v>481</v>
      </c>
      <c r="BF1024" s="1" t="s">
        <v>1077</v>
      </c>
      <c r="BH1024" t="s">
        <v>1029</v>
      </c>
      <c r="BP1024" t="s">
        <v>1489</v>
      </c>
    </row>
    <row r="1025" spans="1:68" x14ac:dyDescent="0.25">
      <c r="A1025" t="s">
        <v>5713</v>
      </c>
      <c r="B1025" t="s">
        <v>474</v>
      </c>
      <c r="C1025" t="s">
        <v>1486</v>
      </c>
      <c r="E1025" t="s">
        <v>475</v>
      </c>
      <c r="G1025" s="1" t="s">
        <v>3598</v>
      </c>
      <c r="H1025" t="s">
        <v>959</v>
      </c>
      <c r="J1025">
        <v>667011</v>
      </c>
      <c r="M1025">
        <v>1213</v>
      </c>
      <c r="R1025" t="s">
        <v>918</v>
      </c>
      <c r="S1025" t="s">
        <v>3599</v>
      </c>
      <c r="T1025" t="s">
        <v>3600</v>
      </c>
      <c r="V1025" t="s">
        <v>3601</v>
      </c>
      <c r="AE1025" t="s">
        <v>478</v>
      </c>
      <c r="AL1025" t="s">
        <v>919</v>
      </c>
      <c r="AM1025" t="s">
        <v>919</v>
      </c>
      <c r="AO1025" t="s">
        <v>480</v>
      </c>
      <c r="AP1025" t="s">
        <v>481</v>
      </c>
      <c r="BF1025" s="1" t="s">
        <v>1028</v>
      </c>
      <c r="BH1025" t="s">
        <v>1029</v>
      </c>
      <c r="BP1025" t="s">
        <v>1489</v>
      </c>
    </row>
    <row r="1026" spans="1:68" x14ac:dyDescent="0.25">
      <c r="A1026" t="s">
        <v>5713</v>
      </c>
      <c r="B1026" t="s">
        <v>474</v>
      </c>
      <c r="C1026" t="s">
        <v>1486</v>
      </c>
      <c r="E1026" t="s">
        <v>475</v>
      </c>
      <c r="G1026" s="1" t="s">
        <v>3598</v>
      </c>
      <c r="H1026" t="s">
        <v>500</v>
      </c>
      <c r="J1026">
        <v>667011</v>
      </c>
      <c r="M1026">
        <v>1213</v>
      </c>
      <c r="R1026" t="s">
        <v>918</v>
      </c>
      <c r="S1026" t="s">
        <v>3602</v>
      </c>
      <c r="T1026" t="s">
        <v>3603</v>
      </c>
      <c r="V1026" t="s">
        <v>3601</v>
      </c>
      <c r="AE1026" t="s">
        <v>478</v>
      </c>
      <c r="AL1026" t="s">
        <v>919</v>
      </c>
      <c r="AM1026" t="s">
        <v>919</v>
      </c>
      <c r="AO1026" t="s">
        <v>480</v>
      </c>
      <c r="AP1026" t="s">
        <v>481</v>
      </c>
      <c r="BF1026" s="1" t="s">
        <v>1028</v>
      </c>
      <c r="BH1026" t="s">
        <v>1029</v>
      </c>
      <c r="BP1026" t="s">
        <v>1489</v>
      </c>
    </row>
    <row r="1027" spans="1:68" x14ac:dyDescent="0.25">
      <c r="A1027" t="s">
        <v>5713</v>
      </c>
      <c r="B1027" t="s">
        <v>474</v>
      </c>
      <c r="C1027" t="s">
        <v>1486</v>
      </c>
      <c r="E1027" t="s">
        <v>475</v>
      </c>
      <c r="G1027" s="1" t="s">
        <v>3598</v>
      </c>
      <c r="H1027" t="s">
        <v>546</v>
      </c>
      <c r="J1027">
        <v>667011</v>
      </c>
      <c r="M1027">
        <v>1213</v>
      </c>
      <c r="R1027" t="s">
        <v>918</v>
      </c>
      <c r="S1027" t="s">
        <v>3604</v>
      </c>
      <c r="T1027" t="s">
        <v>3605</v>
      </c>
      <c r="V1027" t="s">
        <v>3601</v>
      </c>
      <c r="AE1027" t="s">
        <v>478</v>
      </c>
      <c r="AL1027" t="s">
        <v>919</v>
      </c>
      <c r="AM1027" t="s">
        <v>919</v>
      </c>
      <c r="AO1027" t="s">
        <v>480</v>
      </c>
      <c r="AP1027" t="s">
        <v>481</v>
      </c>
      <c r="BF1027" s="1" t="s">
        <v>1028</v>
      </c>
      <c r="BH1027" t="s">
        <v>1029</v>
      </c>
      <c r="BP1027" t="s">
        <v>1489</v>
      </c>
    </row>
    <row r="1028" spans="1:68" x14ac:dyDescent="0.25">
      <c r="A1028" t="s">
        <v>5713</v>
      </c>
      <c r="B1028" t="s">
        <v>474</v>
      </c>
      <c r="C1028" t="s">
        <v>1486</v>
      </c>
      <c r="E1028" t="s">
        <v>475</v>
      </c>
      <c r="G1028" s="1" t="s">
        <v>3598</v>
      </c>
      <c r="H1028" t="s">
        <v>559</v>
      </c>
      <c r="J1028">
        <v>667011</v>
      </c>
      <c r="M1028">
        <v>1213</v>
      </c>
      <c r="R1028" t="s">
        <v>918</v>
      </c>
      <c r="S1028" t="s">
        <v>3606</v>
      </c>
      <c r="T1028" t="s">
        <v>1477</v>
      </c>
      <c r="V1028" t="s">
        <v>3607</v>
      </c>
      <c r="AE1028" t="s">
        <v>478</v>
      </c>
      <c r="AL1028" t="s">
        <v>919</v>
      </c>
      <c r="AM1028" t="s">
        <v>919</v>
      </c>
      <c r="AO1028" t="s">
        <v>480</v>
      </c>
      <c r="AP1028" t="s">
        <v>481</v>
      </c>
      <c r="BF1028" s="1" t="s">
        <v>1030</v>
      </c>
      <c r="BH1028" t="s">
        <v>1029</v>
      </c>
      <c r="BP1028" t="s">
        <v>1489</v>
      </c>
    </row>
    <row r="1029" spans="1:68" x14ac:dyDescent="0.25">
      <c r="A1029" t="s">
        <v>5713</v>
      </c>
      <c r="B1029" t="s">
        <v>474</v>
      </c>
      <c r="C1029" t="s">
        <v>1486</v>
      </c>
      <c r="E1029" t="s">
        <v>475</v>
      </c>
      <c r="G1029" s="1" t="s">
        <v>3598</v>
      </c>
      <c r="H1029" t="s">
        <v>571</v>
      </c>
      <c r="J1029">
        <v>643011</v>
      </c>
      <c r="M1029" t="s">
        <v>1031</v>
      </c>
      <c r="R1029" t="s">
        <v>918</v>
      </c>
      <c r="S1029" t="s">
        <v>3608</v>
      </c>
      <c r="T1029" t="s">
        <v>3609</v>
      </c>
      <c r="V1029" t="s">
        <v>3610</v>
      </c>
      <c r="AE1029" t="s">
        <v>478</v>
      </c>
      <c r="AL1029" t="s">
        <v>919</v>
      </c>
      <c r="AM1029" t="s">
        <v>919</v>
      </c>
      <c r="AO1029" t="s">
        <v>480</v>
      </c>
      <c r="AP1029" t="s">
        <v>481</v>
      </c>
      <c r="BF1029" s="1" t="s">
        <v>1032</v>
      </c>
      <c r="BH1029" t="s">
        <v>1029</v>
      </c>
      <c r="BP1029" t="s">
        <v>1489</v>
      </c>
    </row>
    <row r="1030" spans="1:68" x14ac:dyDescent="0.25">
      <c r="A1030" t="s">
        <v>5713</v>
      </c>
      <c r="B1030" t="s">
        <v>474</v>
      </c>
      <c r="C1030" t="s">
        <v>1486</v>
      </c>
      <c r="E1030" t="s">
        <v>475</v>
      </c>
      <c r="G1030" s="1" t="s">
        <v>3598</v>
      </c>
      <c r="H1030" t="s">
        <v>585</v>
      </c>
      <c r="J1030">
        <v>668010</v>
      </c>
      <c r="M1030">
        <v>1511</v>
      </c>
      <c r="R1030" t="s">
        <v>918</v>
      </c>
      <c r="S1030" t="s">
        <v>1035</v>
      </c>
      <c r="T1030" t="s">
        <v>3611</v>
      </c>
      <c r="V1030" t="s">
        <v>3612</v>
      </c>
      <c r="AE1030" t="s">
        <v>478</v>
      </c>
      <c r="AL1030" t="s">
        <v>919</v>
      </c>
      <c r="AM1030" t="s">
        <v>919</v>
      </c>
      <c r="AO1030" t="s">
        <v>480</v>
      </c>
      <c r="AP1030" t="s">
        <v>481</v>
      </c>
      <c r="BF1030" s="1" t="s">
        <v>1034</v>
      </c>
      <c r="BH1030" t="s">
        <v>1029</v>
      </c>
      <c r="BP1030" t="s">
        <v>1489</v>
      </c>
    </row>
    <row r="1031" spans="1:68" x14ac:dyDescent="0.25">
      <c r="A1031" t="s">
        <v>5713</v>
      </c>
      <c r="B1031" t="s">
        <v>474</v>
      </c>
      <c r="C1031" t="s">
        <v>1486</v>
      </c>
      <c r="E1031" t="s">
        <v>475</v>
      </c>
      <c r="G1031" s="1" t="s">
        <v>3613</v>
      </c>
      <c r="H1031" t="s">
        <v>959</v>
      </c>
      <c r="J1031">
        <v>748895</v>
      </c>
      <c r="R1031" t="s">
        <v>918</v>
      </c>
      <c r="S1031" t="s">
        <v>3614</v>
      </c>
      <c r="T1031" t="s">
        <v>3615</v>
      </c>
      <c r="V1031" t="s">
        <v>3616</v>
      </c>
      <c r="AE1031" t="s">
        <v>478</v>
      </c>
      <c r="AL1031" t="s">
        <v>919</v>
      </c>
      <c r="AM1031" t="s">
        <v>919</v>
      </c>
      <c r="AO1031" t="s">
        <v>480</v>
      </c>
      <c r="AP1031" t="s">
        <v>481</v>
      </c>
      <c r="BF1031" s="1"/>
      <c r="BH1031" t="s">
        <v>1029</v>
      </c>
      <c r="BP1031" t="s">
        <v>1489</v>
      </c>
    </row>
    <row r="1032" spans="1:68" x14ac:dyDescent="0.25">
      <c r="A1032" t="s">
        <v>5713</v>
      </c>
      <c r="B1032" t="s">
        <v>474</v>
      </c>
      <c r="C1032" t="s">
        <v>1486</v>
      </c>
      <c r="E1032" t="s">
        <v>475</v>
      </c>
      <c r="G1032" s="1" t="s">
        <v>3617</v>
      </c>
      <c r="H1032" t="s">
        <v>959</v>
      </c>
      <c r="J1032">
        <v>663002</v>
      </c>
      <c r="M1032">
        <v>1213</v>
      </c>
      <c r="R1032" t="s">
        <v>918</v>
      </c>
      <c r="S1032" t="s">
        <v>3618</v>
      </c>
      <c r="T1032" t="s">
        <v>3619</v>
      </c>
      <c r="V1032" t="s">
        <v>3620</v>
      </c>
      <c r="AE1032" t="s">
        <v>478</v>
      </c>
      <c r="AL1032" t="s">
        <v>919</v>
      </c>
      <c r="AM1032" t="s">
        <v>919</v>
      </c>
      <c r="AO1032" t="s">
        <v>480</v>
      </c>
      <c r="AP1032" t="s">
        <v>481</v>
      </c>
      <c r="BF1032" s="1" t="s">
        <v>995</v>
      </c>
      <c r="BH1032" t="s">
        <v>1029</v>
      </c>
      <c r="BP1032" t="s">
        <v>1489</v>
      </c>
    </row>
    <row r="1033" spans="1:68" x14ac:dyDescent="0.25">
      <c r="A1033" t="s">
        <v>5713</v>
      </c>
      <c r="B1033" t="s">
        <v>474</v>
      </c>
      <c r="C1033" t="s">
        <v>1486</v>
      </c>
      <c r="E1033" t="s">
        <v>475</v>
      </c>
      <c r="G1033" s="1" t="s">
        <v>3621</v>
      </c>
      <c r="H1033" t="s">
        <v>959</v>
      </c>
      <c r="J1033">
        <v>663002</v>
      </c>
      <c r="M1033">
        <v>1213</v>
      </c>
      <c r="R1033" t="s">
        <v>918</v>
      </c>
      <c r="S1033" t="s">
        <v>3622</v>
      </c>
      <c r="T1033" t="s">
        <v>3623</v>
      </c>
      <c r="V1033" t="s">
        <v>3624</v>
      </c>
      <c r="AE1033" t="s">
        <v>478</v>
      </c>
      <c r="AL1033" t="s">
        <v>919</v>
      </c>
      <c r="AM1033" t="s">
        <v>919</v>
      </c>
      <c r="AO1033" t="s">
        <v>480</v>
      </c>
      <c r="AP1033" t="s">
        <v>481</v>
      </c>
      <c r="BF1033" s="1" t="s">
        <v>995</v>
      </c>
      <c r="BH1033" t="s">
        <v>1029</v>
      </c>
      <c r="BP1033" t="s">
        <v>1489</v>
      </c>
    </row>
    <row r="1034" spans="1:68" x14ac:dyDescent="0.25">
      <c r="A1034" t="s">
        <v>5713</v>
      </c>
      <c r="B1034" t="s">
        <v>474</v>
      </c>
      <c r="C1034" t="s">
        <v>1486</v>
      </c>
      <c r="E1034" t="s">
        <v>475</v>
      </c>
      <c r="G1034" s="1" t="s">
        <v>3625</v>
      </c>
      <c r="H1034" t="s">
        <v>959</v>
      </c>
      <c r="J1034">
        <v>621023</v>
      </c>
      <c r="M1034">
        <v>1211</v>
      </c>
      <c r="R1034" t="s">
        <v>918</v>
      </c>
      <c r="S1034" t="s">
        <v>3626</v>
      </c>
      <c r="T1034" t="s">
        <v>3627</v>
      </c>
      <c r="V1034" t="s">
        <v>3628</v>
      </c>
      <c r="AE1034" t="s">
        <v>478</v>
      </c>
      <c r="AL1034" t="s">
        <v>919</v>
      </c>
      <c r="AM1034" t="s">
        <v>919</v>
      </c>
      <c r="AO1034" t="s">
        <v>480</v>
      </c>
      <c r="AP1034" t="s">
        <v>481</v>
      </c>
      <c r="BF1034" s="1" t="s">
        <v>1264</v>
      </c>
      <c r="BH1034" t="s">
        <v>1029</v>
      </c>
      <c r="BP1034" t="s">
        <v>1489</v>
      </c>
    </row>
    <row r="1035" spans="1:68" x14ac:dyDescent="0.25">
      <c r="A1035" t="s">
        <v>5713</v>
      </c>
      <c r="B1035" t="s">
        <v>474</v>
      </c>
      <c r="C1035" t="s">
        <v>1486</v>
      </c>
      <c r="E1035" t="s">
        <v>475</v>
      </c>
      <c r="G1035" s="1" t="s">
        <v>3625</v>
      </c>
      <c r="H1035" t="s">
        <v>492</v>
      </c>
      <c r="J1035">
        <v>621023</v>
      </c>
      <c r="M1035">
        <v>1211</v>
      </c>
      <c r="R1035" t="s">
        <v>918</v>
      </c>
      <c r="S1035" t="s">
        <v>3629</v>
      </c>
      <c r="T1035" t="s">
        <v>3630</v>
      </c>
      <c r="V1035" t="s">
        <v>3631</v>
      </c>
      <c r="AE1035" t="s">
        <v>478</v>
      </c>
      <c r="AL1035" t="s">
        <v>919</v>
      </c>
      <c r="AM1035" t="s">
        <v>919</v>
      </c>
      <c r="AO1035" t="s">
        <v>480</v>
      </c>
      <c r="AP1035" t="s">
        <v>481</v>
      </c>
      <c r="BF1035" s="1" t="s">
        <v>1265</v>
      </c>
      <c r="BH1035" t="s">
        <v>1029</v>
      </c>
      <c r="BP1035" t="s">
        <v>1489</v>
      </c>
    </row>
    <row r="1036" spans="1:68" x14ac:dyDescent="0.25">
      <c r="A1036" t="s">
        <v>5713</v>
      </c>
      <c r="B1036" t="s">
        <v>474</v>
      </c>
      <c r="C1036" t="s">
        <v>1486</v>
      </c>
      <c r="E1036" t="s">
        <v>475</v>
      </c>
      <c r="G1036" s="1" t="s">
        <v>3632</v>
      </c>
      <c r="H1036" t="s">
        <v>959</v>
      </c>
      <c r="J1036">
        <v>624134</v>
      </c>
      <c r="M1036">
        <v>1213</v>
      </c>
      <c r="R1036" t="s">
        <v>918</v>
      </c>
      <c r="S1036" t="s">
        <v>3633</v>
      </c>
      <c r="T1036" t="s">
        <v>3634</v>
      </c>
      <c r="V1036" t="s">
        <v>3635</v>
      </c>
      <c r="AE1036" t="s">
        <v>478</v>
      </c>
      <c r="AL1036" t="s">
        <v>919</v>
      </c>
      <c r="AM1036" t="s">
        <v>919</v>
      </c>
      <c r="AO1036" t="s">
        <v>480</v>
      </c>
      <c r="AP1036" t="s">
        <v>481</v>
      </c>
      <c r="BF1036" s="1" t="s">
        <v>1027</v>
      </c>
      <c r="BH1036" t="s">
        <v>1029</v>
      </c>
      <c r="BP1036" t="s">
        <v>1489</v>
      </c>
    </row>
    <row r="1037" spans="1:68" x14ac:dyDescent="0.25">
      <c r="A1037" t="s">
        <v>5713</v>
      </c>
      <c r="B1037" t="s">
        <v>474</v>
      </c>
      <c r="C1037" t="s">
        <v>1486</v>
      </c>
      <c r="E1037" t="s">
        <v>475</v>
      </c>
      <c r="G1037" s="1" t="s">
        <v>3632</v>
      </c>
      <c r="H1037" t="s">
        <v>537</v>
      </c>
      <c r="J1037">
        <v>661002</v>
      </c>
      <c r="M1037">
        <v>1311</v>
      </c>
      <c r="R1037" t="s">
        <v>918</v>
      </c>
      <c r="S1037" t="s">
        <v>3636</v>
      </c>
      <c r="T1037" t="s">
        <v>3637</v>
      </c>
      <c r="V1037" t="s">
        <v>3638</v>
      </c>
      <c r="AE1037" t="s">
        <v>478</v>
      </c>
      <c r="AL1037" t="s">
        <v>919</v>
      </c>
      <c r="AM1037" t="s">
        <v>919</v>
      </c>
      <c r="AO1037" t="s">
        <v>480</v>
      </c>
      <c r="AP1037" t="s">
        <v>481</v>
      </c>
      <c r="BF1037" s="1" t="s">
        <v>1266</v>
      </c>
      <c r="BH1037" t="s">
        <v>1029</v>
      </c>
      <c r="BP1037" t="s">
        <v>1489</v>
      </c>
    </row>
    <row r="1038" spans="1:68" x14ac:dyDescent="0.25">
      <c r="A1038" t="s">
        <v>5713</v>
      </c>
      <c r="B1038" t="s">
        <v>474</v>
      </c>
      <c r="C1038" t="s">
        <v>1486</v>
      </c>
      <c r="E1038" t="s">
        <v>475</v>
      </c>
      <c r="G1038" s="1" t="s">
        <v>3632</v>
      </c>
      <c r="H1038" t="s">
        <v>546</v>
      </c>
      <c r="J1038">
        <v>661002</v>
      </c>
      <c r="M1038">
        <v>3212</v>
      </c>
      <c r="R1038" t="s">
        <v>918</v>
      </c>
      <c r="S1038" t="s">
        <v>2650</v>
      </c>
      <c r="T1038" t="s">
        <v>2651</v>
      </c>
      <c r="V1038" t="s">
        <v>3639</v>
      </c>
      <c r="AE1038" t="s">
        <v>478</v>
      </c>
      <c r="AL1038" t="s">
        <v>919</v>
      </c>
      <c r="AM1038" t="s">
        <v>919</v>
      </c>
      <c r="AO1038" t="s">
        <v>480</v>
      </c>
      <c r="AP1038" t="s">
        <v>481</v>
      </c>
      <c r="BF1038" s="1" t="s">
        <v>2656</v>
      </c>
      <c r="BH1038" t="s">
        <v>1029</v>
      </c>
      <c r="BP1038" t="s">
        <v>1489</v>
      </c>
    </row>
    <row r="1039" spans="1:68" x14ac:dyDescent="0.25">
      <c r="A1039" t="s">
        <v>5713</v>
      </c>
      <c r="B1039" t="s">
        <v>474</v>
      </c>
      <c r="C1039" t="s">
        <v>1486</v>
      </c>
      <c r="E1039" t="s">
        <v>475</v>
      </c>
      <c r="G1039" s="1" t="s">
        <v>3640</v>
      </c>
      <c r="H1039" t="s">
        <v>959</v>
      </c>
      <c r="J1039">
        <v>624134</v>
      </c>
      <c r="M1039">
        <v>1213</v>
      </c>
      <c r="R1039" t="s">
        <v>918</v>
      </c>
      <c r="S1039" t="s">
        <v>3641</v>
      </c>
      <c r="T1039" t="s">
        <v>3642</v>
      </c>
      <c r="V1039" t="s">
        <v>3643</v>
      </c>
      <c r="AE1039" t="s">
        <v>478</v>
      </c>
      <c r="AL1039" t="s">
        <v>919</v>
      </c>
      <c r="AM1039" t="s">
        <v>919</v>
      </c>
      <c r="AO1039" t="s">
        <v>480</v>
      </c>
      <c r="AP1039" t="s">
        <v>481</v>
      </c>
      <c r="BF1039" s="1" t="s">
        <v>1027</v>
      </c>
      <c r="BH1039" t="s">
        <v>1029</v>
      </c>
      <c r="BP1039" t="s">
        <v>1489</v>
      </c>
    </row>
    <row r="1040" spans="1:68" x14ac:dyDescent="0.25">
      <c r="A1040" t="s">
        <v>5713</v>
      </c>
      <c r="B1040" t="s">
        <v>474</v>
      </c>
      <c r="C1040" t="s">
        <v>1486</v>
      </c>
      <c r="E1040" t="s">
        <v>475</v>
      </c>
      <c r="G1040" s="1" t="s">
        <v>3644</v>
      </c>
      <c r="H1040" t="s">
        <v>959</v>
      </c>
      <c r="J1040">
        <v>622021</v>
      </c>
      <c r="M1040">
        <v>1211</v>
      </c>
      <c r="R1040" t="s">
        <v>918</v>
      </c>
      <c r="S1040" t="s">
        <v>1226</v>
      </c>
      <c r="T1040" t="s">
        <v>3645</v>
      </c>
      <c r="V1040" t="s">
        <v>3646</v>
      </c>
      <c r="AE1040" t="s">
        <v>478</v>
      </c>
      <c r="AL1040" t="s">
        <v>919</v>
      </c>
      <c r="AM1040" t="s">
        <v>919</v>
      </c>
      <c r="AO1040" t="s">
        <v>480</v>
      </c>
      <c r="AP1040" t="s">
        <v>481</v>
      </c>
      <c r="BF1040" s="1" t="s">
        <v>1227</v>
      </c>
      <c r="BH1040" t="s">
        <v>1029</v>
      </c>
      <c r="BP1040" t="s">
        <v>1489</v>
      </c>
    </row>
    <row r="1041" spans="1:68" x14ac:dyDescent="0.25">
      <c r="A1041" t="s">
        <v>5713</v>
      </c>
      <c r="B1041" t="s">
        <v>474</v>
      </c>
      <c r="C1041" t="s">
        <v>1486</v>
      </c>
      <c r="E1041" t="s">
        <v>475</v>
      </c>
      <c r="G1041" s="1" t="s">
        <v>3644</v>
      </c>
      <c r="H1041" t="s">
        <v>492</v>
      </c>
      <c r="J1041">
        <v>622021</v>
      </c>
      <c r="M1041">
        <v>1211</v>
      </c>
      <c r="R1041" t="s">
        <v>918</v>
      </c>
      <c r="S1041" t="s">
        <v>1228</v>
      </c>
      <c r="T1041" t="s">
        <v>3647</v>
      </c>
      <c r="V1041" t="s">
        <v>3648</v>
      </c>
      <c r="AE1041" t="s">
        <v>478</v>
      </c>
      <c r="AL1041" t="s">
        <v>919</v>
      </c>
      <c r="AM1041" t="s">
        <v>919</v>
      </c>
      <c r="AO1041" t="s">
        <v>480</v>
      </c>
      <c r="AP1041" t="s">
        <v>481</v>
      </c>
      <c r="BF1041" s="1" t="s">
        <v>1227</v>
      </c>
      <c r="BH1041" t="s">
        <v>1029</v>
      </c>
      <c r="BP1041" t="s">
        <v>1489</v>
      </c>
    </row>
    <row r="1042" spans="1:68" x14ac:dyDescent="0.25">
      <c r="A1042" t="s">
        <v>5713</v>
      </c>
      <c r="B1042" t="s">
        <v>474</v>
      </c>
      <c r="C1042" t="s">
        <v>1486</v>
      </c>
      <c r="E1042" t="s">
        <v>475</v>
      </c>
      <c r="G1042" s="1" t="s">
        <v>3644</v>
      </c>
      <c r="H1042" t="s">
        <v>500</v>
      </c>
      <c r="J1042">
        <v>622021</v>
      </c>
      <c r="M1042">
        <v>1211</v>
      </c>
      <c r="R1042" t="s">
        <v>918</v>
      </c>
      <c r="S1042" t="s">
        <v>1229</v>
      </c>
      <c r="T1042" t="s">
        <v>3649</v>
      </c>
      <c r="V1042" t="s">
        <v>3650</v>
      </c>
      <c r="AE1042" t="s">
        <v>478</v>
      </c>
      <c r="AL1042" t="s">
        <v>919</v>
      </c>
      <c r="AM1042" t="s">
        <v>919</v>
      </c>
      <c r="AO1042" t="s">
        <v>480</v>
      </c>
      <c r="AP1042" t="s">
        <v>481</v>
      </c>
      <c r="BF1042" s="1" t="s">
        <v>1227</v>
      </c>
      <c r="BH1042" t="s">
        <v>1029</v>
      </c>
      <c r="BP1042" t="s">
        <v>1489</v>
      </c>
    </row>
    <row r="1043" spans="1:68" x14ac:dyDescent="0.25">
      <c r="A1043" t="s">
        <v>5713</v>
      </c>
      <c r="B1043" t="s">
        <v>474</v>
      </c>
      <c r="C1043" t="s">
        <v>1486</v>
      </c>
      <c r="E1043" t="s">
        <v>475</v>
      </c>
      <c r="G1043" s="1" t="s">
        <v>3644</v>
      </c>
      <c r="H1043" t="s">
        <v>537</v>
      </c>
      <c r="J1043">
        <v>622021</v>
      </c>
      <c r="M1043">
        <v>1211</v>
      </c>
      <c r="R1043" t="s">
        <v>918</v>
      </c>
      <c r="S1043" t="s">
        <v>1230</v>
      </c>
      <c r="T1043" t="s">
        <v>3651</v>
      </c>
      <c r="V1043" t="s">
        <v>3652</v>
      </c>
      <c r="AE1043" t="s">
        <v>478</v>
      </c>
      <c r="AL1043" t="s">
        <v>919</v>
      </c>
      <c r="AM1043" t="s">
        <v>919</v>
      </c>
      <c r="AO1043" t="s">
        <v>480</v>
      </c>
      <c r="AP1043" t="s">
        <v>481</v>
      </c>
      <c r="BF1043" s="1" t="s">
        <v>1227</v>
      </c>
      <c r="BH1043" t="s">
        <v>1029</v>
      </c>
      <c r="BP1043" t="s">
        <v>1489</v>
      </c>
    </row>
    <row r="1044" spans="1:68" x14ac:dyDescent="0.25">
      <c r="A1044" t="s">
        <v>5713</v>
      </c>
      <c r="B1044" t="s">
        <v>474</v>
      </c>
      <c r="C1044" t="s">
        <v>1486</v>
      </c>
      <c r="E1044" t="s">
        <v>475</v>
      </c>
      <c r="G1044" s="1" t="s">
        <v>3644</v>
      </c>
      <c r="H1044" t="s">
        <v>546</v>
      </c>
      <c r="J1044">
        <v>622021</v>
      </c>
      <c r="M1044">
        <v>1211</v>
      </c>
      <c r="R1044" t="s">
        <v>918</v>
      </c>
      <c r="S1044" t="s">
        <v>1231</v>
      </c>
      <c r="T1044" t="s">
        <v>3653</v>
      </c>
      <c r="V1044" t="s">
        <v>3654</v>
      </c>
      <c r="AE1044" t="s">
        <v>478</v>
      </c>
      <c r="AL1044" t="s">
        <v>919</v>
      </c>
      <c r="AM1044" t="s">
        <v>919</v>
      </c>
      <c r="AO1044" t="s">
        <v>480</v>
      </c>
      <c r="AP1044" t="s">
        <v>481</v>
      </c>
      <c r="BF1044" s="1" t="s">
        <v>1227</v>
      </c>
      <c r="BH1044" t="s">
        <v>1029</v>
      </c>
      <c r="BP1044" t="s">
        <v>1489</v>
      </c>
    </row>
    <row r="1045" spans="1:68" x14ac:dyDescent="0.25">
      <c r="A1045" t="s">
        <v>5713</v>
      </c>
      <c r="B1045" t="s">
        <v>474</v>
      </c>
      <c r="C1045" t="s">
        <v>1486</v>
      </c>
      <c r="E1045" t="s">
        <v>475</v>
      </c>
      <c r="G1045" s="1" t="s">
        <v>3644</v>
      </c>
      <c r="H1045" t="s">
        <v>553</v>
      </c>
      <c r="J1045">
        <v>622021</v>
      </c>
      <c r="M1045">
        <v>1211</v>
      </c>
      <c r="R1045" t="s">
        <v>918</v>
      </c>
      <c r="S1045" t="s">
        <v>1232</v>
      </c>
      <c r="T1045" t="s">
        <v>3655</v>
      </c>
      <c r="V1045" t="s">
        <v>3656</v>
      </c>
      <c r="AE1045" t="s">
        <v>478</v>
      </c>
      <c r="AL1045" t="s">
        <v>919</v>
      </c>
      <c r="AM1045" t="s">
        <v>919</v>
      </c>
      <c r="AO1045" t="s">
        <v>480</v>
      </c>
      <c r="AP1045" t="s">
        <v>481</v>
      </c>
      <c r="BF1045" s="1" t="s">
        <v>1227</v>
      </c>
      <c r="BH1045" t="s">
        <v>1029</v>
      </c>
      <c r="BP1045" t="s">
        <v>1489</v>
      </c>
    </row>
    <row r="1046" spans="1:68" x14ac:dyDescent="0.25">
      <c r="A1046" t="s">
        <v>5713</v>
      </c>
      <c r="B1046" t="s">
        <v>474</v>
      </c>
      <c r="C1046" t="s">
        <v>1486</v>
      </c>
      <c r="E1046" t="s">
        <v>475</v>
      </c>
      <c r="G1046" s="1" t="s">
        <v>3644</v>
      </c>
      <c r="H1046" t="s">
        <v>559</v>
      </c>
      <c r="J1046">
        <v>622021</v>
      </c>
      <c r="M1046">
        <v>1211</v>
      </c>
      <c r="R1046" t="s">
        <v>918</v>
      </c>
      <c r="S1046" t="s">
        <v>1233</v>
      </c>
      <c r="T1046" t="s">
        <v>3657</v>
      </c>
      <c r="V1046" t="s">
        <v>3658</v>
      </c>
      <c r="AE1046" t="s">
        <v>478</v>
      </c>
      <c r="AL1046" t="s">
        <v>919</v>
      </c>
      <c r="AM1046" t="s">
        <v>919</v>
      </c>
      <c r="AO1046" t="s">
        <v>480</v>
      </c>
      <c r="AP1046" t="s">
        <v>481</v>
      </c>
      <c r="BF1046" s="1" t="s">
        <v>1227</v>
      </c>
      <c r="BH1046" t="s">
        <v>1029</v>
      </c>
      <c r="BP1046" t="s">
        <v>1489</v>
      </c>
    </row>
    <row r="1047" spans="1:68" x14ac:dyDescent="0.25">
      <c r="A1047" t="s">
        <v>5713</v>
      </c>
      <c r="B1047" t="s">
        <v>474</v>
      </c>
      <c r="C1047" t="s">
        <v>1486</v>
      </c>
      <c r="E1047" t="s">
        <v>475</v>
      </c>
      <c r="G1047" s="1" t="s">
        <v>3644</v>
      </c>
      <c r="H1047" t="s">
        <v>564</v>
      </c>
      <c r="J1047">
        <v>622021</v>
      </c>
      <c r="M1047">
        <v>1211</v>
      </c>
      <c r="R1047" t="s">
        <v>918</v>
      </c>
      <c r="S1047" t="s">
        <v>3659</v>
      </c>
      <c r="T1047" t="s">
        <v>3660</v>
      </c>
      <c r="V1047" t="s">
        <v>3661</v>
      </c>
      <c r="AE1047" t="s">
        <v>478</v>
      </c>
      <c r="AL1047" t="s">
        <v>919</v>
      </c>
      <c r="AM1047" t="s">
        <v>919</v>
      </c>
      <c r="AO1047" t="s">
        <v>480</v>
      </c>
      <c r="AP1047" t="s">
        <v>481</v>
      </c>
      <c r="BF1047" s="1" t="s">
        <v>1227</v>
      </c>
      <c r="BH1047" t="s">
        <v>1029</v>
      </c>
      <c r="BP1047" t="s">
        <v>1489</v>
      </c>
    </row>
    <row r="1048" spans="1:68" x14ac:dyDescent="0.25">
      <c r="A1048" t="s">
        <v>5713</v>
      </c>
      <c r="B1048" t="s">
        <v>474</v>
      </c>
      <c r="C1048" t="s">
        <v>1486</v>
      </c>
      <c r="E1048" t="s">
        <v>475</v>
      </c>
      <c r="G1048" s="1" t="s">
        <v>3644</v>
      </c>
      <c r="H1048" t="s">
        <v>963</v>
      </c>
      <c r="J1048">
        <v>622021</v>
      </c>
      <c r="M1048">
        <v>1211</v>
      </c>
      <c r="R1048" t="s">
        <v>918</v>
      </c>
      <c r="S1048" t="s">
        <v>1234</v>
      </c>
      <c r="T1048" t="s">
        <v>3662</v>
      </c>
      <c r="V1048" t="s">
        <v>3663</v>
      </c>
      <c r="AE1048" t="s">
        <v>478</v>
      </c>
      <c r="AL1048" t="s">
        <v>919</v>
      </c>
      <c r="AM1048" t="s">
        <v>919</v>
      </c>
      <c r="AO1048" t="s">
        <v>480</v>
      </c>
      <c r="AP1048" t="s">
        <v>481</v>
      </c>
      <c r="BF1048" s="1" t="s">
        <v>1227</v>
      </c>
      <c r="BH1048" t="s">
        <v>1029</v>
      </c>
      <c r="BP1048" t="s">
        <v>1489</v>
      </c>
    </row>
    <row r="1049" spans="1:68" x14ac:dyDescent="0.25">
      <c r="A1049" t="s">
        <v>5713</v>
      </c>
      <c r="B1049" t="s">
        <v>474</v>
      </c>
      <c r="C1049" t="s">
        <v>1486</v>
      </c>
      <c r="E1049" t="s">
        <v>475</v>
      </c>
      <c r="G1049" s="1" t="s">
        <v>3644</v>
      </c>
      <c r="H1049" t="s">
        <v>964</v>
      </c>
      <c r="J1049">
        <v>622021</v>
      </c>
      <c r="M1049">
        <v>1211</v>
      </c>
      <c r="R1049" t="s">
        <v>918</v>
      </c>
      <c r="S1049" t="s">
        <v>1236</v>
      </c>
      <c r="T1049" t="s">
        <v>3664</v>
      </c>
      <c r="V1049" t="s">
        <v>3665</v>
      </c>
      <c r="AE1049" t="s">
        <v>478</v>
      </c>
      <c r="AL1049" t="s">
        <v>919</v>
      </c>
      <c r="AM1049" t="s">
        <v>919</v>
      </c>
      <c r="AO1049" t="s">
        <v>480</v>
      </c>
      <c r="AP1049" t="s">
        <v>481</v>
      </c>
      <c r="BF1049" s="1" t="s">
        <v>1227</v>
      </c>
      <c r="BH1049" t="s">
        <v>1029</v>
      </c>
      <c r="BP1049" t="s">
        <v>1489</v>
      </c>
    </row>
    <row r="1050" spans="1:68" x14ac:dyDescent="0.25">
      <c r="A1050" t="s">
        <v>5713</v>
      </c>
      <c r="B1050" t="s">
        <v>474</v>
      </c>
      <c r="C1050" t="s">
        <v>1486</v>
      </c>
      <c r="E1050" t="s">
        <v>475</v>
      </c>
      <c r="G1050" s="1" t="s">
        <v>3644</v>
      </c>
      <c r="H1050" t="s">
        <v>1127</v>
      </c>
      <c r="J1050">
        <v>622021</v>
      </c>
      <c r="M1050">
        <v>1211</v>
      </c>
      <c r="R1050" t="s">
        <v>918</v>
      </c>
      <c r="S1050" t="s">
        <v>1237</v>
      </c>
      <c r="T1050" t="s">
        <v>3666</v>
      </c>
      <c r="V1050" t="s">
        <v>3667</v>
      </c>
      <c r="AE1050" t="s">
        <v>478</v>
      </c>
      <c r="AL1050" t="s">
        <v>919</v>
      </c>
      <c r="AM1050" t="s">
        <v>919</v>
      </c>
      <c r="AO1050" t="s">
        <v>480</v>
      </c>
      <c r="AP1050" t="s">
        <v>481</v>
      </c>
      <c r="BF1050" s="1" t="s">
        <v>1227</v>
      </c>
      <c r="BH1050" t="s">
        <v>1029</v>
      </c>
      <c r="BP1050" t="s">
        <v>1489</v>
      </c>
    </row>
    <row r="1051" spans="1:68" x14ac:dyDescent="0.25">
      <c r="A1051" t="s">
        <v>5713</v>
      </c>
      <c r="B1051" t="s">
        <v>474</v>
      </c>
      <c r="C1051" t="s">
        <v>1486</v>
      </c>
      <c r="E1051" t="s">
        <v>475</v>
      </c>
      <c r="G1051" s="1" t="s">
        <v>3644</v>
      </c>
      <c r="H1051" t="s">
        <v>970</v>
      </c>
      <c r="J1051">
        <v>622021</v>
      </c>
      <c r="M1051">
        <v>1211</v>
      </c>
      <c r="R1051" t="s">
        <v>918</v>
      </c>
      <c r="S1051" t="s">
        <v>1238</v>
      </c>
      <c r="T1051" t="s">
        <v>3668</v>
      </c>
      <c r="V1051" t="s">
        <v>3669</v>
      </c>
      <c r="AE1051" t="s">
        <v>478</v>
      </c>
      <c r="AL1051" t="s">
        <v>919</v>
      </c>
      <c r="AM1051" t="s">
        <v>919</v>
      </c>
      <c r="AO1051" t="s">
        <v>480</v>
      </c>
      <c r="AP1051" t="s">
        <v>481</v>
      </c>
      <c r="BF1051" s="1" t="s">
        <v>1227</v>
      </c>
      <c r="BH1051" t="s">
        <v>1029</v>
      </c>
      <c r="BP1051" t="s">
        <v>1489</v>
      </c>
    </row>
    <row r="1052" spans="1:68" x14ac:dyDescent="0.25">
      <c r="A1052" t="s">
        <v>5713</v>
      </c>
      <c r="B1052" t="s">
        <v>474</v>
      </c>
      <c r="C1052" t="s">
        <v>1486</v>
      </c>
      <c r="E1052" t="s">
        <v>475</v>
      </c>
      <c r="G1052" s="1" t="s">
        <v>3644</v>
      </c>
      <c r="H1052" t="s">
        <v>971</v>
      </c>
      <c r="J1052">
        <v>622021</v>
      </c>
      <c r="M1052">
        <v>1211</v>
      </c>
      <c r="R1052" t="s">
        <v>918</v>
      </c>
      <c r="S1052" t="s">
        <v>1239</v>
      </c>
      <c r="T1052" t="s">
        <v>3670</v>
      </c>
      <c r="V1052" t="s">
        <v>3671</v>
      </c>
      <c r="AE1052" t="s">
        <v>478</v>
      </c>
      <c r="AL1052" t="s">
        <v>919</v>
      </c>
      <c r="AM1052" t="s">
        <v>919</v>
      </c>
      <c r="AO1052" t="s">
        <v>480</v>
      </c>
      <c r="AP1052" t="s">
        <v>481</v>
      </c>
      <c r="BF1052" s="1" t="s">
        <v>1227</v>
      </c>
      <c r="BH1052" t="s">
        <v>1029</v>
      </c>
      <c r="BP1052" t="s">
        <v>1489</v>
      </c>
    </row>
    <row r="1053" spans="1:68" x14ac:dyDescent="0.25">
      <c r="A1053" t="s">
        <v>5713</v>
      </c>
      <c r="B1053" t="s">
        <v>474</v>
      </c>
      <c r="C1053" t="s">
        <v>1486</v>
      </c>
      <c r="E1053" t="s">
        <v>475</v>
      </c>
      <c r="G1053" s="1" t="s">
        <v>3672</v>
      </c>
      <c r="H1053" t="s">
        <v>959</v>
      </c>
      <c r="J1053">
        <v>624031</v>
      </c>
      <c r="M1053">
        <v>1211</v>
      </c>
      <c r="R1053" t="s">
        <v>918</v>
      </c>
      <c r="S1053" t="s">
        <v>1294</v>
      </c>
      <c r="T1053" t="s">
        <v>3673</v>
      </c>
      <c r="V1053" t="s">
        <v>3674</v>
      </c>
      <c r="AE1053" t="s">
        <v>478</v>
      </c>
      <c r="AL1053" t="s">
        <v>919</v>
      </c>
      <c r="AM1053" t="s">
        <v>919</v>
      </c>
      <c r="AO1053" t="s">
        <v>480</v>
      </c>
      <c r="AP1053" t="s">
        <v>481</v>
      </c>
      <c r="BF1053" s="1" t="s">
        <v>1295</v>
      </c>
      <c r="BH1053" t="s">
        <v>1029</v>
      </c>
      <c r="BP1053" t="s">
        <v>1489</v>
      </c>
    </row>
    <row r="1054" spans="1:68" x14ac:dyDescent="0.25">
      <c r="A1054" t="s">
        <v>5713</v>
      </c>
      <c r="B1054" t="s">
        <v>474</v>
      </c>
      <c r="C1054" t="s">
        <v>1486</v>
      </c>
      <c r="E1054" t="s">
        <v>475</v>
      </c>
      <c r="G1054" s="1" t="s">
        <v>3672</v>
      </c>
      <c r="H1054" t="s">
        <v>492</v>
      </c>
      <c r="J1054">
        <v>624031</v>
      </c>
      <c r="M1054">
        <v>1211</v>
      </c>
      <c r="R1054" t="s">
        <v>918</v>
      </c>
      <c r="S1054" t="s">
        <v>1296</v>
      </c>
      <c r="T1054" t="s">
        <v>3675</v>
      </c>
      <c r="V1054" t="s">
        <v>3676</v>
      </c>
      <c r="AE1054" t="s">
        <v>478</v>
      </c>
      <c r="AL1054" t="s">
        <v>919</v>
      </c>
      <c r="AM1054" t="s">
        <v>919</v>
      </c>
      <c r="AO1054" t="s">
        <v>480</v>
      </c>
      <c r="AP1054" t="s">
        <v>481</v>
      </c>
      <c r="BF1054" s="1" t="s">
        <v>1295</v>
      </c>
      <c r="BH1054" t="s">
        <v>1029</v>
      </c>
      <c r="BP1054" t="s">
        <v>1489</v>
      </c>
    </row>
    <row r="1055" spans="1:68" x14ac:dyDescent="0.25">
      <c r="A1055" t="s">
        <v>5713</v>
      </c>
      <c r="B1055" t="s">
        <v>474</v>
      </c>
      <c r="C1055" t="s">
        <v>1486</v>
      </c>
      <c r="E1055" t="s">
        <v>475</v>
      </c>
      <c r="G1055" s="1" t="s">
        <v>3672</v>
      </c>
      <c r="H1055" t="s">
        <v>500</v>
      </c>
      <c r="J1055">
        <v>624031</v>
      </c>
      <c r="M1055">
        <v>1211</v>
      </c>
      <c r="R1055" t="s">
        <v>918</v>
      </c>
      <c r="S1055" t="s">
        <v>1297</v>
      </c>
      <c r="T1055" t="s">
        <v>3677</v>
      </c>
      <c r="V1055" t="s">
        <v>3678</v>
      </c>
      <c r="AE1055" t="s">
        <v>478</v>
      </c>
      <c r="AL1055" t="s">
        <v>919</v>
      </c>
      <c r="AM1055" t="s">
        <v>919</v>
      </c>
      <c r="AO1055" t="s">
        <v>480</v>
      </c>
      <c r="AP1055" t="s">
        <v>481</v>
      </c>
      <c r="BF1055" s="1" t="s">
        <v>1295</v>
      </c>
      <c r="BH1055" t="s">
        <v>1029</v>
      </c>
      <c r="BP1055" t="s">
        <v>1489</v>
      </c>
    </row>
    <row r="1056" spans="1:68" x14ac:dyDescent="0.25">
      <c r="A1056" t="s">
        <v>5713</v>
      </c>
      <c r="B1056" t="s">
        <v>474</v>
      </c>
      <c r="C1056" t="s">
        <v>1486</v>
      </c>
      <c r="E1056" t="s">
        <v>475</v>
      </c>
      <c r="G1056" s="1" t="s">
        <v>3672</v>
      </c>
      <c r="H1056" t="s">
        <v>537</v>
      </c>
      <c r="J1056">
        <v>624031</v>
      </c>
      <c r="M1056">
        <v>1211</v>
      </c>
      <c r="R1056" t="s">
        <v>918</v>
      </c>
      <c r="S1056" t="s">
        <v>1298</v>
      </c>
      <c r="T1056" t="s">
        <v>3679</v>
      </c>
      <c r="V1056" t="s">
        <v>3680</v>
      </c>
      <c r="AE1056" t="s">
        <v>478</v>
      </c>
      <c r="AL1056" t="s">
        <v>919</v>
      </c>
      <c r="AM1056" t="s">
        <v>919</v>
      </c>
      <c r="AO1056" t="s">
        <v>480</v>
      </c>
      <c r="AP1056" t="s">
        <v>481</v>
      </c>
      <c r="BF1056" s="1" t="s">
        <v>1295</v>
      </c>
      <c r="BH1056" t="s">
        <v>1029</v>
      </c>
      <c r="BP1056" t="s">
        <v>1489</v>
      </c>
    </row>
    <row r="1057" spans="1:68" x14ac:dyDescent="0.25">
      <c r="A1057" t="s">
        <v>5713</v>
      </c>
      <c r="B1057" t="s">
        <v>474</v>
      </c>
      <c r="C1057" t="s">
        <v>1486</v>
      </c>
      <c r="E1057" t="s">
        <v>475</v>
      </c>
      <c r="G1057" s="1" t="s">
        <v>3672</v>
      </c>
      <c r="H1057" t="s">
        <v>546</v>
      </c>
      <c r="J1057">
        <v>624031</v>
      </c>
      <c r="M1057">
        <v>1211</v>
      </c>
      <c r="R1057" t="s">
        <v>918</v>
      </c>
      <c r="S1057" t="s">
        <v>1299</v>
      </c>
      <c r="T1057" t="s">
        <v>3681</v>
      </c>
      <c r="V1057" t="s">
        <v>3682</v>
      </c>
      <c r="AE1057" t="s">
        <v>478</v>
      </c>
      <c r="AL1057" t="s">
        <v>919</v>
      </c>
      <c r="AM1057" t="s">
        <v>919</v>
      </c>
      <c r="AO1057" t="s">
        <v>480</v>
      </c>
      <c r="AP1057" t="s">
        <v>481</v>
      </c>
      <c r="BF1057" s="1" t="s">
        <v>1295</v>
      </c>
      <c r="BH1057" t="s">
        <v>1029</v>
      </c>
      <c r="BP1057" t="s">
        <v>1489</v>
      </c>
    </row>
    <row r="1058" spans="1:68" x14ac:dyDescent="0.25">
      <c r="A1058" t="s">
        <v>5713</v>
      </c>
      <c r="B1058" t="s">
        <v>474</v>
      </c>
      <c r="C1058" t="s">
        <v>1486</v>
      </c>
      <c r="E1058" t="s">
        <v>475</v>
      </c>
      <c r="G1058" s="1" t="s">
        <v>3672</v>
      </c>
      <c r="H1058" t="s">
        <v>553</v>
      </c>
      <c r="J1058">
        <v>624031</v>
      </c>
      <c r="M1058">
        <v>1211</v>
      </c>
      <c r="R1058" t="s">
        <v>918</v>
      </c>
      <c r="S1058" t="s">
        <v>1300</v>
      </c>
      <c r="T1058" t="s">
        <v>3683</v>
      </c>
      <c r="V1058" t="s">
        <v>3684</v>
      </c>
      <c r="AE1058" t="s">
        <v>478</v>
      </c>
      <c r="AL1058" t="s">
        <v>919</v>
      </c>
      <c r="AM1058" t="s">
        <v>919</v>
      </c>
      <c r="AO1058" t="s">
        <v>480</v>
      </c>
      <c r="AP1058" t="s">
        <v>481</v>
      </c>
      <c r="BF1058" s="1" t="s">
        <v>1295</v>
      </c>
      <c r="BH1058" t="s">
        <v>1029</v>
      </c>
      <c r="BP1058" t="s">
        <v>1489</v>
      </c>
    </row>
    <row r="1059" spans="1:68" x14ac:dyDescent="0.25">
      <c r="A1059" t="s">
        <v>5713</v>
      </c>
      <c r="B1059" t="s">
        <v>474</v>
      </c>
      <c r="C1059" t="s">
        <v>1486</v>
      </c>
      <c r="E1059" t="s">
        <v>475</v>
      </c>
      <c r="G1059" s="1" t="s">
        <v>3672</v>
      </c>
      <c r="H1059" t="s">
        <v>559</v>
      </c>
      <c r="J1059">
        <v>624031</v>
      </c>
      <c r="M1059">
        <v>1211</v>
      </c>
      <c r="R1059" t="s">
        <v>918</v>
      </c>
      <c r="S1059" t="s">
        <v>3685</v>
      </c>
      <c r="T1059" t="s">
        <v>3686</v>
      </c>
      <c r="V1059" t="s">
        <v>3687</v>
      </c>
      <c r="AE1059" t="s">
        <v>478</v>
      </c>
      <c r="AL1059" t="s">
        <v>919</v>
      </c>
      <c r="AM1059" t="s">
        <v>919</v>
      </c>
      <c r="AO1059" t="s">
        <v>480</v>
      </c>
      <c r="AP1059" t="s">
        <v>481</v>
      </c>
      <c r="BF1059" s="1" t="s">
        <v>1295</v>
      </c>
      <c r="BH1059" t="s">
        <v>1029</v>
      </c>
      <c r="BP1059" t="s">
        <v>1489</v>
      </c>
    </row>
    <row r="1060" spans="1:68" x14ac:dyDescent="0.25">
      <c r="A1060" t="s">
        <v>5713</v>
      </c>
      <c r="B1060" t="s">
        <v>474</v>
      </c>
      <c r="C1060" t="s">
        <v>1486</v>
      </c>
      <c r="E1060" t="s">
        <v>475</v>
      </c>
      <c r="G1060" s="1" t="s">
        <v>3672</v>
      </c>
      <c r="H1060" t="s">
        <v>564</v>
      </c>
      <c r="J1060">
        <v>624031</v>
      </c>
      <c r="M1060">
        <v>1211</v>
      </c>
      <c r="R1060" t="s">
        <v>918</v>
      </c>
      <c r="S1060" t="s">
        <v>1301</v>
      </c>
      <c r="T1060" t="s">
        <v>3688</v>
      </c>
      <c r="V1060" t="s">
        <v>3689</v>
      </c>
      <c r="AE1060" t="s">
        <v>478</v>
      </c>
      <c r="AL1060" t="s">
        <v>919</v>
      </c>
      <c r="AM1060" t="s">
        <v>919</v>
      </c>
      <c r="AO1060" t="s">
        <v>480</v>
      </c>
      <c r="AP1060" t="s">
        <v>481</v>
      </c>
      <c r="BF1060" s="1" t="s">
        <v>1295</v>
      </c>
      <c r="BH1060" t="s">
        <v>1029</v>
      </c>
      <c r="BP1060" t="s">
        <v>1489</v>
      </c>
    </row>
    <row r="1061" spans="1:68" x14ac:dyDescent="0.25">
      <c r="A1061" t="s">
        <v>5713</v>
      </c>
      <c r="B1061" t="s">
        <v>474</v>
      </c>
      <c r="C1061" t="s">
        <v>1486</v>
      </c>
      <c r="E1061" t="s">
        <v>475</v>
      </c>
      <c r="G1061" s="1" t="s">
        <v>3672</v>
      </c>
      <c r="H1061" t="s">
        <v>571</v>
      </c>
      <c r="J1061">
        <v>624031</v>
      </c>
      <c r="M1061">
        <v>1211</v>
      </c>
      <c r="R1061" t="s">
        <v>918</v>
      </c>
      <c r="S1061" t="s">
        <v>3690</v>
      </c>
      <c r="T1061" t="s">
        <v>3691</v>
      </c>
      <c r="V1061" t="s">
        <v>3692</v>
      </c>
      <c r="AE1061" t="s">
        <v>478</v>
      </c>
      <c r="AL1061" t="s">
        <v>919</v>
      </c>
      <c r="AM1061" t="s">
        <v>919</v>
      </c>
      <c r="AO1061" t="s">
        <v>480</v>
      </c>
      <c r="AP1061" t="s">
        <v>481</v>
      </c>
      <c r="BF1061" s="1" t="s">
        <v>1295</v>
      </c>
      <c r="BH1061" t="s">
        <v>1029</v>
      </c>
      <c r="BP1061" t="s">
        <v>1489</v>
      </c>
    </row>
    <row r="1062" spans="1:68" x14ac:dyDescent="0.25">
      <c r="A1062" t="s">
        <v>5713</v>
      </c>
      <c r="B1062" t="s">
        <v>474</v>
      </c>
      <c r="C1062" t="s">
        <v>1486</v>
      </c>
      <c r="E1062" t="s">
        <v>475</v>
      </c>
      <c r="G1062" s="1" t="s">
        <v>3672</v>
      </c>
      <c r="H1062" t="s">
        <v>977</v>
      </c>
      <c r="J1062">
        <v>624034</v>
      </c>
      <c r="M1062">
        <v>1211</v>
      </c>
      <c r="R1062" t="s">
        <v>918</v>
      </c>
      <c r="S1062" t="s">
        <v>1302</v>
      </c>
      <c r="T1062" t="s">
        <v>3693</v>
      </c>
      <c r="V1062" t="s">
        <v>3694</v>
      </c>
      <c r="AE1062" t="s">
        <v>478</v>
      </c>
      <c r="AL1062" t="s">
        <v>919</v>
      </c>
      <c r="AM1062" t="s">
        <v>919</v>
      </c>
      <c r="AO1062" t="s">
        <v>480</v>
      </c>
      <c r="AP1062" t="s">
        <v>481</v>
      </c>
      <c r="BF1062" s="1" t="s">
        <v>1303</v>
      </c>
      <c r="BH1062" t="s">
        <v>1029</v>
      </c>
      <c r="BP1062" t="s">
        <v>1489</v>
      </c>
    </row>
    <row r="1063" spans="1:68" x14ac:dyDescent="0.25">
      <c r="A1063" t="s">
        <v>5713</v>
      </c>
      <c r="B1063" t="s">
        <v>474</v>
      </c>
      <c r="C1063" t="s">
        <v>1486</v>
      </c>
      <c r="E1063" t="s">
        <v>475</v>
      </c>
      <c r="G1063" s="1" t="s">
        <v>3672</v>
      </c>
      <c r="H1063" t="s">
        <v>1139</v>
      </c>
      <c r="J1063">
        <v>624034</v>
      </c>
      <c r="M1063">
        <v>1211</v>
      </c>
      <c r="R1063" t="s">
        <v>918</v>
      </c>
      <c r="S1063" t="s">
        <v>1304</v>
      </c>
      <c r="T1063" t="s">
        <v>3695</v>
      </c>
      <c r="V1063" t="s">
        <v>3696</v>
      </c>
      <c r="AE1063" t="s">
        <v>478</v>
      </c>
      <c r="AL1063" t="s">
        <v>919</v>
      </c>
      <c r="AM1063" t="s">
        <v>919</v>
      </c>
      <c r="AO1063" t="s">
        <v>480</v>
      </c>
      <c r="AP1063" t="s">
        <v>481</v>
      </c>
      <c r="BF1063" s="1" t="s">
        <v>1303</v>
      </c>
      <c r="BH1063" t="s">
        <v>1029</v>
      </c>
      <c r="BP1063" t="s">
        <v>1489</v>
      </c>
    </row>
    <row r="1064" spans="1:68" x14ac:dyDescent="0.25">
      <c r="A1064" t="s">
        <v>5713</v>
      </c>
      <c r="B1064" t="s">
        <v>474</v>
      </c>
      <c r="C1064" t="s">
        <v>1486</v>
      </c>
      <c r="E1064" t="s">
        <v>475</v>
      </c>
      <c r="G1064" s="1" t="s">
        <v>3672</v>
      </c>
      <c r="H1064" t="s">
        <v>978</v>
      </c>
      <c r="J1064">
        <v>624034</v>
      </c>
      <c r="M1064">
        <v>1211</v>
      </c>
      <c r="R1064" t="s">
        <v>918</v>
      </c>
      <c r="S1064" t="s">
        <v>1305</v>
      </c>
      <c r="T1064" t="s">
        <v>3697</v>
      </c>
      <c r="V1064" t="s">
        <v>3698</v>
      </c>
      <c r="AE1064" t="s">
        <v>478</v>
      </c>
      <c r="AL1064" t="s">
        <v>919</v>
      </c>
      <c r="AM1064" t="s">
        <v>919</v>
      </c>
      <c r="AO1064" t="s">
        <v>480</v>
      </c>
      <c r="AP1064" t="s">
        <v>481</v>
      </c>
      <c r="BF1064" s="1" t="s">
        <v>1303</v>
      </c>
      <c r="BH1064" t="s">
        <v>1029</v>
      </c>
      <c r="BP1064" t="s">
        <v>1489</v>
      </c>
    </row>
    <row r="1065" spans="1:68" x14ac:dyDescent="0.25">
      <c r="A1065" t="s">
        <v>5713</v>
      </c>
      <c r="B1065" t="s">
        <v>474</v>
      </c>
      <c r="C1065" t="s">
        <v>1486</v>
      </c>
      <c r="E1065" t="s">
        <v>475</v>
      </c>
      <c r="G1065" s="1" t="s">
        <v>3672</v>
      </c>
      <c r="H1065" t="s">
        <v>979</v>
      </c>
      <c r="J1065">
        <v>624034</v>
      </c>
      <c r="M1065">
        <v>1211</v>
      </c>
      <c r="R1065" t="s">
        <v>918</v>
      </c>
      <c r="S1065" t="s">
        <v>1306</v>
      </c>
      <c r="T1065" t="s">
        <v>3699</v>
      </c>
      <c r="V1065" t="s">
        <v>3700</v>
      </c>
      <c r="AE1065" t="s">
        <v>478</v>
      </c>
      <c r="AL1065" t="s">
        <v>919</v>
      </c>
      <c r="AM1065" t="s">
        <v>919</v>
      </c>
      <c r="AO1065" t="s">
        <v>480</v>
      </c>
      <c r="AP1065" t="s">
        <v>481</v>
      </c>
      <c r="BF1065" s="1" t="s">
        <v>1303</v>
      </c>
      <c r="BH1065" t="s">
        <v>1029</v>
      </c>
      <c r="BP1065" t="s">
        <v>1489</v>
      </c>
    </row>
    <row r="1066" spans="1:68" x14ac:dyDescent="0.25">
      <c r="A1066" t="s">
        <v>5713</v>
      </c>
      <c r="B1066" t="s">
        <v>474</v>
      </c>
      <c r="C1066" t="s">
        <v>1486</v>
      </c>
      <c r="E1066" t="s">
        <v>475</v>
      </c>
      <c r="G1066" s="1" t="s">
        <v>3672</v>
      </c>
      <c r="H1066" t="s">
        <v>1143</v>
      </c>
      <c r="J1066">
        <v>624034</v>
      </c>
      <c r="M1066">
        <v>1211</v>
      </c>
      <c r="R1066" t="s">
        <v>918</v>
      </c>
      <c r="S1066" t="s">
        <v>1307</v>
      </c>
      <c r="T1066" t="s">
        <v>3701</v>
      </c>
      <c r="V1066" t="s">
        <v>3702</v>
      </c>
      <c r="AE1066" t="s">
        <v>478</v>
      </c>
      <c r="AL1066" t="s">
        <v>919</v>
      </c>
      <c r="AM1066" t="s">
        <v>919</v>
      </c>
      <c r="AO1066" t="s">
        <v>480</v>
      </c>
      <c r="AP1066" t="s">
        <v>481</v>
      </c>
      <c r="BF1066" s="1" t="s">
        <v>1303</v>
      </c>
      <c r="BH1066" t="s">
        <v>1029</v>
      </c>
      <c r="BP1066" t="s">
        <v>1489</v>
      </c>
    </row>
    <row r="1067" spans="1:68" x14ac:dyDescent="0.25">
      <c r="A1067" t="s">
        <v>5713</v>
      </c>
      <c r="B1067" t="s">
        <v>474</v>
      </c>
      <c r="C1067" t="s">
        <v>1486</v>
      </c>
      <c r="E1067" t="s">
        <v>475</v>
      </c>
      <c r="G1067" s="1" t="s">
        <v>3672</v>
      </c>
      <c r="H1067" t="s">
        <v>1145</v>
      </c>
      <c r="J1067">
        <v>624034</v>
      </c>
      <c r="M1067">
        <v>1211</v>
      </c>
      <c r="R1067" t="s">
        <v>918</v>
      </c>
      <c r="S1067" t="s">
        <v>1308</v>
      </c>
      <c r="T1067" t="s">
        <v>3703</v>
      </c>
      <c r="V1067" t="s">
        <v>3704</v>
      </c>
      <c r="AE1067" t="s">
        <v>478</v>
      </c>
      <c r="AL1067" t="s">
        <v>919</v>
      </c>
      <c r="AM1067" t="s">
        <v>919</v>
      </c>
      <c r="AO1067" t="s">
        <v>480</v>
      </c>
      <c r="AP1067" t="s">
        <v>481</v>
      </c>
      <c r="BF1067" s="1" t="s">
        <v>1303</v>
      </c>
      <c r="BH1067" t="s">
        <v>1029</v>
      </c>
      <c r="BP1067" t="s">
        <v>1489</v>
      </c>
    </row>
    <row r="1068" spans="1:68" x14ac:dyDescent="0.25">
      <c r="A1068" t="s">
        <v>5713</v>
      </c>
      <c r="B1068" t="s">
        <v>474</v>
      </c>
      <c r="C1068" t="s">
        <v>1486</v>
      </c>
      <c r="E1068" t="s">
        <v>475</v>
      </c>
      <c r="G1068" s="1" t="s">
        <v>3672</v>
      </c>
      <c r="H1068" t="s">
        <v>980</v>
      </c>
      <c r="J1068">
        <v>624034</v>
      </c>
      <c r="M1068">
        <v>1211</v>
      </c>
      <c r="R1068" t="s">
        <v>918</v>
      </c>
      <c r="S1068" t="s">
        <v>3705</v>
      </c>
      <c r="T1068" t="s">
        <v>3706</v>
      </c>
      <c r="V1068" t="s">
        <v>3707</v>
      </c>
      <c r="AE1068" t="s">
        <v>478</v>
      </c>
      <c r="AL1068" t="s">
        <v>919</v>
      </c>
      <c r="AM1068" t="s">
        <v>919</v>
      </c>
      <c r="AO1068" t="s">
        <v>480</v>
      </c>
      <c r="AP1068" t="s">
        <v>481</v>
      </c>
      <c r="BF1068" s="1" t="s">
        <v>1303</v>
      </c>
      <c r="BH1068" t="s">
        <v>1029</v>
      </c>
      <c r="BP1068" t="s">
        <v>1489</v>
      </c>
    </row>
    <row r="1069" spans="1:68" x14ac:dyDescent="0.25">
      <c r="A1069" t="s">
        <v>5713</v>
      </c>
      <c r="B1069" t="s">
        <v>474</v>
      </c>
      <c r="C1069" t="s">
        <v>1486</v>
      </c>
      <c r="E1069" t="s">
        <v>475</v>
      </c>
      <c r="G1069" s="1" t="s">
        <v>3672</v>
      </c>
      <c r="H1069" t="s">
        <v>1148</v>
      </c>
      <c r="J1069">
        <v>624034</v>
      </c>
      <c r="M1069">
        <v>1211</v>
      </c>
      <c r="R1069" t="s">
        <v>918</v>
      </c>
      <c r="S1069" t="s">
        <v>1309</v>
      </c>
      <c r="T1069" t="s">
        <v>3708</v>
      </c>
      <c r="V1069" t="s">
        <v>3709</v>
      </c>
      <c r="AE1069" t="s">
        <v>478</v>
      </c>
      <c r="AL1069" t="s">
        <v>919</v>
      </c>
      <c r="AM1069" t="s">
        <v>919</v>
      </c>
      <c r="AO1069" t="s">
        <v>480</v>
      </c>
      <c r="AP1069" t="s">
        <v>481</v>
      </c>
      <c r="BF1069" s="1" t="s">
        <v>1303</v>
      </c>
      <c r="BH1069" t="s">
        <v>1029</v>
      </c>
      <c r="BP1069" t="s">
        <v>1489</v>
      </c>
    </row>
    <row r="1070" spans="1:68" x14ac:dyDescent="0.25">
      <c r="A1070" t="s">
        <v>5713</v>
      </c>
      <c r="B1070" t="s">
        <v>474</v>
      </c>
      <c r="C1070" t="s">
        <v>1486</v>
      </c>
      <c r="E1070" t="s">
        <v>475</v>
      </c>
      <c r="G1070" s="1" t="s">
        <v>3672</v>
      </c>
      <c r="H1070" t="s">
        <v>1150</v>
      </c>
      <c r="J1070">
        <v>624034</v>
      </c>
      <c r="M1070">
        <v>1211</v>
      </c>
      <c r="R1070" t="s">
        <v>918</v>
      </c>
      <c r="S1070" t="s">
        <v>3710</v>
      </c>
      <c r="T1070" t="s">
        <v>3711</v>
      </c>
      <c r="V1070" t="s">
        <v>3712</v>
      </c>
      <c r="AE1070" t="s">
        <v>478</v>
      </c>
      <c r="AL1070" t="s">
        <v>919</v>
      </c>
      <c r="AM1070" t="s">
        <v>919</v>
      </c>
      <c r="AO1070" t="s">
        <v>480</v>
      </c>
      <c r="AP1070" t="s">
        <v>481</v>
      </c>
      <c r="BF1070" s="1" t="s">
        <v>1303</v>
      </c>
      <c r="BH1070" t="s">
        <v>1029</v>
      </c>
      <c r="BP1070" t="s">
        <v>1489</v>
      </c>
    </row>
    <row r="1071" spans="1:68" x14ac:dyDescent="0.25">
      <c r="A1071" t="s">
        <v>5713</v>
      </c>
      <c r="B1071" t="s">
        <v>474</v>
      </c>
      <c r="C1071" t="s">
        <v>1486</v>
      </c>
      <c r="E1071" t="s">
        <v>475</v>
      </c>
      <c r="G1071" s="1" t="s">
        <v>3672</v>
      </c>
      <c r="H1071" t="s">
        <v>1211</v>
      </c>
      <c r="J1071">
        <v>624035</v>
      </c>
      <c r="M1071">
        <v>1211</v>
      </c>
      <c r="R1071" t="s">
        <v>918</v>
      </c>
      <c r="S1071" t="s">
        <v>1310</v>
      </c>
      <c r="T1071" t="s">
        <v>3713</v>
      </c>
      <c r="V1071" t="s">
        <v>3714</v>
      </c>
      <c r="AE1071" t="s">
        <v>478</v>
      </c>
      <c r="AL1071" t="s">
        <v>919</v>
      </c>
      <c r="AM1071" t="s">
        <v>919</v>
      </c>
      <c r="AO1071" t="s">
        <v>480</v>
      </c>
      <c r="AP1071" t="s">
        <v>481</v>
      </c>
      <c r="BF1071" s="1" t="s">
        <v>1311</v>
      </c>
      <c r="BH1071" t="s">
        <v>1029</v>
      </c>
      <c r="BP1071" t="s">
        <v>1489</v>
      </c>
    </row>
    <row r="1072" spans="1:68" x14ac:dyDescent="0.25">
      <c r="A1072" t="s">
        <v>5713</v>
      </c>
      <c r="B1072" t="s">
        <v>474</v>
      </c>
      <c r="C1072" t="s">
        <v>1486</v>
      </c>
      <c r="E1072" t="s">
        <v>475</v>
      </c>
      <c r="G1072" s="1" t="s">
        <v>3672</v>
      </c>
      <c r="H1072" t="s">
        <v>1212</v>
      </c>
      <c r="J1072">
        <v>624035</v>
      </c>
      <c r="M1072">
        <v>1211</v>
      </c>
      <c r="R1072" t="s">
        <v>918</v>
      </c>
      <c r="S1072" t="s">
        <v>1312</v>
      </c>
      <c r="T1072" t="s">
        <v>3715</v>
      </c>
      <c r="V1072" t="s">
        <v>3716</v>
      </c>
      <c r="AE1072" t="s">
        <v>478</v>
      </c>
      <c r="AL1072" t="s">
        <v>919</v>
      </c>
      <c r="AM1072" t="s">
        <v>919</v>
      </c>
      <c r="AO1072" t="s">
        <v>480</v>
      </c>
      <c r="AP1072" t="s">
        <v>481</v>
      </c>
      <c r="BF1072" s="1" t="s">
        <v>1311</v>
      </c>
      <c r="BH1072" t="s">
        <v>1029</v>
      </c>
      <c r="BP1072" t="s">
        <v>1489</v>
      </c>
    </row>
    <row r="1073" spans="1:68" x14ac:dyDescent="0.25">
      <c r="A1073" t="s">
        <v>5713</v>
      </c>
      <c r="B1073" t="s">
        <v>474</v>
      </c>
      <c r="C1073" t="s">
        <v>1486</v>
      </c>
      <c r="E1073" t="s">
        <v>475</v>
      </c>
      <c r="G1073" s="1" t="s">
        <v>3672</v>
      </c>
      <c r="H1073" t="s">
        <v>1213</v>
      </c>
      <c r="J1073">
        <v>624035</v>
      </c>
      <c r="M1073">
        <v>1211</v>
      </c>
      <c r="R1073" t="s">
        <v>918</v>
      </c>
      <c r="S1073" t="s">
        <v>1313</v>
      </c>
      <c r="T1073" t="s">
        <v>3717</v>
      </c>
      <c r="V1073" t="s">
        <v>3718</v>
      </c>
      <c r="AE1073" t="s">
        <v>478</v>
      </c>
      <c r="AL1073" t="s">
        <v>919</v>
      </c>
      <c r="AM1073" t="s">
        <v>919</v>
      </c>
      <c r="AO1073" t="s">
        <v>480</v>
      </c>
      <c r="AP1073" t="s">
        <v>481</v>
      </c>
      <c r="BF1073" s="1" t="s">
        <v>1311</v>
      </c>
      <c r="BH1073" t="s">
        <v>1029</v>
      </c>
      <c r="BP1073" t="s">
        <v>1489</v>
      </c>
    </row>
    <row r="1074" spans="1:68" x14ac:dyDescent="0.25">
      <c r="A1074" t="s">
        <v>5713</v>
      </c>
      <c r="B1074" t="s">
        <v>474</v>
      </c>
      <c r="C1074" t="s">
        <v>1486</v>
      </c>
      <c r="E1074" t="s">
        <v>475</v>
      </c>
      <c r="G1074" s="1" t="s">
        <v>3672</v>
      </c>
      <c r="H1074" t="s">
        <v>1214</v>
      </c>
      <c r="J1074">
        <v>624035</v>
      </c>
      <c r="M1074">
        <v>1211</v>
      </c>
      <c r="R1074" t="s">
        <v>918</v>
      </c>
      <c r="S1074" t="s">
        <v>1314</v>
      </c>
      <c r="T1074" t="s">
        <v>3719</v>
      </c>
      <c r="V1074" t="s">
        <v>3720</v>
      </c>
      <c r="AE1074" t="s">
        <v>478</v>
      </c>
      <c r="AL1074" t="s">
        <v>919</v>
      </c>
      <c r="AM1074" t="s">
        <v>919</v>
      </c>
      <c r="AO1074" t="s">
        <v>480</v>
      </c>
      <c r="AP1074" t="s">
        <v>481</v>
      </c>
      <c r="BF1074" s="1" t="s">
        <v>1311</v>
      </c>
      <c r="BH1074" t="s">
        <v>1029</v>
      </c>
      <c r="BP1074" t="s">
        <v>1489</v>
      </c>
    </row>
    <row r="1075" spans="1:68" x14ac:dyDescent="0.25">
      <c r="A1075" t="s">
        <v>5713</v>
      </c>
      <c r="B1075" t="s">
        <v>474</v>
      </c>
      <c r="C1075" t="s">
        <v>1486</v>
      </c>
      <c r="E1075" t="s">
        <v>475</v>
      </c>
      <c r="G1075" s="1" t="s">
        <v>3672</v>
      </c>
      <c r="H1075" t="s">
        <v>1215</v>
      </c>
      <c r="J1075">
        <v>624035</v>
      </c>
      <c r="M1075">
        <v>1211</v>
      </c>
      <c r="R1075" t="s">
        <v>918</v>
      </c>
      <c r="S1075" t="s">
        <v>1315</v>
      </c>
      <c r="T1075" t="s">
        <v>3721</v>
      </c>
      <c r="V1075" t="s">
        <v>3722</v>
      </c>
      <c r="AE1075" t="s">
        <v>478</v>
      </c>
      <c r="AL1075" t="s">
        <v>919</v>
      </c>
      <c r="AM1075" t="s">
        <v>919</v>
      </c>
      <c r="AO1075" t="s">
        <v>480</v>
      </c>
      <c r="AP1075" t="s">
        <v>481</v>
      </c>
      <c r="BF1075" s="1" t="s">
        <v>1311</v>
      </c>
      <c r="BH1075" t="s">
        <v>1029</v>
      </c>
      <c r="BP1075" t="s">
        <v>1489</v>
      </c>
    </row>
    <row r="1076" spans="1:68" x14ac:dyDescent="0.25">
      <c r="A1076" t="s">
        <v>5713</v>
      </c>
      <c r="B1076" t="s">
        <v>474</v>
      </c>
      <c r="C1076" t="s">
        <v>1486</v>
      </c>
      <c r="E1076" t="s">
        <v>475</v>
      </c>
      <c r="G1076" s="1" t="s">
        <v>3672</v>
      </c>
      <c r="H1076" t="s">
        <v>1216</v>
      </c>
      <c r="J1076">
        <v>624035</v>
      </c>
      <c r="M1076">
        <v>1211</v>
      </c>
      <c r="R1076" t="s">
        <v>918</v>
      </c>
      <c r="S1076" t="s">
        <v>1316</v>
      </c>
      <c r="T1076" t="s">
        <v>3723</v>
      </c>
      <c r="V1076" t="s">
        <v>3724</v>
      </c>
      <c r="AE1076" t="s">
        <v>478</v>
      </c>
      <c r="AL1076" t="s">
        <v>919</v>
      </c>
      <c r="AM1076" t="s">
        <v>919</v>
      </c>
      <c r="AO1076" t="s">
        <v>480</v>
      </c>
      <c r="AP1076" t="s">
        <v>481</v>
      </c>
      <c r="BF1076" s="1" t="s">
        <v>1311</v>
      </c>
      <c r="BH1076" t="s">
        <v>1029</v>
      </c>
      <c r="BP1076" t="s">
        <v>1489</v>
      </c>
    </row>
    <row r="1077" spans="1:68" x14ac:dyDescent="0.25">
      <c r="A1077" t="s">
        <v>5713</v>
      </c>
      <c r="B1077" t="s">
        <v>474</v>
      </c>
      <c r="C1077" t="s">
        <v>1486</v>
      </c>
      <c r="E1077" t="s">
        <v>475</v>
      </c>
      <c r="G1077" s="1" t="s">
        <v>3672</v>
      </c>
      <c r="H1077" t="s">
        <v>1317</v>
      </c>
      <c r="J1077">
        <v>624035</v>
      </c>
      <c r="M1077">
        <v>1211</v>
      </c>
      <c r="R1077" t="s">
        <v>918</v>
      </c>
      <c r="S1077" t="s">
        <v>3725</v>
      </c>
      <c r="T1077" t="s">
        <v>3726</v>
      </c>
      <c r="V1077" t="s">
        <v>3727</v>
      </c>
      <c r="AE1077" t="s">
        <v>478</v>
      </c>
      <c r="AL1077" t="s">
        <v>919</v>
      </c>
      <c r="AM1077" t="s">
        <v>919</v>
      </c>
      <c r="AO1077" t="s">
        <v>480</v>
      </c>
      <c r="AP1077" t="s">
        <v>481</v>
      </c>
      <c r="BF1077" s="1" t="s">
        <v>1311</v>
      </c>
      <c r="BH1077" t="s">
        <v>1029</v>
      </c>
      <c r="BP1077" t="s">
        <v>1489</v>
      </c>
    </row>
    <row r="1078" spans="1:68" x14ac:dyDescent="0.25">
      <c r="A1078" t="s">
        <v>5713</v>
      </c>
      <c r="B1078" t="s">
        <v>474</v>
      </c>
      <c r="C1078" t="s">
        <v>1486</v>
      </c>
      <c r="E1078" t="s">
        <v>475</v>
      </c>
      <c r="G1078" s="1" t="s">
        <v>3672</v>
      </c>
      <c r="H1078" t="s">
        <v>1318</v>
      </c>
      <c r="J1078">
        <v>624035</v>
      </c>
      <c r="M1078">
        <v>1211</v>
      </c>
      <c r="R1078" t="s">
        <v>918</v>
      </c>
      <c r="S1078" t="s">
        <v>1319</v>
      </c>
      <c r="T1078" t="s">
        <v>3728</v>
      </c>
      <c r="V1078" t="s">
        <v>3729</v>
      </c>
      <c r="AE1078" t="s">
        <v>478</v>
      </c>
      <c r="AL1078" t="s">
        <v>919</v>
      </c>
      <c r="AM1078" t="s">
        <v>919</v>
      </c>
      <c r="AO1078" t="s">
        <v>480</v>
      </c>
      <c r="AP1078" t="s">
        <v>481</v>
      </c>
      <c r="BF1078" s="1" t="s">
        <v>1311</v>
      </c>
      <c r="BH1078" t="s">
        <v>1029</v>
      </c>
      <c r="BP1078" t="s">
        <v>1489</v>
      </c>
    </row>
    <row r="1079" spans="1:68" x14ac:dyDescent="0.25">
      <c r="A1079" t="s">
        <v>5713</v>
      </c>
      <c r="B1079" t="s">
        <v>474</v>
      </c>
      <c r="C1079" t="s">
        <v>1486</v>
      </c>
      <c r="E1079" t="s">
        <v>475</v>
      </c>
      <c r="G1079" s="1" t="s">
        <v>3672</v>
      </c>
      <c r="H1079" t="s">
        <v>1320</v>
      </c>
      <c r="J1079">
        <v>624035</v>
      </c>
      <c r="M1079">
        <v>1211</v>
      </c>
      <c r="R1079" t="s">
        <v>918</v>
      </c>
      <c r="S1079" t="s">
        <v>3730</v>
      </c>
      <c r="T1079" t="s">
        <v>3731</v>
      </c>
      <c r="V1079" t="s">
        <v>3732</v>
      </c>
      <c r="AE1079" t="s">
        <v>478</v>
      </c>
      <c r="AL1079" t="s">
        <v>919</v>
      </c>
      <c r="AM1079" t="s">
        <v>919</v>
      </c>
      <c r="AO1079" t="s">
        <v>480</v>
      </c>
      <c r="AP1079" t="s">
        <v>481</v>
      </c>
      <c r="BF1079" s="1" t="s">
        <v>1311</v>
      </c>
      <c r="BH1079" t="s">
        <v>1029</v>
      </c>
      <c r="BP1079" t="s">
        <v>1489</v>
      </c>
    </row>
    <row r="1080" spans="1:68" x14ac:dyDescent="0.25">
      <c r="A1080" t="s">
        <v>5713</v>
      </c>
      <c r="B1080" t="s">
        <v>474</v>
      </c>
      <c r="C1080" t="s">
        <v>1486</v>
      </c>
      <c r="E1080" t="s">
        <v>475</v>
      </c>
      <c r="G1080" s="1" t="s">
        <v>3672</v>
      </c>
      <c r="H1080" t="s">
        <v>1321</v>
      </c>
      <c r="J1080">
        <v>624033</v>
      </c>
      <c r="M1080">
        <v>1211</v>
      </c>
      <c r="R1080" t="s">
        <v>918</v>
      </c>
      <c r="S1080" t="s">
        <v>1322</v>
      </c>
      <c r="T1080" t="s">
        <v>3693</v>
      </c>
      <c r="V1080" t="s">
        <v>3733</v>
      </c>
      <c r="AE1080" t="s">
        <v>478</v>
      </c>
      <c r="AL1080" t="s">
        <v>919</v>
      </c>
      <c r="AM1080" t="s">
        <v>919</v>
      </c>
      <c r="AO1080" t="s">
        <v>480</v>
      </c>
      <c r="AP1080" t="s">
        <v>481</v>
      </c>
      <c r="BF1080" s="1" t="s">
        <v>1323</v>
      </c>
      <c r="BH1080" t="s">
        <v>1029</v>
      </c>
      <c r="BP1080" t="s">
        <v>1489</v>
      </c>
    </row>
    <row r="1081" spans="1:68" x14ac:dyDescent="0.25">
      <c r="A1081" t="s">
        <v>5713</v>
      </c>
      <c r="B1081" t="s">
        <v>474</v>
      </c>
      <c r="C1081" t="s">
        <v>1486</v>
      </c>
      <c r="E1081" t="s">
        <v>475</v>
      </c>
      <c r="G1081" s="1" t="s">
        <v>3672</v>
      </c>
      <c r="H1081" t="s">
        <v>1324</v>
      </c>
      <c r="J1081">
        <v>624033</v>
      </c>
      <c r="M1081">
        <v>1211</v>
      </c>
      <c r="R1081" t="s">
        <v>918</v>
      </c>
      <c r="S1081" t="s">
        <v>1304</v>
      </c>
      <c r="T1081" t="s">
        <v>3695</v>
      </c>
      <c r="V1081" t="s">
        <v>3734</v>
      </c>
      <c r="AE1081" t="s">
        <v>478</v>
      </c>
      <c r="AL1081" t="s">
        <v>919</v>
      </c>
      <c r="AM1081" t="s">
        <v>919</v>
      </c>
      <c r="AO1081" t="s">
        <v>480</v>
      </c>
      <c r="AP1081" t="s">
        <v>481</v>
      </c>
      <c r="BF1081" s="1" t="s">
        <v>1323</v>
      </c>
      <c r="BH1081" t="s">
        <v>1029</v>
      </c>
      <c r="BP1081" t="s">
        <v>1489</v>
      </c>
    </row>
    <row r="1082" spans="1:68" x14ac:dyDescent="0.25">
      <c r="A1082" t="s">
        <v>5713</v>
      </c>
      <c r="B1082" t="s">
        <v>474</v>
      </c>
      <c r="C1082" t="s">
        <v>1486</v>
      </c>
      <c r="E1082" t="s">
        <v>475</v>
      </c>
      <c r="G1082" s="1" t="s">
        <v>3672</v>
      </c>
      <c r="H1082" t="s">
        <v>1325</v>
      </c>
      <c r="J1082">
        <v>624033</v>
      </c>
      <c r="M1082">
        <v>1211</v>
      </c>
      <c r="R1082" t="s">
        <v>918</v>
      </c>
      <c r="S1082" t="s">
        <v>1305</v>
      </c>
      <c r="T1082" t="s">
        <v>3697</v>
      </c>
      <c r="V1082" t="s">
        <v>3735</v>
      </c>
      <c r="AE1082" t="s">
        <v>478</v>
      </c>
      <c r="AL1082" t="s">
        <v>919</v>
      </c>
      <c r="AM1082" t="s">
        <v>919</v>
      </c>
      <c r="AO1082" t="s">
        <v>480</v>
      </c>
      <c r="AP1082" t="s">
        <v>481</v>
      </c>
      <c r="BF1082" s="1" t="s">
        <v>1323</v>
      </c>
      <c r="BH1082" t="s">
        <v>1029</v>
      </c>
      <c r="BP1082" t="s">
        <v>1489</v>
      </c>
    </row>
    <row r="1083" spans="1:68" x14ac:dyDescent="0.25">
      <c r="A1083" t="s">
        <v>5713</v>
      </c>
      <c r="B1083" t="s">
        <v>474</v>
      </c>
      <c r="C1083" t="s">
        <v>1486</v>
      </c>
      <c r="E1083" t="s">
        <v>475</v>
      </c>
      <c r="G1083" s="1" t="s">
        <v>3672</v>
      </c>
      <c r="H1083" t="s">
        <v>1326</v>
      </c>
      <c r="J1083">
        <v>624033</v>
      </c>
      <c r="M1083">
        <v>1211</v>
      </c>
      <c r="R1083" t="s">
        <v>918</v>
      </c>
      <c r="S1083" t="s">
        <v>1306</v>
      </c>
      <c r="T1083" t="s">
        <v>3699</v>
      </c>
      <c r="V1083" t="s">
        <v>3736</v>
      </c>
      <c r="AE1083" t="s">
        <v>478</v>
      </c>
      <c r="AL1083" t="s">
        <v>919</v>
      </c>
      <c r="AM1083" t="s">
        <v>919</v>
      </c>
      <c r="AO1083" t="s">
        <v>480</v>
      </c>
      <c r="AP1083" t="s">
        <v>481</v>
      </c>
      <c r="BF1083" s="1" t="s">
        <v>1323</v>
      </c>
      <c r="BH1083" t="s">
        <v>1029</v>
      </c>
      <c r="BP1083" t="s">
        <v>1489</v>
      </c>
    </row>
    <row r="1084" spans="1:68" x14ac:dyDescent="0.25">
      <c r="A1084" t="s">
        <v>5713</v>
      </c>
      <c r="B1084" t="s">
        <v>474</v>
      </c>
      <c r="C1084" t="s">
        <v>1486</v>
      </c>
      <c r="E1084" t="s">
        <v>475</v>
      </c>
      <c r="G1084" s="1" t="s">
        <v>3672</v>
      </c>
      <c r="H1084" t="s">
        <v>1327</v>
      </c>
      <c r="J1084">
        <v>624033</v>
      </c>
      <c r="M1084">
        <v>1211</v>
      </c>
      <c r="R1084" t="s">
        <v>918</v>
      </c>
      <c r="S1084" t="s">
        <v>1307</v>
      </c>
      <c r="T1084" t="s">
        <v>3701</v>
      </c>
      <c r="V1084" t="s">
        <v>3737</v>
      </c>
      <c r="AE1084" t="s">
        <v>478</v>
      </c>
      <c r="AL1084" t="s">
        <v>919</v>
      </c>
      <c r="AM1084" t="s">
        <v>919</v>
      </c>
      <c r="AO1084" t="s">
        <v>480</v>
      </c>
      <c r="AP1084" t="s">
        <v>481</v>
      </c>
      <c r="BF1084" s="1" t="s">
        <v>1323</v>
      </c>
      <c r="BH1084" t="s">
        <v>1029</v>
      </c>
      <c r="BP1084" t="s">
        <v>1489</v>
      </c>
    </row>
    <row r="1085" spans="1:68" x14ac:dyDescent="0.25">
      <c r="A1085" t="s">
        <v>5713</v>
      </c>
      <c r="B1085" t="s">
        <v>474</v>
      </c>
      <c r="C1085" t="s">
        <v>1486</v>
      </c>
      <c r="E1085" t="s">
        <v>475</v>
      </c>
      <c r="G1085" s="1" t="s">
        <v>3672</v>
      </c>
      <c r="H1085" t="s">
        <v>1328</v>
      </c>
      <c r="J1085">
        <v>624033</v>
      </c>
      <c r="M1085">
        <v>1211</v>
      </c>
      <c r="R1085" t="s">
        <v>918</v>
      </c>
      <c r="S1085" t="s">
        <v>1308</v>
      </c>
      <c r="T1085" t="s">
        <v>3703</v>
      </c>
      <c r="V1085" t="s">
        <v>3738</v>
      </c>
      <c r="AE1085" t="s">
        <v>478</v>
      </c>
      <c r="AL1085" t="s">
        <v>919</v>
      </c>
      <c r="AM1085" t="s">
        <v>919</v>
      </c>
      <c r="AO1085" t="s">
        <v>480</v>
      </c>
      <c r="AP1085" t="s">
        <v>481</v>
      </c>
      <c r="BF1085" s="1" t="s">
        <v>1323</v>
      </c>
      <c r="BH1085" t="s">
        <v>1029</v>
      </c>
      <c r="BP1085" t="s">
        <v>1489</v>
      </c>
    </row>
    <row r="1086" spans="1:68" x14ac:dyDescent="0.25">
      <c r="A1086" t="s">
        <v>5713</v>
      </c>
      <c r="B1086" t="s">
        <v>474</v>
      </c>
      <c r="C1086" t="s">
        <v>1486</v>
      </c>
      <c r="E1086" t="s">
        <v>475</v>
      </c>
      <c r="G1086" s="1" t="s">
        <v>3672</v>
      </c>
      <c r="H1086" t="s">
        <v>1329</v>
      </c>
      <c r="J1086">
        <v>624033</v>
      </c>
      <c r="M1086">
        <v>1211</v>
      </c>
      <c r="R1086" t="s">
        <v>918</v>
      </c>
      <c r="S1086" t="s">
        <v>3739</v>
      </c>
      <c r="T1086" t="s">
        <v>3706</v>
      </c>
      <c r="V1086" t="s">
        <v>3740</v>
      </c>
      <c r="AE1086" t="s">
        <v>478</v>
      </c>
      <c r="AL1086" t="s">
        <v>919</v>
      </c>
      <c r="AM1086" t="s">
        <v>919</v>
      </c>
      <c r="AO1086" t="s">
        <v>480</v>
      </c>
      <c r="AP1086" t="s">
        <v>481</v>
      </c>
      <c r="BF1086" s="1" t="s">
        <v>1323</v>
      </c>
      <c r="BH1086" t="s">
        <v>1029</v>
      </c>
      <c r="BP1086" t="s">
        <v>1489</v>
      </c>
    </row>
    <row r="1087" spans="1:68" x14ac:dyDescent="0.25">
      <c r="A1087" t="s">
        <v>5713</v>
      </c>
      <c r="B1087" t="s">
        <v>474</v>
      </c>
      <c r="C1087" t="s">
        <v>1486</v>
      </c>
      <c r="E1087" t="s">
        <v>475</v>
      </c>
      <c r="G1087" s="1" t="s">
        <v>3672</v>
      </c>
      <c r="H1087" t="s">
        <v>1330</v>
      </c>
      <c r="J1087">
        <v>624033</v>
      </c>
      <c r="M1087">
        <v>1211</v>
      </c>
      <c r="R1087" t="s">
        <v>918</v>
      </c>
      <c r="S1087" t="s">
        <v>1309</v>
      </c>
      <c r="T1087" t="s">
        <v>3708</v>
      </c>
      <c r="V1087" t="s">
        <v>3741</v>
      </c>
      <c r="AE1087" t="s">
        <v>478</v>
      </c>
      <c r="AL1087" t="s">
        <v>919</v>
      </c>
      <c r="AM1087" t="s">
        <v>919</v>
      </c>
      <c r="AO1087" t="s">
        <v>480</v>
      </c>
      <c r="AP1087" t="s">
        <v>481</v>
      </c>
      <c r="BF1087" s="1" t="s">
        <v>1323</v>
      </c>
      <c r="BH1087" t="s">
        <v>1029</v>
      </c>
      <c r="BP1087" t="s">
        <v>1489</v>
      </c>
    </row>
    <row r="1088" spans="1:68" x14ac:dyDescent="0.25">
      <c r="A1088" t="s">
        <v>5713</v>
      </c>
      <c r="B1088" t="s">
        <v>474</v>
      </c>
      <c r="C1088" t="s">
        <v>1486</v>
      </c>
      <c r="E1088" t="s">
        <v>475</v>
      </c>
      <c r="G1088" s="1" t="s">
        <v>3672</v>
      </c>
      <c r="H1088" t="s">
        <v>1331</v>
      </c>
      <c r="J1088">
        <v>624033</v>
      </c>
      <c r="M1088">
        <v>1211</v>
      </c>
      <c r="R1088" t="s">
        <v>918</v>
      </c>
      <c r="S1088" t="s">
        <v>3742</v>
      </c>
      <c r="T1088" t="s">
        <v>3711</v>
      </c>
      <c r="V1088" t="s">
        <v>3743</v>
      </c>
      <c r="AE1088" t="s">
        <v>478</v>
      </c>
      <c r="AL1088" t="s">
        <v>919</v>
      </c>
      <c r="AM1088" t="s">
        <v>919</v>
      </c>
      <c r="AO1088" t="s">
        <v>480</v>
      </c>
      <c r="AP1088" t="s">
        <v>481</v>
      </c>
      <c r="BF1088" s="1" t="s">
        <v>1323</v>
      </c>
      <c r="BH1088" t="s">
        <v>1029</v>
      </c>
      <c r="BP1088" t="s">
        <v>1489</v>
      </c>
    </row>
    <row r="1089" spans="1:68" x14ac:dyDescent="0.25">
      <c r="A1089" t="s">
        <v>5713</v>
      </c>
      <c r="B1089" t="s">
        <v>474</v>
      </c>
      <c r="C1089" t="s">
        <v>1486</v>
      </c>
      <c r="E1089" t="s">
        <v>475</v>
      </c>
      <c r="G1089" s="1" t="s">
        <v>3672</v>
      </c>
      <c r="H1089" t="s">
        <v>1332</v>
      </c>
      <c r="J1089">
        <v>624032</v>
      </c>
      <c r="M1089">
        <v>1211</v>
      </c>
      <c r="R1089" t="s">
        <v>918</v>
      </c>
      <c r="S1089" t="s">
        <v>1333</v>
      </c>
      <c r="T1089" t="s">
        <v>3744</v>
      </c>
      <c r="V1089" t="s">
        <v>3745</v>
      </c>
      <c r="AE1089" t="s">
        <v>478</v>
      </c>
      <c r="AL1089" t="s">
        <v>919</v>
      </c>
      <c r="AM1089" t="s">
        <v>919</v>
      </c>
      <c r="AO1089" t="s">
        <v>480</v>
      </c>
      <c r="AP1089" t="s">
        <v>481</v>
      </c>
      <c r="BF1089" s="1" t="s">
        <v>1334</v>
      </c>
      <c r="BH1089" t="s">
        <v>1029</v>
      </c>
      <c r="BP1089" t="s">
        <v>1489</v>
      </c>
    </row>
    <row r="1090" spans="1:68" x14ac:dyDescent="0.25">
      <c r="A1090" t="s">
        <v>5713</v>
      </c>
      <c r="B1090" t="s">
        <v>474</v>
      </c>
      <c r="C1090" t="s">
        <v>1486</v>
      </c>
      <c r="E1090" t="s">
        <v>475</v>
      </c>
      <c r="G1090" s="1" t="s">
        <v>3672</v>
      </c>
      <c r="H1090" t="s">
        <v>1335</v>
      </c>
      <c r="J1090">
        <v>624032</v>
      </c>
      <c r="M1090">
        <v>1211</v>
      </c>
      <c r="R1090" t="s">
        <v>918</v>
      </c>
      <c r="S1090" t="s">
        <v>1336</v>
      </c>
      <c r="T1090" t="s">
        <v>3746</v>
      </c>
      <c r="V1090" t="s">
        <v>3747</v>
      </c>
      <c r="AE1090" t="s">
        <v>478</v>
      </c>
      <c r="AL1090" t="s">
        <v>919</v>
      </c>
      <c r="AM1090" t="s">
        <v>919</v>
      </c>
      <c r="AO1090" t="s">
        <v>480</v>
      </c>
      <c r="AP1090" t="s">
        <v>481</v>
      </c>
      <c r="BF1090" s="1" t="s">
        <v>1334</v>
      </c>
      <c r="BH1090" t="s">
        <v>1029</v>
      </c>
      <c r="BP1090" t="s">
        <v>1489</v>
      </c>
    </row>
    <row r="1091" spans="1:68" x14ac:dyDescent="0.25">
      <c r="A1091" t="s">
        <v>5713</v>
      </c>
      <c r="B1091" t="s">
        <v>474</v>
      </c>
      <c r="C1091" t="s">
        <v>1486</v>
      </c>
      <c r="E1091" t="s">
        <v>475</v>
      </c>
      <c r="G1091" s="1" t="s">
        <v>3672</v>
      </c>
      <c r="H1091" t="s">
        <v>1219</v>
      </c>
      <c r="J1091">
        <v>624032</v>
      </c>
      <c r="M1091">
        <v>1211</v>
      </c>
      <c r="R1091" t="s">
        <v>918</v>
      </c>
      <c r="S1091" t="s">
        <v>1337</v>
      </c>
      <c r="T1091" t="s">
        <v>3748</v>
      </c>
      <c r="V1091" t="s">
        <v>3749</v>
      </c>
      <c r="AE1091" t="s">
        <v>478</v>
      </c>
      <c r="AL1091" t="s">
        <v>919</v>
      </c>
      <c r="AM1091" t="s">
        <v>919</v>
      </c>
      <c r="AO1091" t="s">
        <v>480</v>
      </c>
      <c r="AP1091" t="s">
        <v>481</v>
      </c>
      <c r="BF1091" s="1" t="s">
        <v>1334</v>
      </c>
      <c r="BH1091" t="s">
        <v>1029</v>
      </c>
      <c r="BP1091" t="s">
        <v>1489</v>
      </c>
    </row>
    <row r="1092" spans="1:68" x14ac:dyDescent="0.25">
      <c r="A1092" t="s">
        <v>5713</v>
      </c>
      <c r="B1092" t="s">
        <v>474</v>
      </c>
      <c r="C1092" t="s">
        <v>1486</v>
      </c>
      <c r="E1092" t="s">
        <v>475</v>
      </c>
      <c r="G1092" s="1" t="s">
        <v>3672</v>
      </c>
      <c r="H1092" t="s">
        <v>1338</v>
      </c>
      <c r="J1092">
        <v>624032</v>
      </c>
      <c r="M1092">
        <v>1211</v>
      </c>
      <c r="R1092" t="s">
        <v>918</v>
      </c>
      <c r="S1092" t="s">
        <v>1339</v>
      </c>
      <c r="T1092" t="s">
        <v>3750</v>
      </c>
      <c r="V1092" t="s">
        <v>3751</v>
      </c>
      <c r="AE1092" t="s">
        <v>478</v>
      </c>
      <c r="AL1092" t="s">
        <v>919</v>
      </c>
      <c r="AM1092" t="s">
        <v>919</v>
      </c>
      <c r="AO1092" t="s">
        <v>480</v>
      </c>
      <c r="AP1092" t="s">
        <v>481</v>
      </c>
      <c r="BF1092" s="1" t="s">
        <v>1334</v>
      </c>
      <c r="BH1092" t="s">
        <v>1029</v>
      </c>
      <c r="BP1092" t="s">
        <v>1489</v>
      </c>
    </row>
    <row r="1093" spans="1:68" x14ac:dyDescent="0.25">
      <c r="A1093" t="s">
        <v>5713</v>
      </c>
      <c r="B1093" t="s">
        <v>474</v>
      </c>
      <c r="C1093" t="s">
        <v>1486</v>
      </c>
      <c r="E1093" t="s">
        <v>475</v>
      </c>
      <c r="G1093" s="1" t="s">
        <v>3672</v>
      </c>
      <c r="H1093" t="s">
        <v>1220</v>
      </c>
      <c r="J1093">
        <v>624032</v>
      </c>
      <c r="M1093">
        <v>1211</v>
      </c>
      <c r="R1093" t="s">
        <v>918</v>
      </c>
      <c r="S1093" t="s">
        <v>1340</v>
      </c>
      <c r="T1093" t="s">
        <v>3752</v>
      </c>
      <c r="V1093" t="s">
        <v>3753</v>
      </c>
      <c r="AE1093" t="s">
        <v>478</v>
      </c>
      <c r="AL1093" t="s">
        <v>919</v>
      </c>
      <c r="AM1093" t="s">
        <v>919</v>
      </c>
      <c r="AO1093" t="s">
        <v>480</v>
      </c>
      <c r="AP1093" t="s">
        <v>481</v>
      </c>
      <c r="BF1093" s="1" t="s">
        <v>1334</v>
      </c>
      <c r="BH1093" t="s">
        <v>1029</v>
      </c>
      <c r="BP1093" t="s">
        <v>1489</v>
      </c>
    </row>
    <row r="1094" spans="1:68" x14ac:dyDescent="0.25">
      <c r="A1094" t="s">
        <v>5713</v>
      </c>
      <c r="B1094" t="s">
        <v>474</v>
      </c>
      <c r="C1094" t="s">
        <v>1486</v>
      </c>
      <c r="E1094" t="s">
        <v>475</v>
      </c>
      <c r="G1094" s="1" t="s">
        <v>3672</v>
      </c>
      <c r="H1094" t="s">
        <v>1341</v>
      </c>
      <c r="J1094">
        <v>624032</v>
      </c>
      <c r="M1094">
        <v>1211</v>
      </c>
      <c r="R1094" t="s">
        <v>918</v>
      </c>
      <c r="S1094" t="s">
        <v>1342</v>
      </c>
      <c r="T1094" t="s">
        <v>3754</v>
      </c>
      <c r="V1094" t="s">
        <v>3755</v>
      </c>
      <c r="AE1094" t="s">
        <v>478</v>
      </c>
      <c r="AL1094" t="s">
        <v>919</v>
      </c>
      <c r="AM1094" t="s">
        <v>919</v>
      </c>
      <c r="AO1094" t="s">
        <v>480</v>
      </c>
      <c r="AP1094" t="s">
        <v>481</v>
      </c>
      <c r="BF1094" s="1" t="s">
        <v>1334</v>
      </c>
      <c r="BH1094" t="s">
        <v>1029</v>
      </c>
      <c r="BP1094" t="s">
        <v>1489</v>
      </c>
    </row>
    <row r="1095" spans="1:68" x14ac:dyDescent="0.25">
      <c r="A1095" t="s">
        <v>5713</v>
      </c>
      <c r="B1095" t="s">
        <v>474</v>
      </c>
      <c r="C1095" t="s">
        <v>1486</v>
      </c>
      <c r="E1095" t="s">
        <v>475</v>
      </c>
      <c r="G1095" s="1" t="s">
        <v>3672</v>
      </c>
      <c r="H1095" t="s">
        <v>1222</v>
      </c>
      <c r="J1095">
        <v>624032</v>
      </c>
      <c r="M1095">
        <v>1211</v>
      </c>
      <c r="R1095" t="s">
        <v>918</v>
      </c>
      <c r="S1095" t="s">
        <v>3756</v>
      </c>
      <c r="T1095" t="s">
        <v>3757</v>
      </c>
      <c r="V1095" t="s">
        <v>3758</v>
      </c>
      <c r="AE1095" t="s">
        <v>478</v>
      </c>
      <c r="AL1095" t="s">
        <v>919</v>
      </c>
      <c r="AM1095" t="s">
        <v>919</v>
      </c>
      <c r="AO1095" t="s">
        <v>480</v>
      </c>
      <c r="AP1095" t="s">
        <v>481</v>
      </c>
      <c r="BF1095" s="1" t="s">
        <v>1334</v>
      </c>
      <c r="BH1095" t="s">
        <v>1029</v>
      </c>
      <c r="BP1095" t="s">
        <v>1489</v>
      </c>
    </row>
    <row r="1096" spans="1:68" x14ac:dyDescent="0.25">
      <c r="A1096" t="s">
        <v>5713</v>
      </c>
      <c r="B1096" t="s">
        <v>474</v>
      </c>
      <c r="C1096" t="s">
        <v>1486</v>
      </c>
      <c r="E1096" t="s">
        <v>475</v>
      </c>
      <c r="G1096" s="1" t="s">
        <v>3672</v>
      </c>
      <c r="H1096" t="s">
        <v>1343</v>
      </c>
      <c r="J1096">
        <v>624032</v>
      </c>
      <c r="M1096">
        <v>1211</v>
      </c>
      <c r="R1096" t="s">
        <v>918</v>
      </c>
      <c r="S1096" t="s">
        <v>1344</v>
      </c>
      <c r="T1096" t="s">
        <v>3759</v>
      </c>
      <c r="V1096" t="s">
        <v>3760</v>
      </c>
      <c r="AE1096" t="s">
        <v>478</v>
      </c>
      <c r="AL1096" t="s">
        <v>919</v>
      </c>
      <c r="AM1096" t="s">
        <v>919</v>
      </c>
      <c r="AO1096" t="s">
        <v>480</v>
      </c>
      <c r="AP1096" t="s">
        <v>481</v>
      </c>
      <c r="BF1096" s="1" t="s">
        <v>1334</v>
      </c>
      <c r="BH1096" t="s">
        <v>1029</v>
      </c>
      <c r="BP1096" t="s">
        <v>1489</v>
      </c>
    </row>
    <row r="1097" spans="1:68" x14ac:dyDescent="0.25">
      <c r="A1097" t="s">
        <v>5713</v>
      </c>
      <c r="B1097" t="s">
        <v>474</v>
      </c>
      <c r="C1097" t="s">
        <v>1486</v>
      </c>
      <c r="E1097" t="s">
        <v>475</v>
      </c>
      <c r="G1097" s="1" t="s">
        <v>3672</v>
      </c>
      <c r="H1097" t="s">
        <v>1223</v>
      </c>
      <c r="J1097">
        <v>624032</v>
      </c>
      <c r="M1097">
        <v>1211</v>
      </c>
      <c r="R1097" t="s">
        <v>918</v>
      </c>
      <c r="S1097" t="s">
        <v>3761</v>
      </c>
      <c r="T1097" t="s">
        <v>3762</v>
      </c>
      <c r="V1097" t="s">
        <v>3763</v>
      </c>
      <c r="AE1097" t="s">
        <v>478</v>
      </c>
      <c r="AL1097" t="s">
        <v>919</v>
      </c>
      <c r="AM1097" t="s">
        <v>919</v>
      </c>
      <c r="AO1097" t="s">
        <v>480</v>
      </c>
      <c r="AP1097" t="s">
        <v>481</v>
      </c>
      <c r="BF1097" s="1" t="s">
        <v>1334</v>
      </c>
      <c r="BH1097" t="s">
        <v>1029</v>
      </c>
      <c r="BP1097" t="s">
        <v>1489</v>
      </c>
    </row>
    <row r="1098" spans="1:68" x14ac:dyDescent="0.25">
      <c r="A1098" t="s">
        <v>5713</v>
      </c>
      <c r="B1098" t="s">
        <v>474</v>
      </c>
      <c r="C1098" t="s">
        <v>1486</v>
      </c>
      <c r="E1098" t="s">
        <v>475</v>
      </c>
      <c r="G1098" s="1" t="s">
        <v>3672</v>
      </c>
      <c r="H1098" t="s">
        <v>1345</v>
      </c>
      <c r="J1098">
        <v>624030</v>
      </c>
      <c r="M1098">
        <v>1211</v>
      </c>
      <c r="R1098" t="s">
        <v>918</v>
      </c>
      <c r="S1098" t="s">
        <v>1346</v>
      </c>
      <c r="T1098" t="s">
        <v>3764</v>
      </c>
      <c r="V1098" t="s">
        <v>3765</v>
      </c>
      <c r="AE1098" t="s">
        <v>478</v>
      </c>
      <c r="AL1098" t="s">
        <v>919</v>
      </c>
      <c r="AM1098" t="s">
        <v>919</v>
      </c>
      <c r="AO1098" t="s">
        <v>480</v>
      </c>
      <c r="AP1098" t="s">
        <v>481</v>
      </c>
      <c r="BF1098" s="1" t="s">
        <v>1347</v>
      </c>
      <c r="BH1098" t="s">
        <v>1029</v>
      </c>
      <c r="BP1098" t="s">
        <v>1489</v>
      </c>
    </row>
    <row r="1099" spans="1:68" x14ac:dyDescent="0.25">
      <c r="A1099" t="s">
        <v>5713</v>
      </c>
      <c r="B1099" t="s">
        <v>474</v>
      </c>
      <c r="C1099" t="s">
        <v>1486</v>
      </c>
      <c r="E1099" t="s">
        <v>475</v>
      </c>
      <c r="G1099" s="1" t="s">
        <v>3672</v>
      </c>
      <c r="H1099" t="s">
        <v>1348</v>
      </c>
      <c r="J1099">
        <v>624030</v>
      </c>
      <c r="M1099">
        <v>1211</v>
      </c>
      <c r="R1099" t="s">
        <v>918</v>
      </c>
      <c r="S1099" t="s">
        <v>1349</v>
      </c>
      <c r="T1099" t="s">
        <v>3766</v>
      </c>
      <c r="V1099" t="s">
        <v>3767</v>
      </c>
      <c r="AE1099" t="s">
        <v>478</v>
      </c>
      <c r="AL1099" t="s">
        <v>919</v>
      </c>
      <c r="AM1099" t="s">
        <v>919</v>
      </c>
      <c r="AO1099" t="s">
        <v>480</v>
      </c>
      <c r="AP1099" t="s">
        <v>481</v>
      </c>
      <c r="BF1099" s="1" t="s">
        <v>1347</v>
      </c>
      <c r="BH1099" t="s">
        <v>1029</v>
      </c>
      <c r="BP1099" t="s">
        <v>1489</v>
      </c>
    </row>
    <row r="1100" spans="1:68" x14ac:dyDescent="0.25">
      <c r="A1100" t="s">
        <v>5713</v>
      </c>
      <c r="B1100" t="s">
        <v>474</v>
      </c>
      <c r="C1100" t="s">
        <v>1486</v>
      </c>
      <c r="E1100" t="s">
        <v>475</v>
      </c>
      <c r="G1100" s="1" t="s">
        <v>3672</v>
      </c>
      <c r="H1100" t="s">
        <v>1350</v>
      </c>
      <c r="J1100">
        <v>624030</v>
      </c>
      <c r="M1100">
        <v>1211</v>
      </c>
      <c r="R1100" t="s">
        <v>918</v>
      </c>
      <c r="S1100" t="s">
        <v>1351</v>
      </c>
      <c r="T1100" t="s">
        <v>3768</v>
      </c>
      <c r="V1100" t="s">
        <v>3769</v>
      </c>
      <c r="AE1100" t="s">
        <v>478</v>
      </c>
      <c r="AL1100" t="s">
        <v>919</v>
      </c>
      <c r="AM1100" t="s">
        <v>919</v>
      </c>
      <c r="AO1100" t="s">
        <v>480</v>
      </c>
      <c r="AP1100" t="s">
        <v>481</v>
      </c>
      <c r="BF1100" s="1" t="s">
        <v>1347</v>
      </c>
      <c r="BH1100" t="s">
        <v>1029</v>
      </c>
      <c r="BP1100" t="s">
        <v>1489</v>
      </c>
    </row>
    <row r="1101" spans="1:68" x14ac:dyDescent="0.25">
      <c r="A1101" t="s">
        <v>5713</v>
      </c>
      <c r="B1101" t="s">
        <v>474</v>
      </c>
      <c r="C1101" t="s">
        <v>1486</v>
      </c>
      <c r="E1101" t="s">
        <v>475</v>
      </c>
      <c r="G1101" s="1" t="s">
        <v>3672</v>
      </c>
      <c r="H1101" t="s">
        <v>1352</v>
      </c>
      <c r="J1101">
        <v>624030</v>
      </c>
      <c r="M1101">
        <v>1211</v>
      </c>
      <c r="R1101" t="s">
        <v>918</v>
      </c>
      <c r="S1101" t="s">
        <v>1353</v>
      </c>
      <c r="T1101" t="s">
        <v>3770</v>
      </c>
      <c r="V1101" t="s">
        <v>3771</v>
      </c>
      <c r="AE1101" t="s">
        <v>478</v>
      </c>
      <c r="AL1101" t="s">
        <v>919</v>
      </c>
      <c r="AM1101" t="s">
        <v>919</v>
      </c>
      <c r="AO1101" t="s">
        <v>480</v>
      </c>
      <c r="AP1101" t="s">
        <v>481</v>
      </c>
      <c r="BF1101" s="1" t="s">
        <v>1347</v>
      </c>
      <c r="BH1101" t="s">
        <v>1029</v>
      </c>
      <c r="BP1101" t="s">
        <v>1489</v>
      </c>
    </row>
    <row r="1102" spans="1:68" x14ac:dyDescent="0.25">
      <c r="A1102" t="s">
        <v>5713</v>
      </c>
      <c r="B1102" t="s">
        <v>474</v>
      </c>
      <c r="C1102" t="s">
        <v>1486</v>
      </c>
      <c r="E1102" t="s">
        <v>475</v>
      </c>
      <c r="G1102" s="1" t="s">
        <v>3672</v>
      </c>
      <c r="H1102" t="s">
        <v>1354</v>
      </c>
      <c r="J1102">
        <v>624030</v>
      </c>
      <c r="M1102">
        <v>1211</v>
      </c>
      <c r="R1102" t="s">
        <v>918</v>
      </c>
      <c r="S1102" t="s">
        <v>1355</v>
      </c>
      <c r="T1102" t="s">
        <v>3772</v>
      </c>
      <c r="V1102" t="s">
        <v>3773</v>
      </c>
      <c r="AE1102" t="s">
        <v>478</v>
      </c>
      <c r="AL1102" t="s">
        <v>919</v>
      </c>
      <c r="AM1102" t="s">
        <v>919</v>
      </c>
      <c r="AO1102" t="s">
        <v>480</v>
      </c>
      <c r="AP1102" t="s">
        <v>481</v>
      </c>
      <c r="BF1102" s="1" t="s">
        <v>1347</v>
      </c>
      <c r="BH1102" t="s">
        <v>1029</v>
      </c>
      <c r="BP1102" t="s">
        <v>1489</v>
      </c>
    </row>
    <row r="1103" spans="1:68" x14ac:dyDescent="0.25">
      <c r="A1103" t="s">
        <v>5713</v>
      </c>
      <c r="B1103" t="s">
        <v>474</v>
      </c>
      <c r="C1103" t="s">
        <v>1486</v>
      </c>
      <c r="E1103" t="s">
        <v>475</v>
      </c>
      <c r="G1103" s="1" t="s">
        <v>3672</v>
      </c>
      <c r="H1103" t="s">
        <v>1356</v>
      </c>
      <c r="J1103">
        <v>624030</v>
      </c>
      <c r="M1103">
        <v>1211</v>
      </c>
      <c r="R1103" t="s">
        <v>918</v>
      </c>
      <c r="S1103" t="s">
        <v>1357</v>
      </c>
      <c r="T1103" t="s">
        <v>3774</v>
      </c>
      <c r="V1103" t="s">
        <v>3775</v>
      </c>
      <c r="AE1103" t="s">
        <v>478</v>
      </c>
      <c r="AL1103" t="s">
        <v>919</v>
      </c>
      <c r="AM1103" t="s">
        <v>919</v>
      </c>
      <c r="AO1103" t="s">
        <v>480</v>
      </c>
      <c r="AP1103" t="s">
        <v>481</v>
      </c>
      <c r="BF1103" s="1" t="s">
        <v>1347</v>
      </c>
      <c r="BH1103" t="s">
        <v>1029</v>
      </c>
      <c r="BP1103" t="s">
        <v>1489</v>
      </c>
    </row>
    <row r="1104" spans="1:68" x14ac:dyDescent="0.25">
      <c r="A1104" t="s">
        <v>5713</v>
      </c>
      <c r="B1104" t="s">
        <v>474</v>
      </c>
      <c r="C1104" t="s">
        <v>1486</v>
      </c>
      <c r="E1104" t="s">
        <v>475</v>
      </c>
      <c r="G1104" s="1" t="s">
        <v>3672</v>
      </c>
      <c r="H1104" t="s">
        <v>1262</v>
      </c>
      <c r="J1104">
        <v>624030</v>
      </c>
      <c r="M1104">
        <v>1211</v>
      </c>
      <c r="R1104" t="s">
        <v>918</v>
      </c>
      <c r="S1104" t="s">
        <v>3776</v>
      </c>
      <c r="T1104" t="s">
        <v>3777</v>
      </c>
      <c r="V1104" t="s">
        <v>3778</v>
      </c>
      <c r="AE1104" t="s">
        <v>478</v>
      </c>
      <c r="AL1104" t="s">
        <v>919</v>
      </c>
      <c r="AM1104" t="s">
        <v>919</v>
      </c>
      <c r="AO1104" t="s">
        <v>480</v>
      </c>
      <c r="AP1104" t="s">
        <v>481</v>
      </c>
      <c r="BF1104" s="1" t="s">
        <v>1347</v>
      </c>
      <c r="BH1104" t="s">
        <v>1029</v>
      </c>
      <c r="BP1104" t="s">
        <v>1489</v>
      </c>
    </row>
    <row r="1105" spans="1:68" x14ac:dyDescent="0.25">
      <c r="A1105" t="s">
        <v>5713</v>
      </c>
      <c r="B1105" t="s">
        <v>474</v>
      </c>
      <c r="C1105" t="s">
        <v>1486</v>
      </c>
      <c r="E1105" t="s">
        <v>475</v>
      </c>
      <c r="G1105" s="1" t="s">
        <v>3672</v>
      </c>
      <c r="H1105" t="s">
        <v>1358</v>
      </c>
      <c r="J1105">
        <v>624030</v>
      </c>
      <c r="M1105">
        <v>1211</v>
      </c>
      <c r="R1105" t="s">
        <v>918</v>
      </c>
      <c r="S1105" t="s">
        <v>1359</v>
      </c>
      <c r="T1105" t="s">
        <v>3779</v>
      </c>
      <c r="V1105" t="s">
        <v>3780</v>
      </c>
      <c r="AE1105" t="s">
        <v>478</v>
      </c>
      <c r="AL1105" t="s">
        <v>919</v>
      </c>
      <c r="AM1105" t="s">
        <v>919</v>
      </c>
      <c r="AO1105" t="s">
        <v>480</v>
      </c>
      <c r="AP1105" t="s">
        <v>481</v>
      </c>
      <c r="BF1105" s="1" t="s">
        <v>1347</v>
      </c>
      <c r="BH1105" t="s">
        <v>1029</v>
      </c>
      <c r="BP1105" t="s">
        <v>1489</v>
      </c>
    </row>
    <row r="1106" spans="1:68" x14ac:dyDescent="0.25">
      <c r="A1106" t="s">
        <v>5713</v>
      </c>
      <c r="B1106" t="s">
        <v>474</v>
      </c>
      <c r="C1106" t="s">
        <v>1486</v>
      </c>
      <c r="E1106" t="s">
        <v>475</v>
      </c>
      <c r="G1106" s="1" t="s">
        <v>3672</v>
      </c>
      <c r="H1106" t="s">
        <v>1360</v>
      </c>
      <c r="J1106">
        <v>624030</v>
      </c>
      <c r="M1106">
        <v>1211</v>
      </c>
      <c r="R1106" t="s">
        <v>918</v>
      </c>
      <c r="S1106" t="s">
        <v>3781</v>
      </c>
      <c r="T1106" t="s">
        <v>3782</v>
      </c>
      <c r="V1106" t="s">
        <v>3783</v>
      </c>
      <c r="AE1106" t="s">
        <v>478</v>
      </c>
      <c r="AL1106" t="s">
        <v>919</v>
      </c>
      <c r="AM1106" t="s">
        <v>919</v>
      </c>
      <c r="AO1106" t="s">
        <v>480</v>
      </c>
      <c r="AP1106" t="s">
        <v>481</v>
      </c>
      <c r="BF1106" s="1" t="s">
        <v>1347</v>
      </c>
      <c r="BH1106" t="s">
        <v>1029</v>
      </c>
      <c r="BP1106" t="s">
        <v>1489</v>
      </c>
    </row>
    <row r="1107" spans="1:68" x14ac:dyDescent="0.25">
      <c r="A1107" t="s">
        <v>5713</v>
      </c>
      <c r="B1107" t="s">
        <v>474</v>
      </c>
      <c r="C1107" t="s">
        <v>1486</v>
      </c>
      <c r="E1107" t="s">
        <v>475</v>
      </c>
      <c r="G1107" s="1" t="s">
        <v>3784</v>
      </c>
      <c r="H1107" t="s">
        <v>959</v>
      </c>
      <c r="J1107">
        <v>621021</v>
      </c>
      <c r="M1107">
        <v>1211</v>
      </c>
      <c r="R1107" t="s">
        <v>918</v>
      </c>
      <c r="S1107" t="s">
        <v>3785</v>
      </c>
      <c r="T1107" t="s">
        <v>3786</v>
      </c>
      <c r="V1107" t="s">
        <v>3787</v>
      </c>
      <c r="AE1107" t="s">
        <v>478</v>
      </c>
      <c r="AL1107" t="s">
        <v>919</v>
      </c>
      <c r="AM1107" t="s">
        <v>919</v>
      </c>
      <c r="AO1107" t="s">
        <v>480</v>
      </c>
      <c r="AP1107" t="s">
        <v>481</v>
      </c>
      <c r="BF1107" s="1" t="s">
        <v>1240</v>
      </c>
      <c r="BH1107" t="s">
        <v>1029</v>
      </c>
      <c r="BP1107" t="s">
        <v>1489</v>
      </c>
    </row>
    <row r="1108" spans="1:68" x14ac:dyDescent="0.25">
      <c r="A1108" t="s">
        <v>5713</v>
      </c>
      <c r="B1108" t="s">
        <v>474</v>
      </c>
      <c r="C1108" t="s">
        <v>1486</v>
      </c>
      <c r="E1108" t="s">
        <v>475</v>
      </c>
      <c r="G1108" s="1" t="s">
        <v>3784</v>
      </c>
      <c r="H1108" t="s">
        <v>492</v>
      </c>
      <c r="J1108">
        <v>621021</v>
      </c>
      <c r="M1108">
        <v>1211</v>
      </c>
      <c r="R1108" t="s">
        <v>918</v>
      </c>
      <c r="S1108" t="s">
        <v>3788</v>
      </c>
      <c r="T1108" t="s">
        <v>3789</v>
      </c>
      <c r="V1108" t="s">
        <v>3790</v>
      </c>
      <c r="AE1108" t="s">
        <v>478</v>
      </c>
      <c r="AL1108" t="s">
        <v>919</v>
      </c>
      <c r="AM1108" t="s">
        <v>919</v>
      </c>
      <c r="AO1108" t="s">
        <v>480</v>
      </c>
      <c r="AP1108" t="s">
        <v>481</v>
      </c>
      <c r="BF1108" s="1" t="s">
        <v>1240</v>
      </c>
      <c r="BH1108" t="s">
        <v>1029</v>
      </c>
      <c r="BP1108" t="s">
        <v>1489</v>
      </c>
    </row>
    <row r="1109" spans="1:68" x14ac:dyDescent="0.25">
      <c r="A1109" t="s">
        <v>5713</v>
      </c>
      <c r="B1109" t="s">
        <v>474</v>
      </c>
      <c r="C1109" t="s">
        <v>1486</v>
      </c>
      <c r="E1109" t="s">
        <v>475</v>
      </c>
      <c r="G1109" s="1" t="s">
        <v>3784</v>
      </c>
      <c r="H1109" t="s">
        <v>500</v>
      </c>
      <c r="J1109">
        <v>621021</v>
      </c>
      <c r="M1109">
        <v>1211</v>
      </c>
      <c r="R1109" t="s">
        <v>918</v>
      </c>
      <c r="S1109" t="s">
        <v>3791</v>
      </c>
      <c r="T1109" t="s">
        <v>3792</v>
      </c>
      <c r="V1109" t="s">
        <v>3793</v>
      </c>
      <c r="AE1109" t="s">
        <v>478</v>
      </c>
      <c r="AL1109" t="s">
        <v>919</v>
      </c>
      <c r="AM1109" t="s">
        <v>919</v>
      </c>
      <c r="AO1109" t="s">
        <v>480</v>
      </c>
      <c r="AP1109" t="s">
        <v>481</v>
      </c>
      <c r="BF1109" s="1" t="s">
        <v>1240</v>
      </c>
      <c r="BH1109" t="s">
        <v>1029</v>
      </c>
      <c r="BP1109" t="s">
        <v>1489</v>
      </c>
    </row>
    <row r="1110" spans="1:68" x14ac:dyDescent="0.25">
      <c r="A1110" t="s">
        <v>5713</v>
      </c>
      <c r="B1110" t="s">
        <v>474</v>
      </c>
      <c r="C1110" t="s">
        <v>1486</v>
      </c>
      <c r="E1110" t="s">
        <v>475</v>
      </c>
      <c r="G1110" s="1" t="s">
        <v>3784</v>
      </c>
      <c r="H1110" t="s">
        <v>537</v>
      </c>
      <c r="J1110">
        <v>621021</v>
      </c>
      <c r="M1110">
        <v>1211</v>
      </c>
      <c r="R1110" t="s">
        <v>918</v>
      </c>
      <c r="S1110" t="s">
        <v>3794</v>
      </c>
      <c r="T1110" t="s">
        <v>3795</v>
      </c>
      <c r="V1110" t="s">
        <v>3796</v>
      </c>
      <c r="AE1110" t="s">
        <v>478</v>
      </c>
      <c r="AL1110" t="s">
        <v>919</v>
      </c>
      <c r="AM1110" t="s">
        <v>919</v>
      </c>
      <c r="AO1110" t="s">
        <v>480</v>
      </c>
      <c r="AP1110" t="s">
        <v>481</v>
      </c>
      <c r="BF1110" s="1" t="s">
        <v>1240</v>
      </c>
      <c r="BH1110" t="s">
        <v>1029</v>
      </c>
      <c r="BP1110" t="s">
        <v>1489</v>
      </c>
    </row>
    <row r="1111" spans="1:68" x14ac:dyDescent="0.25">
      <c r="A1111" t="s">
        <v>5713</v>
      </c>
      <c r="B1111" t="s">
        <v>474</v>
      </c>
      <c r="C1111" t="s">
        <v>1486</v>
      </c>
      <c r="E1111" t="s">
        <v>475</v>
      </c>
      <c r="G1111" s="1" t="s">
        <v>3784</v>
      </c>
      <c r="H1111" t="s">
        <v>546</v>
      </c>
      <c r="J1111">
        <v>621021</v>
      </c>
      <c r="M1111">
        <v>1211</v>
      </c>
      <c r="R1111" t="s">
        <v>918</v>
      </c>
      <c r="S1111" t="s">
        <v>3797</v>
      </c>
      <c r="T1111" t="s">
        <v>3798</v>
      </c>
      <c r="V1111" t="s">
        <v>3799</v>
      </c>
      <c r="AE1111" t="s">
        <v>478</v>
      </c>
      <c r="AL1111" t="s">
        <v>919</v>
      </c>
      <c r="AM1111" t="s">
        <v>919</v>
      </c>
      <c r="AO1111" t="s">
        <v>480</v>
      </c>
      <c r="AP1111" t="s">
        <v>481</v>
      </c>
      <c r="BF1111" s="1" t="s">
        <v>1240</v>
      </c>
      <c r="BH1111" t="s">
        <v>1029</v>
      </c>
      <c r="BP1111" t="s">
        <v>1489</v>
      </c>
    </row>
    <row r="1112" spans="1:68" x14ac:dyDescent="0.25">
      <c r="A1112" t="s">
        <v>5713</v>
      </c>
      <c r="B1112" t="s">
        <v>474</v>
      </c>
      <c r="C1112" t="s">
        <v>1486</v>
      </c>
      <c r="E1112" t="s">
        <v>475</v>
      </c>
      <c r="G1112" s="1" t="s">
        <v>3784</v>
      </c>
      <c r="H1112" t="s">
        <v>553</v>
      </c>
      <c r="J1112">
        <v>621021</v>
      </c>
      <c r="M1112">
        <v>1211</v>
      </c>
      <c r="R1112" t="s">
        <v>918</v>
      </c>
      <c r="S1112" t="s">
        <v>3800</v>
      </c>
      <c r="T1112" t="s">
        <v>3801</v>
      </c>
      <c r="V1112" t="s">
        <v>3802</v>
      </c>
      <c r="AE1112" t="s">
        <v>478</v>
      </c>
      <c r="AL1112" t="s">
        <v>919</v>
      </c>
      <c r="AM1112" t="s">
        <v>919</v>
      </c>
      <c r="AO1112" t="s">
        <v>480</v>
      </c>
      <c r="AP1112" t="s">
        <v>481</v>
      </c>
      <c r="BF1112" s="1" t="s">
        <v>1240</v>
      </c>
      <c r="BH1112" t="s">
        <v>1029</v>
      </c>
      <c r="BP1112" t="s">
        <v>1489</v>
      </c>
    </row>
    <row r="1113" spans="1:68" x14ac:dyDescent="0.25">
      <c r="A1113" t="s">
        <v>5713</v>
      </c>
      <c r="B1113" t="s">
        <v>474</v>
      </c>
      <c r="C1113" t="s">
        <v>1486</v>
      </c>
      <c r="E1113" t="s">
        <v>475</v>
      </c>
      <c r="G1113" s="1" t="s">
        <v>3784</v>
      </c>
      <c r="H1113" t="s">
        <v>559</v>
      </c>
      <c r="J1113">
        <v>621021</v>
      </c>
      <c r="M1113">
        <v>1211</v>
      </c>
      <c r="R1113" t="s">
        <v>918</v>
      </c>
      <c r="S1113" t="s">
        <v>3803</v>
      </c>
      <c r="T1113" t="s">
        <v>3804</v>
      </c>
      <c r="V1113" t="s">
        <v>3805</v>
      </c>
      <c r="AE1113" t="s">
        <v>478</v>
      </c>
      <c r="AL1113" t="s">
        <v>919</v>
      </c>
      <c r="AM1113" t="s">
        <v>919</v>
      </c>
      <c r="AO1113" t="s">
        <v>480</v>
      </c>
      <c r="AP1113" t="s">
        <v>481</v>
      </c>
      <c r="BF1113" s="1" t="s">
        <v>1240</v>
      </c>
      <c r="BH1113" t="s">
        <v>1029</v>
      </c>
      <c r="BP1113" t="s">
        <v>1489</v>
      </c>
    </row>
    <row r="1114" spans="1:68" x14ac:dyDescent="0.25">
      <c r="A1114" t="s">
        <v>5713</v>
      </c>
      <c r="B1114" t="s">
        <v>474</v>
      </c>
      <c r="C1114" t="s">
        <v>1486</v>
      </c>
      <c r="E1114" t="s">
        <v>475</v>
      </c>
      <c r="G1114" s="1" t="s">
        <v>3784</v>
      </c>
      <c r="H1114" t="s">
        <v>564</v>
      </c>
      <c r="J1114">
        <v>621021</v>
      </c>
      <c r="M1114">
        <v>1211</v>
      </c>
      <c r="R1114" t="s">
        <v>918</v>
      </c>
      <c r="S1114" t="s">
        <v>3806</v>
      </c>
      <c r="T1114" t="s">
        <v>3807</v>
      </c>
      <c r="V1114" t="s">
        <v>3808</v>
      </c>
      <c r="AE1114" t="s">
        <v>478</v>
      </c>
      <c r="AL1114" t="s">
        <v>919</v>
      </c>
      <c r="AM1114" t="s">
        <v>919</v>
      </c>
      <c r="AO1114" t="s">
        <v>480</v>
      </c>
      <c r="AP1114" t="s">
        <v>481</v>
      </c>
      <c r="BF1114" s="1" t="s">
        <v>1240</v>
      </c>
      <c r="BH1114" t="s">
        <v>1029</v>
      </c>
      <c r="BP1114" t="s">
        <v>1489</v>
      </c>
    </row>
    <row r="1115" spans="1:68" x14ac:dyDescent="0.25">
      <c r="A1115" t="s">
        <v>5713</v>
      </c>
      <c r="B1115" t="s">
        <v>474</v>
      </c>
      <c r="C1115" t="s">
        <v>1486</v>
      </c>
      <c r="E1115" t="s">
        <v>475</v>
      </c>
      <c r="G1115" s="1" t="s">
        <v>3784</v>
      </c>
      <c r="H1115" t="s">
        <v>571</v>
      </c>
      <c r="J1115">
        <v>621021</v>
      </c>
      <c r="M1115">
        <v>1211</v>
      </c>
      <c r="R1115" t="s">
        <v>918</v>
      </c>
      <c r="S1115" t="s">
        <v>3809</v>
      </c>
      <c r="T1115" t="s">
        <v>3810</v>
      </c>
      <c r="V1115" t="s">
        <v>3811</v>
      </c>
      <c r="AE1115" t="s">
        <v>478</v>
      </c>
      <c r="AL1115" t="s">
        <v>919</v>
      </c>
      <c r="AM1115" t="s">
        <v>919</v>
      </c>
      <c r="AO1115" t="s">
        <v>480</v>
      </c>
      <c r="AP1115" t="s">
        <v>481</v>
      </c>
      <c r="BF1115" s="1" t="s">
        <v>1240</v>
      </c>
      <c r="BH1115" t="s">
        <v>1029</v>
      </c>
      <c r="BP1115" t="s">
        <v>1489</v>
      </c>
    </row>
    <row r="1116" spans="1:68" x14ac:dyDescent="0.25">
      <c r="A1116" t="s">
        <v>5713</v>
      </c>
      <c r="B1116" t="s">
        <v>474</v>
      </c>
      <c r="C1116" t="s">
        <v>1486</v>
      </c>
      <c r="E1116" t="s">
        <v>475</v>
      </c>
      <c r="G1116" s="1" t="s">
        <v>3784</v>
      </c>
      <c r="H1116" t="s">
        <v>977</v>
      </c>
      <c r="J1116">
        <v>621021</v>
      </c>
      <c r="M1116">
        <v>1211</v>
      </c>
      <c r="R1116" t="s">
        <v>918</v>
      </c>
      <c r="S1116" t="s">
        <v>3812</v>
      </c>
      <c r="T1116" t="s">
        <v>3813</v>
      </c>
      <c r="V1116" t="s">
        <v>3814</v>
      </c>
      <c r="AE1116" t="s">
        <v>478</v>
      </c>
      <c r="AL1116" t="s">
        <v>919</v>
      </c>
      <c r="AM1116" t="s">
        <v>919</v>
      </c>
      <c r="AO1116" t="s">
        <v>480</v>
      </c>
      <c r="AP1116" t="s">
        <v>481</v>
      </c>
      <c r="BF1116" s="1" t="s">
        <v>1241</v>
      </c>
      <c r="BH1116" t="s">
        <v>1029</v>
      </c>
      <c r="BP1116" t="s">
        <v>1489</v>
      </c>
    </row>
    <row r="1117" spans="1:68" x14ac:dyDescent="0.25">
      <c r="A1117" t="s">
        <v>5713</v>
      </c>
      <c r="B1117" t="s">
        <v>474</v>
      </c>
      <c r="C1117" t="s">
        <v>1486</v>
      </c>
      <c r="E1117" t="s">
        <v>475</v>
      </c>
      <c r="G1117" s="1" t="s">
        <v>3784</v>
      </c>
      <c r="H1117" t="s">
        <v>1139</v>
      </c>
      <c r="J1117">
        <v>621021</v>
      </c>
      <c r="M1117">
        <v>1211</v>
      </c>
      <c r="R1117" t="s">
        <v>918</v>
      </c>
      <c r="S1117" t="s">
        <v>3815</v>
      </c>
      <c r="T1117" t="s">
        <v>3816</v>
      </c>
      <c r="V1117" t="s">
        <v>3817</v>
      </c>
      <c r="AE1117" t="s">
        <v>478</v>
      </c>
      <c r="AL1117" t="s">
        <v>919</v>
      </c>
      <c r="AM1117" t="s">
        <v>919</v>
      </c>
      <c r="AO1117" t="s">
        <v>480</v>
      </c>
      <c r="AP1117" t="s">
        <v>481</v>
      </c>
      <c r="BF1117" s="1" t="s">
        <v>1241</v>
      </c>
      <c r="BH1117" t="s">
        <v>1029</v>
      </c>
      <c r="BP1117" t="s">
        <v>1489</v>
      </c>
    </row>
    <row r="1118" spans="1:68" x14ac:dyDescent="0.25">
      <c r="A1118" t="s">
        <v>5713</v>
      </c>
      <c r="B1118" t="s">
        <v>474</v>
      </c>
      <c r="C1118" t="s">
        <v>1486</v>
      </c>
      <c r="E1118" t="s">
        <v>475</v>
      </c>
      <c r="G1118" s="1" t="s">
        <v>3784</v>
      </c>
      <c r="H1118" t="s">
        <v>978</v>
      </c>
      <c r="J1118">
        <v>621021</v>
      </c>
      <c r="M1118">
        <v>1211</v>
      </c>
      <c r="R1118" t="s">
        <v>918</v>
      </c>
      <c r="S1118" t="s">
        <v>3818</v>
      </c>
      <c r="T1118" t="s">
        <v>3819</v>
      </c>
      <c r="V1118" t="s">
        <v>3820</v>
      </c>
      <c r="AE1118" t="s">
        <v>478</v>
      </c>
      <c r="AL1118" t="s">
        <v>919</v>
      </c>
      <c r="AM1118" t="s">
        <v>919</v>
      </c>
      <c r="AO1118" t="s">
        <v>480</v>
      </c>
      <c r="AP1118" t="s">
        <v>481</v>
      </c>
      <c r="BF1118" s="1" t="s">
        <v>1241</v>
      </c>
      <c r="BH1118" t="s">
        <v>1029</v>
      </c>
      <c r="BP1118" t="s">
        <v>1489</v>
      </c>
    </row>
    <row r="1119" spans="1:68" x14ac:dyDescent="0.25">
      <c r="A1119" t="s">
        <v>5713</v>
      </c>
      <c r="B1119" t="s">
        <v>474</v>
      </c>
      <c r="C1119" t="s">
        <v>1486</v>
      </c>
      <c r="E1119" t="s">
        <v>475</v>
      </c>
      <c r="G1119" s="1" t="s">
        <v>3784</v>
      </c>
      <c r="H1119" t="s">
        <v>979</v>
      </c>
      <c r="J1119">
        <v>621021</v>
      </c>
      <c r="M1119">
        <v>1211</v>
      </c>
      <c r="R1119" t="s">
        <v>918</v>
      </c>
      <c r="S1119" t="s">
        <v>3821</v>
      </c>
      <c r="T1119" t="s">
        <v>3822</v>
      </c>
      <c r="V1119" t="s">
        <v>3823</v>
      </c>
      <c r="AE1119" t="s">
        <v>478</v>
      </c>
      <c r="AL1119" t="s">
        <v>919</v>
      </c>
      <c r="AM1119" t="s">
        <v>919</v>
      </c>
      <c r="AO1119" t="s">
        <v>480</v>
      </c>
      <c r="AP1119" t="s">
        <v>481</v>
      </c>
      <c r="BF1119" s="1" t="s">
        <v>1241</v>
      </c>
      <c r="BH1119" t="s">
        <v>1029</v>
      </c>
      <c r="BP1119" t="s">
        <v>1489</v>
      </c>
    </row>
    <row r="1120" spans="1:68" x14ac:dyDescent="0.25">
      <c r="A1120" t="s">
        <v>5713</v>
      </c>
      <c r="B1120" t="s">
        <v>474</v>
      </c>
      <c r="C1120" t="s">
        <v>1486</v>
      </c>
      <c r="E1120" t="s">
        <v>475</v>
      </c>
      <c r="G1120" s="1" t="s">
        <v>3784</v>
      </c>
      <c r="H1120" t="s">
        <v>1143</v>
      </c>
      <c r="J1120">
        <v>621021</v>
      </c>
      <c r="M1120">
        <v>1211</v>
      </c>
      <c r="R1120" t="s">
        <v>918</v>
      </c>
      <c r="S1120" t="s">
        <v>3824</v>
      </c>
      <c r="T1120" t="s">
        <v>3825</v>
      </c>
      <c r="V1120" t="s">
        <v>3826</v>
      </c>
      <c r="AE1120" t="s">
        <v>478</v>
      </c>
      <c r="AL1120" t="s">
        <v>919</v>
      </c>
      <c r="AM1120" t="s">
        <v>919</v>
      </c>
      <c r="AO1120" t="s">
        <v>480</v>
      </c>
      <c r="AP1120" t="s">
        <v>481</v>
      </c>
      <c r="BF1120" s="1" t="s">
        <v>1241</v>
      </c>
      <c r="BH1120" t="s">
        <v>1029</v>
      </c>
      <c r="BP1120" t="s">
        <v>1489</v>
      </c>
    </row>
    <row r="1121" spans="1:68" x14ac:dyDescent="0.25">
      <c r="A1121" t="s">
        <v>5713</v>
      </c>
      <c r="B1121" t="s">
        <v>474</v>
      </c>
      <c r="C1121" t="s">
        <v>1486</v>
      </c>
      <c r="E1121" t="s">
        <v>475</v>
      </c>
      <c r="G1121" s="1" t="s">
        <v>3784</v>
      </c>
      <c r="H1121" t="s">
        <v>1145</v>
      </c>
      <c r="J1121">
        <v>621021</v>
      </c>
      <c r="M1121">
        <v>1211</v>
      </c>
      <c r="R1121" t="s">
        <v>918</v>
      </c>
      <c r="S1121" t="s">
        <v>3827</v>
      </c>
      <c r="T1121" t="s">
        <v>3828</v>
      </c>
      <c r="V1121" t="s">
        <v>3829</v>
      </c>
      <c r="AE1121" t="s">
        <v>478</v>
      </c>
      <c r="AL1121" t="s">
        <v>919</v>
      </c>
      <c r="AM1121" t="s">
        <v>919</v>
      </c>
      <c r="AO1121" t="s">
        <v>480</v>
      </c>
      <c r="AP1121" t="s">
        <v>481</v>
      </c>
      <c r="BF1121" s="1" t="s">
        <v>1241</v>
      </c>
      <c r="BH1121" t="s">
        <v>1029</v>
      </c>
      <c r="BP1121" t="s">
        <v>1489</v>
      </c>
    </row>
    <row r="1122" spans="1:68" x14ac:dyDescent="0.25">
      <c r="A1122" t="s">
        <v>5713</v>
      </c>
      <c r="B1122" t="s">
        <v>474</v>
      </c>
      <c r="C1122" t="s">
        <v>1486</v>
      </c>
      <c r="E1122" t="s">
        <v>475</v>
      </c>
      <c r="G1122" s="1" t="s">
        <v>3784</v>
      </c>
      <c r="H1122" t="s">
        <v>980</v>
      </c>
      <c r="J1122">
        <v>621021</v>
      </c>
      <c r="M1122">
        <v>1211</v>
      </c>
      <c r="R1122" t="s">
        <v>918</v>
      </c>
      <c r="S1122" t="s">
        <v>3830</v>
      </c>
      <c r="T1122" t="s">
        <v>3831</v>
      </c>
      <c r="V1122" t="s">
        <v>3832</v>
      </c>
      <c r="AE1122" t="s">
        <v>478</v>
      </c>
      <c r="AL1122" t="s">
        <v>919</v>
      </c>
      <c r="AM1122" t="s">
        <v>919</v>
      </c>
      <c r="AO1122" t="s">
        <v>480</v>
      </c>
      <c r="AP1122" t="s">
        <v>481</v>
      </c>
      <c r="BF1122" s="1" t="s">
        <v>1241</v>
      </c>
      <c r="BH1122" t="s">
        <v>1029</v>
      </c>
      <c r="BP1122" t="s">
        <v>1489</v>
      </c>
    </row>
    <row r="1123" spans="1:68" x14ac:dyDescent="0.25">
      <c r="A1123" t="s">
        <v>5713</v>
      </c>
      <c r="B1123" t="s">
        <v>474</v>
      </c>
      <c r="C1123" t="s">
        <v>1486</v>
      </c>
      <c r="E1123" t="s">
        <v>475</v>
      </c>
      <c r="G1123" s="1" t="s">
        <v>3784</v>
      </c>
      <c r="H1123" t="s">
        <v>1148</v>
      </c>
      <c r="J1123">
        <v>621021</v>
      </c>
      <c r="M1123">
        <v>1211</v>
      </c>
      <c r="R1123" t="s">
        <v>918</v>
      </c>
      <c r="S1123" t="s">
        <v>3833</v>
      </c>
      <c r="T1123" t="s">
        <v>3834</v>
      </c>
      <c r="V1123" t="s">
        <v>3835</v>
      </c>
      <c r="AE1123" t="s">
        <v>478</v>
      </c>
      <c r="AL1123" t="s">
        <v>919</v>
      </c>
      <c r="AM1123" t="s">
        <v>919</v>
      </c>
      <c r="AO1123" t="s">
        <v>480</v>
      </c>
      <c r="AP1123" t="s">
        <v>481</v>
      </c>
      <c r="BF1123" s="1" t="s">
        <v>1241</v>
      </c>
      <c r="BH1123" t="s">
        <v>1029</v>
      </c>
      <c r="BP1123" t="s">
        <v>1489</v>
      </c>
    </row>
    <row r="1124" spans="1:68" x14ac:dyDescent="0.25">
      <c r="A1124" t="s">
        <v>5713</v>
      </c>
      <c r="B1124" t="s">
        <v>474</v>
      </c>
      <c r="C1124" t="s">
        <v>1486</v>
      </c>
      <c r="E1124" t="s">
        <v>475</v>
      </c>
      <c r="G1124" s="1" t="s">
        <v>3784</v>
      </c>
      <c r="H1124" t="s">
        <v>1210</v>
      </c>
      <c r="J1124">
        <v>621021</v>
      </c>
      <c r="M1124">
        <v>1211</v>
      </c>
      <c r="R1124" t="s">
        <v>918</v>
      </c>
      <c r="S1124" t="s">
        <v>3836</v>
      </c>
      <c r="T1124" t="s">
        <v>3837</v>
      </c>
      <c r="V1124" t="s">
        <v>3838</v>
      </c>
      <c r="AE1124" t="s">
        <v>478</v>
      </c>
      <c r="AL1124" t="s">
        <v>919</v>
      </c>
      <c r="AM1124" t="s">
        <v>919</v>
      </c>
      <c r="AO1124" t="s">
        <v>480</v>
      </c>
      <c r="AP1124" t="s">
        <v>481</v>
      </c>
      <c r="BF1124" s="1" t="s">
        <v>1242</v>
      </c>
      <c r="BH1124" t="s">
        <v>1029</v>
      </c>
      <c r="BP1124" t="s">
        <v>1489</v>
      </c>
    </row>
    <row r="1125" spans="1:68" x14ac:dyDescent="0.25">
      <c r="A1125" t="s">
        <v>5713</v>
      </c>
      <c r="B1125" t="s">
        <v>474</v>
      </c>
      <c r="C1125" t="s">
        <v>1486</v>
      </c>
      <c r="E1125" t="s">
        <v>475</v>
      </c>
      <c r="G1125" s="1" t="s">
        <v>3784</v>
      </c>
      <c r="H1125" t="s">
        <v>3839</v>
      </c>
      <c r="J1125">
        <v>621021</v>
      </c>
      <c r="M1125">
        <v>1211</v>
      </c>
      <c r="R1125" t="s">
        <v>918</v>
      </c>
      <c r="S1125" t="s">
        <v>3840</v>
      </c>
      <c r="T1125" t="s">
        <v>3841</v>
      </c>
      <c r="V1125" t="s">
        <v>3842</v>
      </c>
      <c r="AE1125" t="s">
        <v>478</v>
      </c>
      <c r="AL1125" t="s">
        <v>919</v>
      </c>
      <c r="AM1125" t="s">
        <v>919</v>
      </c>
      <c r="AO1125" t="s">
        <v>480</v>
      </c>
      <c r="AP1125" t="s">
        <v>481</v>
      </c>
      <c r="BF1125" s="1" t="s">
        <v>1242</v>
      </c>
      <c r="BH1125" t="s">
        <v>1029</v>
      </c>
      <c r="BP1125" t="s">
        <v>1489</v>
      </c>
    </row>
    <row r="1126" spans="1:68" x14ac:dyDescent="0.25">
      <c r="A1126" t="s">
        <v>5713</v>
      </c>
      <c r="B1126" t="s">
        <v>474</v>
      </c>
      <c r="C1126" t="s">
        <v>1486</v>
      </c>
      <c r="E1126" t="s">
        <v>475</v>
      </c>
      <c r="G1126" s="1" t="s">
        <v>3784</v>
      </c>
      <c r="H1126" t="s">
        <v>3843</v>
      </c>
      <c r="J1126">
        <v>621021</v>
      </c>
      <c r="M1126">
        <v>1211</v>
      </c>
      <c r="R1126" t="s">
        <v>918</v>
      </c>
      <c r="S1126" t="s">
        <v>3844</v>
      </c>
      <c r="T1126" t="s">
        <v>3845</v>
      </c>
      <c r="V1126" t="s">
        <v>3846</v>
      </c>
      <c r="AE1126" t="s">
        <v>478</v>
      </c>
      <c r="AL1126" t="s">
        <v>919</v>
      </c>
      <c r="AM1126" t="s">
        <v>919</v>
      </c>
      <c r="AO1126" t="s">
        <v>480</v>
      </c>
      <c r="AP1126" t="s">
        <v>481</v>
      </c>
      <c r="BF1126" s="1" t="s">
        <v>1242</v>
      </c>
      <c r="BH1126" t="s">
        <v>1029</v>
      </c>
      <c r="BP1126" t="s">
        <v>1489</v>
      </c>
    </row>
    <row r="1127" spans="1:68" x14ac:dyDescent="0.25">
      <c r="A1127" t="s">
        <v>5713</v>
      </c>
      <c r="B1127" t="s">
        <v>474</v>
      </c>
      <c r="C1127" t="s">
        <v>1486</v>
      </c>
      <c r="E1127" t="s">
        <v>475</v>
      </c>
      <c r="G1127" s="1" t="s">
        <v>3784</v>
      </c>
      <c r="H1127" t="s">
        <v>1243</v>
      </c>
      <c r="J1127">
        <v>621021</v>
      </c>
      <c r="M1127">
        <v>1211</v>
      </c>
      <c r="R1127" t="s">
        <v>918</v>
      </c>
      <c r="S1127" t="s">
        <v>3377</v>
      </c>
      <c r="T1127" t="s">
        <v>3378</v>
      </c>
      <c r="V1127" t="s">
        <v>3847</v>
      </c>
      <c r="AE1127" t="s">
        <v>478</v>
      </c>
      <c r="AL1127" t="s">
        <v>919</v>
      </c>
      <c r="AM1127" t="s">
        <v>919</v>
      </c>
      <c r="AO1127" t="s">
        <v>480</v>
      </c>
      <c r="AP1127" t="s">
        <v>481</v>
      </c>
      <c r="BF1127" s="1" t="s">
        <v>1242</v>
      </c>
      <c r="BH1127" t="s">
        <v>1029</v>
      </c>
      <c r="BP1127" t="s">
        <v>1489</v>
      </c>
    </row>
    <row r="1128" spans="1:68" x14ac:dyDescent="0.25">
      <c r="A1128" t="s">
        <v>5713</v>
      </c>
      <c r="B1128" t="s">
        <v>474</v>
      </c>
      <c r="C1128" t="s">
        <v>1486</v>
      </c>
      <c r="E1128" t="s">
        <v>475</v>
      </c>
      <c r="G1128" s="1" t="s">
        <v>3784</v>
      </c>
      <c r="H1128" t="s">
        <v>1244</v>
      </c>
      <c r="J1128">
        <v>621021</v>
      </c>
      <c r="M1128">
        <v>1211</v>
      </c>
      <c r="R1128" t="s">
        <v>918</v>
      </c>
      <c r="S1128" t="s">
        <v>3848</v>
      </c>
      <c r="T1128" t="s">
        <v>3849</v>
      </c>
      <c r="V1128" t="s">
        <v>3850</v>
      </c>
      <c r="AE1128" t="s">
        <v>478</v>
      </c>
      <c r="AL1128" t="s">
        <v>919</v>
      </c>
      <c r="AM1128" t="s">
        <v>919</v>
      </c>
      <c r="AO1128" t="s">
        <v>480</v>
      </c>
      <c r="AP1128" t="s">
        <v>481</v>
      </c>
      <c r="BF1128" s="1" t="s">
        <v>1242</v>
      </c>
      <c r="BH1128" t="s">
        <v>1029</v>
      </c>
      <c r="BP1128" t="s">
        <v>1489</v>
      </c>
    </row>
    <row r="1129" spans="1:68" x14ac:dyDescent="0.25">
      <c r="A1129" t="s">
        <v>5713</v>
      </c>
      <c r="B1129" t="s">
        <v>474</v>
      </c>
      <c r="C1129" t="s">
        <v>1486</v>
      </c>
      <c r="E1129" t="s">
        <v>475</v>
      </c>
      <c r="G1129" s="1" t="s">
        <v>3784</v>
      </c>
      <c r="H1129" t="s">
        <v>1245</v>
      </c>
      <c r="J1129">
        <v>621021</v>
      </c>
      <c r="M1129">
        <v>1211</v>
      </c>
      <c r="R1129" t="s">
        <v>918</v>
      </c>
      <c r="S1129" t="s">
        <v>3851</v>
      </c>
      <c r="T1129" t="s">
        <v>3852</v>
      </c>
      <c r="V1129" t="s">
        <v>3853</v>
      </c>
      <c r="AE1129" t="s">
        <v>478</v>
      </c>
      <c r="AL1129" t="s">
        <v>919</v>
      </c>
      <c r="AM1129" t="s">
        <v>919</v>
      </c>
      <c r="AO1129" t="s">
        <v>480</v>
      </c>
      <c r="AP1129" t="s">
        <v>481</v>
      </c>
      <c r="BF1129" s="1" t="s">
        <v>1242</v>
      </c>
      <c r="BH1129" t="s">
        <v>1029</v>
      </c>
      <c r="BP1129" t="s">
        <v>1489</v>
      </c>
    </row>
    <row r="1130" spans="1:68" x14ac:dyDescent="0.25">
      <c r="A1130" t="s">
        <v>5713</v>
      </c>
      <c r="B1130" t="s">
        <v>474</v>
      </c>
      <c r="C1130" t="s">
        <v>1486</v>
      </c>
      <c r="E1130" t="s">
        <v>475</v>
      </c>
      <c r="G1130" s="1" t="s">
        <v>3784</v>
      </c>
      <c r="H1130" t="s">
        <v>1246</v>
      </c>
      <c r="J1130">
        <v>621021</v>
      </c>
      <c r="M1130">
        <v>1211</v>
      </c>
      <c r="R1130" t="s">
        <v>918</v>
      </c>
      <c r="S1130" t="s">
        <v>1179</v>
      </c>
      <c r="T1130" t="s">
        <v>3854</v>
      </c>
      <c r="V1130" t="s">
        <v>3855</v>
      </c>
      <c r="AE1130" t="s">
        <v>478</v>
      </c>
      <c r="AL1130" t="s">
        <v>919</v>
      </c>
      <c r="AM1130" t="s">
        <v>919</v>
      </c>
      <c r="AO1130" t="s">
        <v>480</v>
      </c>
      <c r="AP1130" t="s">
        <v>481</v>
      </c>
      <c r="BF1130" s="1" t="s">
        <v>1242</v>
      </c>
      <c r="BH1130" t="s">
        <v>1029</v>
      </c>
      <c r="BP1130" t="s">
        <v>1489</v>
      </c>
    </row>
    <row r="1131" spans="1:68" x14ac:dyDescent="0.25">
      <c r="A1131" t="s">
        <v>5713</v>
      </c>
      <c r="B1131" t="s">
        <v>474</v>
      </c>
      <c r="C1131" t="s">
        <v>1486</v>
      </c>
      <c r="E1131" t="s">
        <v>475</v>
      </c>
      <c r="G1131" s="1" t="s">
        <v>3784</v>
      </c>
      <c r="H1131" t="s">
        <v>1247</v>
      </c>
      <c r="J1131">
        <v>621021</v>
      </c>
      <c r="M1131">
        <v>1211</v>
      </c>
      <c r="R1131" t="s">
        <v>918</v>
      </c>
      <c r="S1131" t="s">
        <v>3856</v>
      </c>
      <c r="T1131" t="s">
        <v>3857</v>
      </c>
      <c r="V1131" t="s">
        <v>3858</v>
      </c>
      <c r="AE1131" t="s">
        <v>478</v>
      </c>
      <c r="AL1131" t="s">
        <v>919</v>
      </c>
      <c r="AM1131" t="s">
        <v>919</v>
      </c>
      <c r="AO1131" t="s">
        <v>480</v>
      </c>
      <c r="AP1131" t="s">
        <v>481</v>
      </c>
      <c r="BF1131" s="1" t="s">
        <v>1242</v>
      </c>
      <c r="BH1131" t="s">
        <v>1029</v>
      </c>
      <c r="BP1131" t="s">
        <v>1489</v>
      </c>
    </row>
    <row r="1132" spans="1:68" x14ac:dyDescent="0.25">
      <c r="A1132" t="s">
        <v>5713</v>
      </c>
      <c r="B1132" t="s">
        <v>474</v>
      </c>
      <c r="C1132" t="s">
        <v>1486</v>
      </c>
      <c r="E1132" t="s">
        <v>475</v>
      </c>
      <c r="G1132" s="1" t="s">
        <v>3784</v>
      </c>
      <c r="H1132" t="s">
        <v>3859</v>
      </c>
      <c r="J1132">
        <v>621021</v>
      </c>
      <c r="M1132">
        <v>1211</v>
      </c>
      <c r="R1132" t="s">
        <v>918</v>
      </c>
      <c r="S1132" t="s">
        <v>3860</v>
      </c>
      <c r="T1132" t="s">
        <v>3861</v>
      </c>
      <c r="V1132" t="s">
        <v>3862</v>
      </c>
      <c r="AE1132" t="s">
        <v>478</v>
      </c>
      <c r="AL1132" t="s">
        <v>919</v>
      </c>
      <c r="AM1132" t="s">
        <v>919</v>
      </c>
      <c r="AO1132" t="s">
        <v>480</v>
      </c>
      <c r="AP1132" t="s">
        <v>481</v>
      </c>
      <c r="BF1132" s="1" t="s">
        <v>1242</v>
      </c>
      <c r="BH1132" t="s">
        <v>1029</v>
      </c>
      <c r="BP1132" t="s">
        <v>1489</v>
      </c>
    </row>
    <row r="1133" spans="1:68" x14ac:dyDescent="0.25">
      <c r="A1133" t="s">
        <v>5713</v>
      </c>
      <c r="B1133" t="s">
        <v>474</v>
      </c>
      <c r="C1133" t="s">
        <v>1486</v>
      </c>
      <c r="E1133" t="s">
        <v>475</v>
      </c>
      <c r="G1133" s="1" t="s">
        <v>3784</v>
      </c>
      <c r="H1133" t="s">
        <v>3863</v>
      </c>
      <c r="J1133">
        <v>621021</v>
      </c>
      <c r="M1133">
        <v>1211</v>
      </c>
      <c r="R1133" t="s">
        <v>918</v>
      </c>
      <c r="S1133" t="s">
        <v>3864</v>
      </c>
      <c r="T1133" t="s">
        <v>3865</v>
      </c>
      <c r="V1133" t="s">
        <v>3866</v>
      </c>
      <c r="AE1133" t="s">
        <v>478</v>
      </c>
      <c r="AL1133" t="s">
        <v>919</v>
      </c>
      <c r="AM1133" t="s">
        <v>919</v>
      </c>
      <c r="AO1133" t="s">
        <v>480</v>
      </c>
      <c r="AP1133" t="s">
        <v>481</v>
      </c>
      <c r="BF1133" s="1" t="s">
        <v>1242</v>
      </c>
      <c r="BH1133" t="s">
        <v>1029</v>
      </c>
      <c r="BP1133" t="s">
        <v>1489</v>
      </c>
    </row>
    <row r="1134" spans="1:68" x14ac:dyDescent="0.25">
      <c r="A1134" t="s">
        <v>5713</v>
      </c>
      <c r="B1134" t="s">
        <v>474</v>
      </c>
      <c r="C1134" t="s">
        <v>1486</v>
      </c>
      <c r="E1134" t="s">
        <v>475</v>
      </c>
      <c r="G1134" s="1" t="s">
        <v>3784</v>
      </c>
      <c r="H1134" t="s">
        <v>1248</v>
      </c>
      <c r="J1134">
        <v>621021</v>
      </c>
      <c r="M1134">
        <v>1211</v>
      </c>
      <c r="R1134" t="s">
        <v>918</v>
      </c>
      <c r="S1134" t="s">
        <v>3867</v>
      </c>
      <c r="T1134" t="s">
        <v>3868</v>
      </c>
      <c r="V1134" t="s">
        <v>3869</v>
      </c>
      <c r="AE1134" t="s">
        <v>478</v>
      </c>
      <c r="AL1134" t="s">
        <v>919</v>
      </c>
      <c r="AM1134" t="s">
        <v>919</v>
      </c>
      <c r="AO1134" t="s">
        <v>480</v>
      </c>
      <c r="AP1134" t="s">
        <v>481</v>
      </c>
      <c r="BF1134" s="1" t="s">
        <v>1242</v>
      </c>
      <c r="BH1134" t="s">
        <v>1029</v>
      </c>
      <c r="BP1134" t="s">
        <v>1489</v>
      </c>
    </row>
    <row r="1135" spans="1:68" x14ac:dyDescent="0.25">
      <c r="A1135" t="s">
        <v>5713</v>
      </c>
      <c r="B1135" t="s">
        <v>474</v>
      </c>
      <c r="C1135" t="s">
        <v>1486</v>
      </c>
      <c r="E1135" t="s">
        <v>475</v>
      </c>
      <c r="G1135" s="1" t="s">
        <v>3784</v>
      </c>
      <c r="H1135" t="s">
        <v>1249</v>
      </c>
      <c r="J1135">
        <v>621021</v>
      </c>
      <c r="M1135">
        <v>1211</v>
      </c>
      <c r="R1135" t="s">
        <v>918</v>
      </c>
      <c r="S1135" t="s">
        <v>3870</v>
      </c>
      <c r="T1135" t="s">
        <v>3871</v>
      </c>
      <c r="V1135" t="s">
        <v>3872</v>
      </c>
      <c r="AE1135" t="s">
        <v>478</v>
      </c>
      <c r="AL1135" t="s">
        <v>919</v>
      </c>
      <c r="AM1135" t="s">
        <v>919</v>
      </c>
      <c r="AO1135" t="s">
        <v>480</v>
      </c>
      <c r="AP1135" t="s">
        <v>481</v>
      </c>
      <c r="BF1135" s="1" t="s">
        <v>1242</v>
      </c>
      <c r="BH1135" t="s">
        <v>1029</v>
      </c>
      <c r="BP1135" t="s">
        <v>1489</v>
      </c>
    </row>
    <row r="1136" spans="1:68" x14ac:dyDescent="0.25">
      <c r="A1136" t="s">
        <v>5713</v>
      </c>
      <c r="B1136" t="s">
        <v>474</v>
      </c>
      <c r="C1136" t="s">
        <v>1486</v>
      </c>
      <c r="E1136" t="s">
        <v>475</v>
      </c>
      <c r="G1136" s="1" t="s">
        <v>3784</v>
      </c>
      <c r="H1136" t="s">
        <v>1250</v>
      </c>
      <c r="J1136">
        <v>621021</v>
      </c>
      <c r="M1136">
        <v>1211</v>
      </c>
      <c r="R1136" t="s">
        <v>918</v>
      </c>
      <c r="S1136" t="s">
        <v>3873</v>
      </c>
      <c r="T1136" t="s">
        <v>3874</v>
      </c>
      <c r="V1136" t="s">
        <v>3875</v>
      </c>
      <c r="AE1136" t="s">
        <v>478</v>
      </c>
      <c r="AL1136" t="s">
        <v>919</v>
      </c>
      <c r="AM1136" t="s">
        <v>919</v>
      </c>
      <c r="AO1136" t="s">
        <v>480</v>
      </c>
      <c r="AP1136" t="s">
        <v>481</v>
      </c>
      <c r="BF1136" s="1" t="s">
        <v>1242</v>
      </c>
      <c r="BH1136" t="s">
        <v>1029</v>
      </c>
      <c r="BP1136" t="s">
        <v>1489</v>
      </c>
    </row>
    <row r="1137" spans="1:68" x14ac:dyDescent="0.25">
      <c r="A1137" t="s">
        <v>5713</v>
      </c>
      <c r="B1137" t="s">
        <v>474</v>
      </c>
      <c r="C1137" t="s">
        <v>1486</v>
      </c>
      <c r="E1137" t="s">
        <v>475</v>
      </c>
      <c r="G1137" s="1" t="s">
        <v>3784</v>
      </c>
      <c r="H1137" t="s">
        <v>1251</v>
      </c>
      <c r="J1137">
        <v>621021</v>
      </c>
      <c r="M1137">
        <v>1211</v>
      </c>
      <c r="R1137" t="s">
        <v>918</v>
      </c>
      <c r="S1137" t="s">
        <v>3876</v>
      </c>
      <c r="T1137" t="s">
        <v>3877</v>
      </c>
      <c r="V1137" t="s">
        <v>3878</v>
      </c>
      <c r="AE1137" t="s">
        <v>478</v>
      </c>
      <c r="AL1137" t="s">
        <v>919</v>
      </c>
      <c r="AM1137" t="s">
        <v>919</v>
      </c>
      <c r="AO1137" t="s">
        <v>480</v>
      </c>
      <c r="AP1137" t="s">
        <v>481</v>
      </c>
      <c r="BF1137" s="1" t="s">
        <v>1242</v>
      </c>
      <c r="BH1137" t="s">
        <v>1029</v>
      </c>
      <c r="BP1137" t="s">
        <v>1489</v>
      </c>
    </row>
    <row r="1138" spans="1:68" x14ac:dyDescent="0.25">
      <c r="A1138" t="s">
        <v>5713</v>
      </c>
      <c r="B1138" t="s">
        <v>474</v>
      </c>
      <c r="C1138" t="s">
        <v>1486</v>
      </c>
      <c r="E1138" t="s">
        <v>475</v>
      </c>
      <c r="G1138" s="1" t="s">
        <v>3784</v>
      </c>
      <c r="H1138" t="s">
        <v>1252</v>
      </c>
      <c r="J1138">
        <v>621021</v>
      </c>
      <c r="M1138">
        <v>1211</v>
      </c>
      <c r="R1138" t="s">
        <v>918</v>
      </c>
      <c r="S1138" t="s">
        <v>3879</v>
      </c>
      <c r="T1138" t="s">
        <v>3880</v>
      </c>
      <c r="V1138" t="s">
        <v>3881</v>
      </c>
      <c r="AE1138" t="s">
        <v>478</v>
      </c>
      <c r="AL1138" t="s">
        <v>919</v>
      </c>
      <c r="AM1138" t="s">
        <v>919</v>
      </c>
      <c r="AO1138" t="s">
        <v>480</v>
      </c>
      <c r="AP1138" t="s">
        <v>481</v>
      </c>
      <c r="BF1138" s="1" t="s">
        <v>1242</v>
      </c>
      <c r="BH1138" t="s">
        <v>1029</v>
      </c>
      <c r="BP1138" t="s">
        <v>1489</v>
      </c>
    </row>
    <row r="1139" spans="1:68" x14ac:dyDescent="0.25">
      <c r="A1139" t="s">
        <v>5713</v>
      </c>
      <c r="B1139" t="s">
        <v>474</v>
      </c>
      <c r="C1139" t="s">
        <v>1486</v>
      </c>
      <c r="E1139" t="s">
        <v>475</v>
      </c>
      <c r="G1139" s="1" t="s">
        <v>3784</v>
      </c>
      <c r="H1139" t="s">
        <v>1253</v>
      </c>
      <c r="J1139">
        <v>621021</v>
      </c>
      <c r="M1139">
        <v>1211</v>
      </c>
      <c r="R1139" t="s">
        <v>918</v>
      </c>
      <c r="S1139" t="s">
        <v>3882</v>
      </c>
      <c r="T1139" t="s">
        <v>3883</v>
      </c>
      <c r="V1139" t="s">
        <v>3884</v>
      </c>
      <c r="AE1139" t="s">
        <v>478</v>
      </c>
      <c r="AL1139" t="s">
        <v>919</v>
      </c>
      <c r="AM1139" t="s">
        <v>919</v>
      </c>
      <c r="AO1139" t="s">
        <v>480</v>
      </c>
      <c r="AP1139" t="s">
        <v>481</v>
      </c>
      <c r="BF1139" s="1" t="s">
        <v>1242</v>
      </c>
      <c r="BH1139" t="s">
        <v>1029</v>
      </c>
      <c r="BP1139" t="s">
        <v>1489</v>
      </c>
    </row>
    <row r="1140" spans="1:68" x14ac:dyDescent="0.25">
      <c r="A1140" t="s">
        <v>5713</v>
      </c>
      <c r="B1140" t="s">
        <v>474</v>
      </c>
      <c r="C1140" t="s">
        <v>1486</v>
      </c>
      <c r="E1140" t="s">
        <v>475</v>
      </c>
      <c r="G1140" s="1" t="s">
        <v>3784</v>
      </c>
      <c r="H1140" t="s">
        <v>1254</v>
      </c>
      <c r="J1140">
        <v>621021</v>
      </c>
      <c r="M1140">
        <v>1211</v>
      </c>
      <c r="R1140" t="s">
        <v>918</v>
      </c>
      <c r="S1140" t="s">
        <v>3885</v>
      </c>
      <c r="T1140" t="s">
        <v>3886</v>
      </c>
      <c r="V1140" t="s">
        <v>3887</v>
      </c>
      <c r="AE1140" t="s">
        <v>478</v>
      </c>
      <c r="AL1140" t="s">
        <v>919</v>
      </c>
      <c r="AM1140" t="s">
        <v>919</v>
      </c>
      <c r="AO1140" t="s">
        <v>480</v>
      </c>
      <c r="AP1140" t="s">
        <v>481</v>
      </c>
      <c r="BF1140" s="1" t="s">
        <v>1242</v>
      </c>
      <c r="BH1140" t="s">
        <v>1029</v>
      </c>
      <c r="BP1140" t="s">
        <v>1489</v>
      </c>
    </row>
    <row r="1141" spans="1:68" x14ac:dyDescent="0.25">
      <c r="A1141" t="s">
        <v>5713</v>
      </c>
      <c r="B1141" t="s">
        <v>474</v>
      </c>
      <c r="C1141" t="s">
        <v>1486</v>
      </c>
      <c r="E1141" t="s">
        <v>475</v>
      </c>
      <c r="G1141" s="1" t="s">
        <v>3784</v>
      </c>
      <c r="H1141" t="s">
        <v>3888</v>
      </c>
      <c r="J1141">
        <v>621021</v>
      </c>
      <c r="M1141">
        <v>1211</v>
      </c>
      <c r="R1141" t="s">
        <v>918</v>
      </c>
      <c r="S1141" t="s">
        <v>3889</v>
      </c>
      <c r="T1141" t="s">
        <v>3890</v>
      </c>
      <c r="V1141" t="s">
        <v>3891</v>
      </c>
      <c r="AE1141" t="s">
        <v>478</v>
      </c>
      <c r="AL1141" t="s">
        <v>919</v>
      </c>
      <c r="AM1141" t="s">
        <v>919</v>
      </c>
      <c r="AO1141" t="s">
        <v>480</v>
      </c>
      <c r="AP1141" t="s">
        <v>481</v>
      </c>
      <c r="BF1141" s="1" t="s">
        <v>1256</v>
      </c>
      <c r="BH1141" t="s">
        <v>1029</v>
      </c>
      <c r="BP1141" t="s">
        <v>1489</v>
      </c>
    </row>
    <row r="1142" spans="1:68" x14ac:dyDescent="0.25">
      <c r="A1142" t="s">
        <v>5713</v>
      </c>
      <c r="B1142" t="s">
        <v>474</v>
      </c>
      <c r="C1142" t="s">
        <v>1486</v>
      </c>
      <c r="E1142" t="s">
        <v>475</v>
      </c>
      <c r="G1142" s="1" t="s">
        <v>3784</v>
      </c>
      <c r="H1142" t="s">
        <v>1255</v>
      </c>
      <c r="J1142">
        <v>621021</v>
      </c>
      <c r="M1142">
        <v>1211</v>
      </c>
      <c r="R1142" t="s">
        <v>918</v>
      </c>
      <c r="S1142" t="s">
        <v>3892</v>
      </c>
      <c r="T1142" t="s">
        <v>3893</v>
      </c>
      <c r="V1142" t="s">
        <v>3894</v>
      </c>
      <c r="AE1142" t="s">
        <v>478</v>
      </c>
      <c r="AL1142" t="s">
        <v>919</v>
      </c>
      <c r="AM1142" t="s">
        <v>919</v>
      </c>
      <c r="AO1142" t="s">
        <v>480</v>
      </c>
      <c r="AP1142" t="s">
        <v>481</v>
      </c>
      <c r="BF1142" s="1" t="s">
        <v>1256</v>
      </c>
      <c r="BH1142" t="s">
        <v>1029</v>
      </c>
      <c r="BP1142" t="s">
        <v>1489</v>
      </c>
    </row>
    <row r="1143" spans="1:68" x14ac:dyDescent="0.25">
      <c r="A1143" t="s">
        <v>5713</v>
      </c>
      <c r="B1143" t="s">
        <v>474</v>
      </c>
      <c r="C1143" t="s">
        <v>1486</v>
      </c>
      <c r="E1143" t="s">
        <v>475</v>
      </c>
      <c r="G1143" s="1" t="s">
        <v>3784</v>
      </c>
      <c r="H1143" t="s">
        <v>1257</v>
      </c>
      <c r="J1143">
        <v>621021</v>
      </c>
      <c r="M1143">
        <v>1211</v>
      </c>
      <c r="R1143" t="s">
        <v>918</v>
      </c>
      <c r="S1143" t="s">
        <v>3895</v>
      </c>
      <c r="T1143" t="s">
        <v>3896</v>
      </c>
      <c r="V1143" t="s">
        <v>3897</v>
      </c>
      <c r="AE1143" t="s">
        <v>478</v>
      </c>
      <c r="AL1143" t="s">
        <v>919</v>
      </c>
      <c r="AM1143" t="s">
        <v>919</v>
      </c>
      <c r="AO1143" t="s">
        <v>480</v>
      </c>
      <c r="AP1143" t="s">
        <v>481</v>
      </c>
      <c r="BF1143" s="1" t="s">
        <v>1256</v>
      </c>
      <c r="BH1143" t="s">
        <v>1029</v>
      </c>
      <c r="BP1143" t="s">
        <v>1489</v>
      </c>
    </row>
    <row r="1144" spans="1:68" x14ac:dyDescent="0.25">
      <c r="A1144" t="s">
        <v>5713</v>
      </c>
      <c r="B1144" t="s">
        <v>474</v>
      </c>
      <c r="C1144" t="s">
        <v>1486</v>
      </c>
      <c r="E1144" t="s">
        <v>475</v>
      </c>
      <c r="G1144" s="1" t="s">
        <v>3784</v>
      </c>
      <c r="H1144" t="s">
        <v>1258</v>
      </c>
      <c r="J1144">
        <v>621021</v>
      </c>
      <c r="M1144">
        <v>1211</v>
      </c>
      <c r="R1144" t="s">
        <v>918</v>
      </c>
      <c r="S1144" t="s">
        <v>3898</v>
      </c>
      <c r="T1144" t="s">
        <v>3899</v>
      </c>
      <c r="V1144" t="s">
        <v>3900</v>
      </c>
      <c r="AE1144" t="s">
        <v>478</v>
      </c>
      <c r="AL1144" t="s">
        <v>919</v>
      </c>
      <c r="AM1144" t="s">
        <v>919</v>
      </c>
      <c r="AO1144" t="s">
        <v>480</v>
      </c>
      <c r="AP1144" t="s">
        <v>481</v>
      </c>
      <c r="BF1144" s="1" t="s">
        <v>1256</v>
      </c>
      <c r="BH1144" t="s">
        <v>1029</v>
      </c>
      <c r="BP1144" t="s">
        <v>1489</v>
      </c>
    </row>
    <row r="1145" spans="1:68" x14ac:dyDescent="0.25">
      <c r="A1145" t="s">
        <v>5713</v>
      </c>
      <c r="B1145" t="s">
        <v>474</v>
      </c>
      <c r="C1145" t="s">
        <v>1486</v>
      </c>
      <c r="E1145" t="s">
        <v>475</v>
      </c>
      <c r="G1145" s="1" t="s">
        <v>3784</v>
      </c>
      <c r="H1145" t="s">
        <v>1259</v>
      </c>
      <c r="J1145">
        <v>621021</v>
      </c>
      <c r="M1145">
        <v>1211</v>
      </c>
      <c r="R1145" t="s">
        <v>918</v>
      </c>
      <c r="S1145" t="s">
        <v>3901</v>
      </c>
      <c r="T1145" t="s">
        <v>3902</v>
      </c>
      <c r="V1145" t="s">
        <v>3903</v>
      </c>
      <c r="AE1145" t="s">
        <v>478</v>
      </c>
      <c r="AL1145" t="s">
        <v>919</v>
      </c>
      <c r="AM1145" t="s">
        <v>919</v>
      </c>
      <c r="AO1145" t="s">
        <v>480</v>
      </c>
      <c r="AP1145" t="s">
        <v>481</v>
      </c>
      <c r="BF1145" s="1" t="s">
        <v>1256</v>
      </c>
      <c r="BH1145" t="s">
        <v>1029</v>
      </c>
      <c r="BP1145" t="s">
        <v>1489</v>
      </c>
    </row>
    <row r="1146" spans="1:68" x14ac:dyDescent="0.25">
      <c r="A1146" t="s">
        <v>5713</v>
      </c>
      <c r="B1146" t="s">
        <v>474</v>
      </c>
      <c r="C1146" t="s">
        <v>1486</v>
      </c>
      <c r="E1146" t="s">
        <v>475</v>
      </c>
      <c r="G1146" s="1" t="s">
        <v>3784</v>
      </c>
      <c r="H1146" t="s">
        <v>1260</v>
      </c>
      <c r="J1146">
        <v>621021</v>
      </c>
      <c r="M1146">
        <v>1211</v>
      </c>
      <c r="R1146" t="s">
        <v>918</v>
      </c>
      <c r="S1146" t="s">
        <v>3904</v>
      </c>
      <c r="T1146" t="s">
        <v>3905</v>
      </c>
      <c r="V1146" t="s">
        <v>3906</v>
      </c>
      <c r="AE1146" t="s">
        <v>478</v>
      </c>
      <c r="AL1146" t="s">
        <v>919</v>
      </c>
      <c r="AM1146" t="s">
        <v>919</v>
      </c>
      <c r="AO1146" t="s">
        <v>480</v>
      </c>
      <c r="AP1146" t="s">
        <v>481</v>
      </c>
      <c r="BF1146" s="1" t="s">
        <v>1256</v>
      </c>
      <c r="BH1146" t="s">
        <v>1029</v>
      </c>
      <c r="BP1146" t="s">
        <v>1489</v>
      </c>
    </row>
    <row r="1147" spans="1:68" x14ac:dyDescent="0.25">
      <c r="A1147" t="s">
        <v>5713</v>
      </c>
      <c r="B1147" t="s">
        <v>474</v>
      </c>
      <c r="C1147" t="s">
        <v>1486</v>
      </c>
      <c r="E1147" t="s">
        <v>475</v>
      </c>
      <c r="G1147" s="1" t="s">
        <v>3784</v>
      </c>
      <c r="H1147" t="s">
        <v>1261</v>
      </c>
      <c r="J1147">
        <v>621021</v>
      </c>
      <c r="M1147">
        <v>1211</v>
      </c>
      <c r="R1147" t="s">
        <v>918</v>
      </c>
      <c r="S1147" t="s">
        <v>3907</v>
      </c>
      <c r="T1147" t="s">
        <v>3908</v>
      </c>
      <c r="V1147" t="s">
        <v>3909</v>
      </c>
      <c r="AE1147" t="s">
        <v>478</v>
      </c>
      <c r="AL1147" t="s">
        <v>919</v>
      </c>
      <c r="AM1147" t="s">
        <v>919</v>
      </c>
      <c r="AO1147" t="s">
        <v>480</v>
      </c>
      <c r="AP1147" t="s">
        <v>481</v>
      </c>
      <c r="BF1147" s="1" t="s">
        <v>1256</v>
      </c>
      <c r="BH1147" t="s">
        <v>1029</v>
      </c>
      <c r="BP1147" t="s">
        <v>1489</v>
      </c>
    </row>
    <row r="1148" spans="1:68" x14ac:dyDescent="0.25">
      <c r="A1148" t="s">
        <v>5713</v>
      </c>
      <c r="B1148" t="s">
        <v>474</v>
      </c>
      <c r="C1148" t="s">
        <v>1486</v>
      </c>
      <c r="E1148" t="s">
        <v>475</v>
      </c>
      <c r="G1148" s="1" t="s">
        <v>3784</v>
      </c>
      <c r="H1148" t="s">
        <v>1356</v>
      </c>
      <c r="J1148">
        <v>621021</v>
      </c>
      <c r="M1148">
        <v>1211</v>
      </c>
      <c r="R1148" t="s">
        <v>918</v>
      </c>
      <c r="S1148" t="s">
        <v>3910</v>
      </c>
      <c r="T1148" t="s">
        <v>3911</v>
      </c>
      <c r="V1148" t="s">
        <v>3912</v>
      </c>
      <c r="AE1148" t="s">
        <v>478</v>
      </c>
      <c r="AL1148" t="s">
        <v>919</v>
      </c>
      <c r="AM1148" t="s">
        <v>919</v>
      </c>
      <c r="AO1148" t="s">
        <v>480</v>
      </c>
      <c r="AP1148" t="s">
        <v>481</v>
      </c>
      <c r="BF1148" s="1" t="s">
        <v>1242</v>
      </c>
      <c r="BH1148" t="s">
        <v>1029</v>
      </c>
      <c r="BP1148" t="s">
        <v>1489</v>
      </c>
    </row>
    <row r="1149" spans="1:68" x14ac:dyDescent="0.25">
      <c r="A1149" t="s">
        <v>5713</v>
      </c>
      <c r="B1149" t="s">
        <v>474</v>
      </c>
      <c r="C1149" t="s">
        <v>1486</v>
      </c>
      <c r="E1149" t="s">
        <v>475</v>
      </c>
      <c r="G1149" s="1" t="s">
        <v>3913</v>
      </c>
      <c r="H1149" t="s">
        <v>959</v>
      </c>
      <c r="J1149">
        <v>622021</v>
      </c>
      <c r="M1149">
        <v>1211</v>
      </c>
      <c r="R1149" t="s">
        <v>918</v>
      </c>
      <c r="S1149" t="s">
        <v>3914</v>
      </c>
      <c r="T1149" t="s">
        <v>3915</v>
      </c>
      <c r="V1149" t="s">
        <v>3916</v>
      </c>
      <c r="AE1149" t="s">
        <v>478</v>
      </c>
      <c r="AL1149" t="s">
        <v>919</v>
      </c>
      <c r="AM1149" t="s">
        <v>919</v>
      </c>
      <c r="AO1149" t="s">
        <v>480</v>
      </c>
      <c r="AP1149" t="s">
        <v>481</v>
      </c>
      <c r="BF1149" s="1" t="s">
        <v>1076</v>
      </c>
      <c r="BH1149" t="s">
        <v>1029</v>
      </c>
      <c r="BP1149" t="s">
        <v>1489</v>
      </c>
    </row>
    <row r="1150" spans="1:68" x14ac:dyDescent="0.25">
      <c r="A1150" t="s">
        <v>5713</v>
      </c>
      <c r="B1150" t="s">
        <v>474</v>
      </c>
      <c r="C1150" t="s">
        <v>1486</v>
      </c>
      <c r="E1150" t="s">
        <v>475</v>
      </c>
      <c r="G1150" s="1" t="s">
        <v>3917</v>
      </c>
      <c r="H1150" t="s">
        <v>500</v>
      </c>
      <c r="J1150">
        <v>624033</v>
      </c>
      <c r="M1150">
        <v>1211</v>
      </c>
      <c r="R1150" t="s">
        <v>918</v>
      </c>
      <c r="S1150" t="s">
        <v>3918</v>
      </c>
      <c r="T1150" t="s">
        <v>3919</v>
      </c>
      <c r="V1150" t="s">
        <v>3920</v>
      </c>
      <c r="AE1150" t="s">
        <v>478</v>
      </c>
      <c r="AL1150" t="s">
        <v>919</v>
      </c>
      <c r="AM1150" t="s">
        <v>919</v>
      </c>
      <c r="AO1150" t="s">
        <v>480</v>
      </c>
      <c r="AP1150" t="s">
        <v>481</v>
      </c>
      <c r="BF1150" s="1" t="s">
        <v>1323</v>
      </c>
      <c r="BH1150" t="s">
        <v>1029</v>
      </c>
      <c r="BP1150" t="s">
        <v>1489</v>
      </c>
    </row>
    <row r="1151" spans="1:68" x14ac:dyDescent="0.25">
      <c r="A1151" t="s">
        <v>5713</v>
      </c>
      <c r="B1151" t="s">
        <v>474</v>
      </c>
      <c r="C1151" t="s">
        <v>1486</v>
      </c>
      <c r="E1151" t="s">
        <v>475</v>
      </c>
      <c r="G1151" s="1" t="s">
        <v>3921</v>
      </c>
      <c r="H1151" t="s">
        <v>959</v>
      </c>
      <c r="J1151">
        <v>624102</v>
      </c>
      <c r="M1151">
        <v>1211</v>
      </c>
      <c r="R1151" t="s">
        <v>918</v>
      </c>
      <c r="S1151" t="s">
        <v>3922</v>
      </c>
      <c r="T1151" t="s">
        <v>3923</v>
      </c>
      <c r="V1151" t="s">
        <v>3924</v>
      </c>
      <c r="AE1151" t="s">
        <v>478</v>
      </c>
      <c r="AL1151" t="s">
        <v>919</v>
      </c>
      <c r="AM1151" t="s">
        <v>919</v>
      </c>
      <c r="AO1151" t="s">
        <v>480</v>
      </c>
      <c r="AP1151" t="s">
        <v>481</v>
      </c>
      <c r="BF1151" s="1" t="s">
        <v>1293</v>
      </c>
      <c r="BH1151" t="s">
        <v>1029</v>
      </c>
      <c r="BP1151" t="s">
        <v>1489</v>
      </c>
    </row>
    <row r="1152" spans="1:68" x14ac:dyDescent="0.25">
      <c r="A1152" t="s">
        <v>5713</v>
      </c>
      <c r="B1152" t="s">
        <v>474</v>
      </c>
      <c r="C1152" t="s">
        <v>1486</v>
      </c>
      <c r="E1152" t="s">
        <v>475</v>
      </c>
      <c r="G1152" s="1" t="s">
        <v>3925</v>
      </c>
      <c r="H1152" t="s">
        <v>959</v>
      </c>
      <c r="J1152">
        <v>621022</v>
      </c>
      <c r="M1152">
        <v>1000</v>
      </c>
      <c r="R1152" t="s">
        <v>918</v>
      </c>
      <c r="S1152" t="s">
        <v>3926</v>
      </c>
      <c r="T1152" t="s">
        <v>3927</v>
      </c>
      <c r="V1152" t="s">
        <v>3928</v>
      </c>
      <c r="AE1152" t="s">
        <v>478</v>
      </c>
      <c r="AL1152" t="s">
        <v>919</v>
      </c>
      <c r="AM1152" t="s">
        <v>919</v>
      </c>
      <c r="AO1152" t="s">
        <v>480</v>
      </c>
      <c r="AP1152" t="s">
        <v>481</v>
      </c>
      <c r="BF1152" s="1" t="s">
        <v>1361</v>
      </c>
      <c r="BH1152" t="s">
        <v>1029</v>
      </c>
      <c r="BP1152" t="s">
        <v>1489</v>
      </c>
    </row>
    <row r="1153" spans="1:68" x14ac:dyDescent="0.25">
      <c r="A1153" t="s">
        <v>5713</v>
      </c>
      <c r="B1153" t="s">
        <v>474</v>
      </c>
      <c r="C1153" t="s">
        <v>1486</v>
      </c>
      <c r="E1153" t="s">
        <v>475</v>
      </c>
      <c r="G1153" s="1" t="s">
        <v>3925</v>
      </c>
      <c r="H1153" t="s">
        <v>492</v>
      </c>
      <c r="J1153">
        <v>621022</v>
      </c>
      <c r="M1153">
        <v>1000</v>
      </c>
      <c r="R1153" t="s">
        <v>918</v>
      </c>
      <c r="S1153" t="s">
        <v>3929</v>
      </c>
      <c r="T1153" t="s">
        <v>3930</v>
      </c>
      <c r="V1153" t="s">
        <v>3931</v>
      </c>
      <c r="AE1153" t="s">
        <v>478</v>
      </c>
      <c r="AL1153" t="s">
        <v>919</v>
      </c>
      <c r="AM1153" t="s">
        <v>919</v>
      </c>
      <c r="AO1153" t="s">
        <v>480</v>
      </c>
      <c r="AP1153" t="s">
        <v>481</v>
      </c>
      <c r="BF1153" s="1" t="s">
        <v>1361</v>
      </c>
      <c r="BH1153" t="s">
        <v>1029</v>
      </c>
      <c r="BP1153" t="s">
        <v>1489</v>
      </c>
    </row>
    <row r="1154" spans="1:68" x14ac:dyDescent="0.25">
      <c r="A1154" t="s">
        <v>5713</v>
      </c>
      <c r="B1154" t="s">
        <v>474</v>
      </c>
      <c r="C1154" t="s">
        <v>1486</v>
      </c>
      <c r="E1154" t="s">
        <v>480</v>
      </c>
      <c r="G1154" s="1" t="s">
        <v>3932</v>
      </c>
      <c r="H1154" t="s">
        <v>959</v>
      </c>
      <c r="J1154">
        <v>802000</v>
      </c>
      <c r="M1154">
        <v>1611</v>
      </c>
      <c r="R1154" t="s">
        <v>918</v>
      </c>
      <c r="S1154" t="s">
        <v>3933</v>
      </c>
      <c r="T1154" t="s">
        <v>3934</v>
      </c>
      <c r="V1154" t="s">
        <v>3935</v>
      </c>
      <c r="AE1154" t="s">
        <v>478</v>
      </c>
      <c r="AL1154" t="s">
        <v>919</v>
      </c>
      <c r="AM1154" t="s">
        <v>919</v>
      </c>
      <c r="AO1154" t="s">
        <v>480</v>
      </c>
      <c r="AP1154" t="s">
        <v>481</v>
      </c>
      <c r="BF1154" s="1" t="s">
        <v>1363</v>
      </c>
      <c r="BH1154" t="s">
        <v>1029</v>
      </c>
      <c r="BP1154" t="s">
        <v>1489</v>
      </c>
    </row>
    <row r="1155" spans="1:68" x14ac:dyDescent="0.25">
      <c r="A1155" t="s">
        <v>5713</v>
      </c>
      <c r="B1155" t="s">
        <v>474</v>
      </c>
      <c r="C1155" t="s">
        <v>1486</v>
      </c>
      <c r="E1155" t="s">
        <v>480</v>
      </c>
      <c r="G1155" s="1" t="s">
        <v>3936</v>
      </c>
      <c r="H1155" t="s">
        <v>959</v>
      </c>
      <c r="J1155">
        <v>612000</v>
      </c>
      <c r="M1155">
        <v>3312</v>
      </c>
      <c r="R1155" t="s">
        <v>918</v>
      </c>
      <c r="S1155" t="s">
        <v>3937</v>
      </c>
      <c r="T1155" t="s">
        <v>3938</v>
      </c>
      <c r="V1155" t="s">
        <v>3939</v>
      </c>
      <c r="AE1155" t="s">
        <v>478</v>
      </c>
      <c r="AL1155" t="s">
        <v>919</v>
      </c>
      <c r="AM1155" t="s">
        <v>919</v>
      </c>
      <c r="AO1155" t="s">
        <v>480</v>
      </c>
      <c r="AP1155" t="s">
        <v>481</v>
      </c>
      <c r="BF1155" s="1" t="s">
        <v>1077</v>
      </c>
      <c r="BH1155" t="s">
        <v>1029</v>
      </c>
      <c r="BP1155" t="s">
        <v>1489</v>
      </c>
    </row>
    <row r="1156" spans="1:68" x14ac:dyDescent="0.25">
      <c r="A1156" t="s">
        <v>5713</v>
      </c>
      <c r="B1156" t="s">
        <v>474</v>
      </c>
      <c r="C1156" t="s">
        <v>1486</v>
      </c>
      <c r="E1156" t="s">
        <v>480</v>
      </c>
      <c r="G1156" s="1" t="s">
        <v>3936</v>
      </c>
      <c r="H1156" t="s">
        <v>492</v>
      </c>
      <c r="J1156">
        <v>612000</v>
      </c>
      <c r="M1156">
        <v>3312</v>
      </c>
      <c r="R1156" t="s">
        <v>918</v>
      </c>
      <c r="S1156" t="s">
        <v>3940</v>
      </c>
      <c r="T1156" t="s">
        <v>3941</v>
      </c>
      <c r="V1156" t="s">
        <v>3942</v>
      </c>
      <c r="AE1156" t="s">
        <v>478</v>
      </c>
      <c r="AL1156" t="s">
        <v>919</v>
      </c>
      <c r="AM1156" t="s">
        <v>919</v>
      </c>
      <c r="AO1156" t="s">
        <v>480</v>
      </c>
      <c r="AP1156" t="s">
        <v>481</v>
      </c>
      <c r="BF1156" s="1" t="s">
        <v>1077</v>
      </c>
      <c r="BH1156" t="s">
        <v>1029</v>
      </c>
      <c r="BP1156" t="s">
        <v>1489</v>
      </c>
    </row>
    <row r="1157" spans="1:68" x14ac:dyDescent="0.25">
      <c r="A1157" t="s">
        <v>5713</v>
      </c>
      <c r="B1157" t="s">
        <v>474</v>
      </c>
      <c r="C1157" t="s">
        <v>1486</v>
      </c>
      <c r="E1157" t="s">
        <v>480</v>
      </c>
      <c r="G1157" s="1" t="s">
        <v>3943</v>
      </c>
      <c r="H1157" t="s">
        <v>959</v>
      </c>
      <c r="J1157">
        <v>612000</v>
      </c>
      <c r="M1157">
        <v>3312</v>
      </c>
      <c r="R1157" t="s">
        <v>918</v>
      </c>
      <c r="S1157" t="s">
        <v>3944</v>
      </c>
      <c r="T1157" t="s">
        <v>3945</v>
      </c>
      <c r="V1157" t="s">
        <v>3946</v>
      </c>
      <c r="AE1157" t="s">
        <v>478</v>
      </c>
      <c r="AL1157" t="s">
        <v>919</v>
      </c>
      <c r="AM1157" t="s">
        <v>919</v>
      </c>
      <c r="AO1157" t="s">
        <v>480</v>
      </c>
      <c r="AP1157" t="s">
        <v>481</v>
      </c>
      <c r="BF1157" s="1" t="s">
        <v>1077</v>
      </c>
      <c r="BH1157" t="s">
        <v>1029</v>
      </c>
      <c r="BP1157" t="s">
        <v>1489</v>
      </c>
    </row>
    <row r="1158" spans="1:68" x14ac:dyDescent="0.25">
      <c r="A1158" t="s">
        <v>5713</v>
      </c>
      <c r="B1158" t="s">
        <v>474</v>
      </c>
      <c r="C1158" t="s">
        <v>1486</v>
      </c>
      <c r="E1158" t="s">
        <v>480</v>
      </c>
      <c r="G1158" s="1" t="s">
        <v>3947</v>
      </c>
      <c r="H1158" t="s">
        <v>959</v>
      </c>
      <c r="J1158">
        <v>671010</v>
      </c>
      <c r="M1158">
        <v>3311</v>
      </c>
      <c r="R1158" t="s">
        <v>918</v>
      </c>
      <c r="S1158" t="s">
        <v>3948</v>
      </c>
      <c r="T1158" t="s">
        <v>3949</v>
      </c>
      <c r="V1158" t="s">
        <v>3950</v>
      </c>
      <c r="AE1158" t="s">
        <v>478</v>
      </c>
      <c r="AL1158" t="s">
        <v>919</v>
      </c>
      <c r="AM1158" t="s">
        <v>919</v>
      </c>
      <c r="AO1158" t="s">
        <v>480</v>
      </c>
      <c r="AP1158" t="s">
        <v>481</v>
      </c>
      <c r="BF1158" s="1" t="s">
        <v>1004</v>
      </c>
      <c r="BH1158" t="s">
        <v>1029</v>
      </c>
      <c r="BP1158" t="s">
        <v>1489</v>
      </c>
    </row>
    <row r="1159" spans="1:68" x14ac:dyDescent="0.25">
      <c r="A1159" t="s">
        <v>5713</v>
      </c>
      <c r="B1159" t="s">
        <v>474</v>
      </c>
      <c r="C1159" t="s">
        <v>1486</v>
      </c>
      <c r="E1159" t="s">
        <v>1008</v>
      </c>
      <c r="G1159" s="1" t="s">
        <v>3951</v>
      </c>
      <c r="H1159" t="s">
        <v>959</v>
      </c>
      <c r="J1159">
        <v>664011</v>
      </c>
      <c r="M1159">
        <v>1611</v>
      </c>
      <c r="P1159" t="s">
        <v>127</v>
      </c>
      <c r="R1159" t="s">
        <v>918</v>
      </c>
      <c r="S1159" t="s">
        <v>3952</v>
      </c>
      <c r="T1159" t="s">
        <v>3953</v>
      </c>
      <c r="V1159" t="s">
        <v>3954</v>
      </c>
      <c r="W1159" t="s">
        <v>70</v>
      </c>
      <c r="AE1159" t="s">
        <v>478</v>
      </c>
      <c r="AF1159" t="s">
        <v>479</v>
      </c>
      <c r="AL1159" t="s">
        <v>919</v>
      </c>
      <c r="AM1159" t="s">
        <v>919</v>
      </c>
      <c r="AO1159" t="s">
        <v>480</v>
      </c>
      <c r="AP1159" t="s">
        <v>481</v>
      </c>
      <c r="AQ1159" t="s">
        <v>489</v>
      </c>
      <c r="AR1159" t="s">
        <v>482</v>
      </c>
      <c r="AS1159" t="s">
        <v>483</v>
      </c>
      <c r="AT1159" t="s">
        <v>484</v>
      </c>
      <c r="AU1159" t="s">
        <v>490</v>
      </c>
      <c r="AW1159" t="s">
        <v>486</v>
      </c>
      <c r="BF1159" s="1" t="s">
        <v>1181</v>
      </c>
      <c r="BG1159" t="s">
        <v>71</v>
      </c>
      <c r="BH1159" t="s">
        <v>1029</v>
      </c>
      <c r="BP1159" t="s">
        <v>1489</v>
      </c>
    </row>
    <row r="1160" spans="1:68" x14ac:dyDescent="0.25">
      <c r="A1160" t="s">
        <v>5713</v>
      </c>
      <c r="B1160" t="s">
        <v>474</v>
      </c>
      <c r="C1160" t="s">
        <v>1486</v>
      </c>
      <c r="E1160" t="s">
        <v>1008</v>
      </c>
      <c r="G1160" s="1" t="s">
        <v>3951</v>
      </c>
      <c r="H1160" t="s">
        <v>492</v>
      </c>
      <c r="J1160">
        <v>664011</v>
      </c>
      <c r="M1160">
        <v>1611</v>
      </c>
      <c r="P1160" t="s">
        <v>83</v>
      </c>
      <c r="R1160" t="s">
        <v>918</v>
      </c>
      <c r="S1160" t="s">
        <v>3955</v>
      </c>
      <c r="T1160" t="s">
        <v>3956</v>
      </c>
      <c r="V1160" t="s">
        <v>3957</v>
      </c>
      <c r="W1160" t="s">
        <v>70</v>
      </c>
      <c r="AE1160" t="s">
        <v>478</v>
      </c>
      <c r="AF1160" t="s">
        <v>479</v>
      </c>
      <c r="AL1160" t="s">
        <v>919</v>
      </c>
      <c r="AM1160" t="s">
        <v>919</v>
      </c>
      <c r="AO1160" t="s">
        <v>480</v>
      </c>
      <c r="AP1160" t="s">
        <v>481</v>
      </c>
      <c r="AQ1160" t="s">
        <v>497</v>
      </c>
      <c r="AR1160" t="s">
        <v>482</v>
      </c>
      <c r="AS1160" t="s">
        <v>483</v>
      </c>
      <c r="AT1160" t="s">
        <v>484</v>
      </c>
      <c r="AU1160" t="s">
        <v>490</v>
      </c>
      <c r="AW1160" t="s">
        <v>486</v>
      </c>
      <c r="BF1160" s="1" t="s">
        <v>1181</v>
      </c>
      <c r="BG1160" t="s">
        <v>71</v>
      </c>
      <c r="BH1160" t="s">
        <v>1029</v>
      </c>
      <c r="BP1160" t="s">
        <v>1489</v>
      </c>
    </row>
    <row r="1161" spans="1:68" x14ac:dyDescent="0.25">
      <c r="A1161" t="s">
        <v>5713</v>
      </c>
      <c r="B1161" t="s">
        <v>474</v>
      </c>
      <c r="C1161" t="s">
        <v>1486</v>
      </c>
      <c r="E1161" t="s">
        <v>1008</v>
      </c>
      <c r="G1161" s="1" t="s">
        <v>3951</v>
      </c>
      <c r="H1161" t="s">
        <v>500</v>
      </c>
      <c r="J1161">
        <v>664011</v>
      </c>
      <c r="M1161">
        <v>1611</v>
      </c>
      <c r="P1161" t="s">
        <v>167</v>
      </c>
      <c r="R1161" t="s">
        <v>918</v>
      </c>
      <c r="S1161" t="s">
        <v>3958</v>
      </c>
      <c r="T1161" t="s">
        <v>3959</v>
      </c>
      <c r="V1161" t="s">
        <v>3960</v>
      </c>
      <c r="W1161" t="s">
        <v>70</v>
      </c>
      <c r="AE1161" t="s">
        <v>478</v>
      </c>
      <c r="AF1161" t="s">
        <v>479</v>
      </c>
      <c r="AL1161" t="s">
        <v>919</v>
      </c>
      <c r="AM1161" t="s">
        <v>919</v>
      </c>
      <c r="AO1161" t="s">
        <v>480</v>
      </c>
      <c r="AP1161" t="s">
        <v>481</v>
      </c>
      <c r="AQ1161" t="s">
        <v>759</v>
      </c>
      <c r="AR1161" t="s">
        <v>482</v>
      </c>
      <c r="AS1161" t="s">
        <v>483</v>
      </c>
      <c r="AT1161" t="s">
        <v>484</v>
      </c>
      <c r="AU1161" t="s">
        <v>490</v>
      </c>
      <c r="AW1161" t="s">
        <v>486</v>
      </c>
      <c r="BF1161" s="1" t="s">
        <v>1181</v>
      </c>
      <c r="BG1161" t="s">
        <v>71</v>
      </c>
      <c r="BH1161" t="s">
        <v>1029</v>
      </c>
      <c r="BP1161" t="s">
        <v>1489</v>
      </c>
    </row>
    <row r="1162" spans="1:68" x14ac:dyDescent="0.25">
      <c r="A1162" t="s">
        <v>5713</v>
      </c>
      <c r="B1162" t="s">
        <v>474</v>
      </c>
      <c r="C1162" t="s">
        <v>1486</v>
      </c>
      <c r="E1162" t="s">
        <v>1008</v>
      </c>
      <c r="G1162" s="1" t="s">
        <v>3951</v>
      </c>
      <c r="H1162" t="s">
        <v>537</v>
      </c>
      <c r="J1162">
        <v>664011</v>
      </c>
      <c r="M1162">
        <v>1611</v>
      </c>
      <c r="P1162" t="s">
        <v>151</v>
      </c>
      <c r="R1162" t="s">
        <v>918</v>
      </c>
      <c r="S1162" t="s">
        <v>3961</v>
      </c>
      <c r="T1162" t="s">
        <v>3962</v>
      </c>
      <c r="V1162" t="s">
        <v>3963</v>
      </c>
      <c r="W1162" t="s">
        <v>70</v>
      </c>
      <c r="AE1162" t="s">
        <v>478</v>
      </c>
      <c r="AF1162" t="s">
        <v>479</v>
      </c>
      <c r="AL1162" t="s">
        <v>919</v>
      </c>
      <c r="AM1162" t="s">
        <v>919</v>
      </c>
      <c r="AO1162" t="s">
        <v>480</v>
      </c>
      <c r="AP1162" t="s">
        <v>481</v>
      </c>
      <c r="AQ1162" t="s">
        <v>773</v>
      </c>
      <c r="AR1162" t="s">
        <v>482</v>
      </c>
      <c r="AS1162" t="s">
        <v>483</v>
      </c>
      <c r="AT1162" t="s">
        <v>484</v>
      </c>
      <c r="AU1162" t="s">
        <v>490</v>
      </c>
      <c r="AW1162" t="s">
        <v>486</v>
      </c>
      <c r="BF1162" s="1" t="s">
        <v>1181</v>
      </c>
      <c r="BG1162" t="s">
        <v>71</v>
      </c>
      <c r="BH1162" t="s">
        <v>1029</v>
      </c>
      <c r="BP1162" t="s">
        <v>1489</v>
      </c>
    </row>
    <row r="1163" spans="1:68" x14ac:dyDescent="0.25">
      <c r="A1163" t="s">
        <v>5713</v>
      </c>
      <c r="B1163" t="s">
        <v>474</v>
      </c>
      <c r="C1163" t="s">
        <v>1486</v>
      </c>
      <c r="E1163" t="s">
        <v>1008</v>
      </c>
      <c r="G1163" s="1" t="s">
        <v>3951</v>
      </c>
      <c r="H1163" t="s">
        <v>546</v>
      </c>
      <c r="J1163">
        <v>664011</v>
      </c>
      <c r="M1163">
        <v>1611</v>
      </c>
      <c r="P1163" t="s">
        <v>329</v>
      </c>
      <c r="R1163" t="s">
        <v>918</v>
      </c>
      <c r="S1163" t="s">
        <v>1185</v>
      </c>
      <c r="T1163" t="s">
        <v>1183</v>
      </c>
      <c r="V1163" t="s">
        <v>3964</v>
      </c>
      <c r="W1163" t="s">
        <v>70</v>
      </c>
      <c r="AE1163" t="s">
        <v>478</v>
      </c>
      <c r="AF1163" t="s">
        <v>479</v>
      </c>
      <c r="AL1163" t="s">
        <v>919</v>
      </c>
      <c r="AM1163" t="s">
        <v>919</v>
      </c>
      <c r="AO1163" t="s">
        <v>480</v>
      </c>
      <c r="AP1163" t="s">
        <v>481</v>
      </c>
      <c r="AQ1163" t="s">
        <v>2338</v>
      </c>
      <c r="AR1163" t="s">
        <v>482</v>
      </c>
      <c r="AS1163" t="s">
        <v>483</v>
      </c>
      <c r="AT1163" t="s">
        <v>484</v>
      </c>
      <c r="AU1163" t="s">
        <v>490</v>
      </c>
      <c r="AW1163" t="s">
        <v>486</v>
      </c>
      <c r="BF1163" s="1" t="s">
        <v>1181</v>
      </c>
      <c r="BG1163" t="s">
        <v>71</v>
      </c>
      <c r="BH1163" t="s">
        <v>1029</v>
      </c>
      <c r="BP1163" t="s">
        <v>1489</v>
      </c>
    </row>
    <row r="1164" spans="1:68" x14ac:dyDescent="0.25">
      <c r="A1164" t="s">
        <v>5713</v>
      </c>
      <c r="B1164" t="s">
        <v>474</v>
      </c>
      <c r="C1164" t="s">
        <v>1486</v>
      </c>
      <c r="E1164" t="s">
        <v>1008</v>
      </c>
      <c r="G1164" s="1" t="s">
        <v>3951</v>
      </c>
      <c r="H1164" t="s">
        <v>553</v>
      </c>
      <c r="J1164">
        <v>664011</v>
      </c>
      <c r="M1164">
        <v>1611</v>
      </c>
      <c r="P1164" t="s">
        <v>320</v>
      </c>
      <c r="R1164" t="s">
        <v>918</v>
      </c>
      <c r="S1164" t="s">
        <v>3965</v>
      </c>
      <c r="T1164" t="s">
        <v>3966</v>
      </c>
      <c r="V1164" t="s">
        <v>3967</v>
      </c>
      <c r="W1164" t="s">
        <v>70</v>
      </c>
      <c r="AE1164" t="s">
        <v>478</v>
      </c>
      <c r="AF1164" t="s">
        <v>479</v>
      </c>
      <c r="AL1164" t="s">
        <v>919</v>
      </c>
      <c r="AM1164" t="s">
        <v>919</v>
      </c>
      <c r="AO1164" t="s">
        <v>480</v>
      </c>
      <c r="AP1164" t="s">
        <v>481</v>
      </c>
      <c r="AQ1164" t="s">
        <v>2341</v>
      </c>
      <c r="AR1164" t="s">
        <v>482</v>
      </c>
      <c r="AS1164" t="s">
        <v>483</v>
      </c>
      <c r="AT1164" t="s">
        <v>484</v>
      </c>
      <c r="AU1164" t="s">
        <v>490</v>
      </c>
      <c r="AW1164" t="s">
        <v>486</v>
      </c>
      <c r="BF1164" s="1" t="s">
        <v>1181</v>
      </c>
      <c r="BG1164" t="s">
        <v>71</v>
      </c>
      <c r="BH1164" t="s">
        <v>1029</v>
      </c>
      <c r="BP1164" t="s">
        <v>1489</v>
      </c>
    </row>
    <row r="1165" spans="1:68" x14ac:dyDescent="0.25">
      <c r="A1165" t="s">
        <v>5713</v>
      </c>
      <c r="B1165" t="s">
        <v>474</v>
      </c>
      <c r="C1165" t="s">
        <v>1486</v>
      </c>
      <c r="E1165" t="s">
        <v>1008</v>
      </c>
      <c r="G1165" s="1" t="s">
        <v>3951</v>
      </c>
      <c r="H1165" t="s">
        <v>559</v>
      </c>
      <c r="J1165">
        <v>664011</v>
      </c>
      <c r="M1165">
        <v>1611</v>
      </c>
      <c r="P1165" t="s">
        <v>131</v>
      </c>
      <c r="R1165" t="s">
        <v>918</v>
      </c>
      <c r="S1165" t="s">
        <v>3968</v>
      </c>
      <c r="T1165" t="s">
        <v>3969</v>
      </c>
      <c r="V1165" t="s">
        <v>3970</v>
      </c>
      <c r="W1165" t="s">
        <v>70</v>
      </c>
      <c r="AE1165" t="s">
        <v>478</v>
      </c>
      <c r="AF1165" t="s">
        <v>479</v>
      </c>
      <c r="AL1165" t="s">
        <v>919</v>
      </c>
      <c r="AM1165" t="s">
        <v>919</v>
      </c>
      <c r="AO1165" t="s">
        <v>480</v>
      </c>
      <c r="AP1165" t="s">
        <v>481</v>
      </c>
      <c r="AQ1165" t="s">
        <v>516</v>
      </c>
      <c r="AR1165" t="s">
        <v>482</v>
      </c>
      <c r="AS1165" t="s">
        <v>483</v>
      </c>
      <c r="AT1165" t="s">
        <v>484</v>
      </c>
      <c r="AU1165" t="s">
        <v>490</v>
      </c>
      <c r="AW1165" t="s">
        <v>486</v>
      </c>
      <c r="BF1165" s="1" t="s">
        <v>1181</v>
      </c>
      <c r="BG1165" t="s">
        <v>71</v>
      </c>
      <c r="BH1165" t="s">
        <v>1029</v>
      </c>
      <c r="BP1165" t="s">
        <v>1489</v>
      </c>
    </row>
    <row r="1166" spans="1:68" x14ac:dyDescent="0.25">
      <c r="A1166" t="s">
        <v>5713</v>
      </c>
      <c r="B1166" t="s">
        <v>474</v>
      </c>
      <c r="C1166" t="s">
        <v>1486</v>
      </c>
      <c r="E1166" t="s">
        <v>1008</v>
      </c>
      <c r="G1166" s="1" t="s">
        <v>3951</v>
      </c>
      <c r="H1166" t="s">
        <v>564</v>
      </c>
      <c r="J1166">
        <v>664011</v>
      </c>
      <c r="M1166">
        <v>1611</v>
      </c>
      <c r="P1166" t="s">
        <v>172</v>
      </c>
      <c r="R1166" t="s">
        <v>918</v>
      </c>
      <c r="S1166" t="s">
        <v>3971</v>
      </c>
      <c r="T1166" t="s">
        <v>3972</v>
      </c>
      <c r="V1166" t="s">
        <v>3973</v>
      </c>
      <c r="W1166" t="s">
        <v>70</v>
      </c>
      <c r="AE1166" t="s">
        <v>478</v>
      </c>
      <c r="AF1166" t="s">
        <v>479</v>
      </c>
      <c r="AL1166" t="s">
        <v>919</v>
      </c>
      <c r="AM1166" t="s">
        <v>919</v>
      </c>
      <c r="AO1166" t="s">
        <v>480</v>
      </c>
      <c r="AP1166" t="s">
        <v>481</v>
      </c>
      <c r="AQ1166" t="s">
        <v>889</v>
      </c>
      <c r="AR1166" t="s">
        <v>482</v>
      </c>
      <c r="AS1166" t="s">
        <v>483</v>
      </c>
      <c r="AT1166" t="s">
        <v>484</v>
      </c>
      <c r="AU1166" t="s">
        <v>490</v>
      </c>
      <c r="AW1166" t="s">
        <v>486</v>
      </c>
      <c r="BF1166" s="1" t="s">
        <v>1181</v>
      </c>
      <c r="BG1166" t="s">
        <v>71</v>
      </c>
      <c r="BH1166" t="s">
        <v>1029</v>
      </c>
      <c r="BP1166" t="s">
        <v>1489</v>
      </c>
    </row>
    <row r="1167" spans="1:68" x14ac:dyDescent="0.25">
      <c r="A1167" t="s">
        <v>5713</v>
      </c>
      <c r="B1167" t="s">
        <v>474</v>
      </c>
      <c r="C1167" t="s">
        <v>1486</v>
      </c>
      <c r="E1167" t="s">
        <v>1008</v>
      </c>
      <c r="G1167" s="1" t="s">
        <v>3951</v>
      </c>
      <c r="H1167" t="s">
        <v>571</v>
      </c>
      <c r="J1167">
        <v>664011</v>
      </c>
      <c r="M1167">
        <v>1611</v>
      </c>
      <c r="P1167" t="s">
        <v>144</v>
      </c>
      <c r="R1167" t="s">
        <v>918</v>
      </c>
      <c r="S1167" t="s">
        <v>3974</v>
      </c>
      <c r="T1167" t="s">
        <v>3975</v>
      </c>
      <c r="V1167" t="s">
        <v>3976</v>
      </c>
      <c r="W1167" t="s">
        <v>70</v>
      </c>
      <c r="AE1167" t="s">
        <v>478</v>
      </c>
      <c r="AF1167" t="s">
        <v>479</v>
      </c>
      <c r="AL1167" t="s">
        <v>919</v>
      </c>
      <c r="AM1167" t="s">
        <v>919</v>
      </c>
      <c r="AO1167" t="s">
        <v>480</v>
      </c>
      <c r="AP1167" t="s">
        <v>481</v>
      </c>
      <c r="AQ1167" t="s">
        <v>726</v>
      </c>
      <c r="AR1167" t="s">
        <v>482</v>
      </c>
      <c r="AS1167" t="s">
        <v>483</v>
      </c>
      <c r="AT1167" t="s">
        <v>484</v>
      </c>
      <c r="AU1167" t="s">
        <v>490</v>
      </c>
      <c r="AW1167" t="s">
        <v>486</v>
      </c>
      <c r="BF1167" s="1" t="s">
        <v>1181</v>
      </c>
      <c r="BG1167" t="s">
        <v>71</v>
      </c>
      <c r="BH1167" t="s">
        <v>1029</v>
      </c>
      <c r="BP1167" t="s">
        <v>1489</v>
      </c>
    </row>
    <row r="1168" spans="1:68" x14ac:dyDescent="0.25">
      <c r="A1168" t="s">
        <v>5713</v>
      </c>
      <c r="B1168" t="s">
        <v>474</v>
      </c>
      <c r="C1168" t="s">
        <v>1486</v>
      </c>
      <c r="E1168" t="s">
        <v>1008</v>
      </c>
      <c r="G1168" s="1" t="s">
        <v>3951</v>
      </c>
      <c r="H1168" t="s">
        <v>578</v>
      </c>
      <c r="J1168">
        <v>664011</v>
      </c>
      <c r="M1168">
        <v>1611</v>
      </c>
      <c r="P1168" t="s">
        <v>149</v>
      </c>
      <c r="R1168" t="s">
        <v>918</v>
      </c>
      <c r="S1168" t="s">
        <v>3977</v>
      </c>
      <c r="T1168" t="s">
        <v>3978</v>
      </c>
      <c r="V1168" t="s">
        <v>3979</v>
      </c>
      <c r="W1168" t="s">
        <v>70</v>
      </c>
      <c r="AE1168" t="s">
        <v>478</v>
      </c>
      <c r="AF1168" t="s">
        <v>479</v>
      </c>
      <c r="AL1168" t="s">
        <v>919</v>
      </c>
      <c r="AM1168" t="s">
        <v>919</v>
      </c>
      <c r="AO1168" t="s">
        <v>480</v>
      </c>
      <c r="AP1168" t="s">
        <v>481</v>
      </c>
      <c r="AQ1168" t="s">
        <v>510</v>
      </c>
      <c r="AR1168" t="s">
        <v>482</v>
      </c>
      <c r="AS1168" t="s">
        <v>483</v>
      </c>
      <c r="AT1168" t="s">
        <v>484</v>
      </c>
      <c r="AU1168" t="s">
        <v>490</v>
      </c>
      <c r="AW1168" t="s">
        <v>486</v>
      </c>
      <c r="BF1168" s="1" t="s">
        <v>1181</v>
      </c>
      <c r="BG1168" t="s">
        <v>71</v>
      </c>
      <c r="BH1168" t="s">
        <v>1029</v>
      </c>
      <c r="BP1168" t="s">
        <v>1489</v>
      </c>
    </row>
    <row r="1169" spans="1:68" x14ac:dyDescent="0.25">
      <c r="A1169" t="s">
        <v>5713</v>
      </c>
      <c r="B1169" t="s">
        <v>474</v>
      </c>
      <c r="C1169" t="s">
        <v>1486</v>
      </c>
      <c r="E1169" t="s">
        <v>1008</v>
      </c>
      <c r="G1169" s="1" t="s">
        <v>3951</v>
      </c>
      <c r="H1169" t="s">
        <v>585</v>
      </c>
      <c r="J1169">
        <v>664011</v>
      </c>
      <c r="M1169">
        <v>1611</v>
      </c>
      <c r="P1169" t="s">
        <v>165</v>
      </c>
      <c r="R1169" t="s">
        <v>918</v>
      </c>
      <c r="S1169" t="s">
        <v>3980</v>
      </c>
      <c r="T1169" t="s">
        <v>3981</v>
      </c>
      <c r="V1169" t="s">
        <v>3982</v>
      </c>
      <c r="W1169" t="s">
        <v>70</v>
      </c>
      <c r="AE1169" t="s">
        <v>478</v>
      </c>
      <c r="AF1169" t="s">
        <v>479</v>
      </c>
      <c r="AL1169" t="s">
        <v>919</v>
      </c>
      <c r="AM1169" t="s">
        <v>919</v>
      </c>
      <c r="AO1169" t="s">
        <v>480</v>
      </c>
      <c r="AP1169" t="s">
        <v>481</v>
      </c>
      <c r="AQ1169" t="s">
        <v>752</v>
      </c>
      <c r="AR1169" t="s">
        <v>482</v>
      </c>
      <c r="AS1169" t="s">
        <v>483</v>
      </c>
      <c r="AT1169" t="s">
        <v>484</v>
      </c>
      <c r="AU1169" t="s">
        <v>490</v>
      </c>
      <c r="AW1169" t="s">
        <v>486</v>
      </c>
      <c r="BF1169" s="1" t="s">
        <v>1181</v>
      </c>
      <c r="BG1169" t="s">
        <v>71</v>
      </c>
      <c r="BH1169" t="s">
        <v>1029</v>
      </c>
      <c r="BP1169" t="s">
        <v>1489</v>
      </c>
    </row>
    <row r="1170" spans="1:68" x14ac:dyDescent="0.25">
      <c r="A1170" t="s">
        <v>5713</v>
      </c>
      <c r="B1170" t="s">
        <v>474</v>
      </c>
      <c r="C1170" t="s">
        <v>1486</v>
      </c>
      <c r="E1170" t="s">
        <v>1008</v>
      </c>
      <c r="G1170" s="1" t="s">
        <v>3951</v>
      </c>
      <c r="H1170" t="s">
        <v>592</v>
      </c>
      <c r="J1170">
        <v>664011</v>
      </c>
      <c r="M1170">
        <v>1611</v>
      </c>
      <c r="P1170" t="s">
        <v>146</v>
      </c>
      <c r="R1170" t="s">
        <v>918</v>
      </c>
      <c r="S1170" t="s">
        <v>3983</v>
      </c>
      <c r="T1170" t="s">
        <v>3984</v>
      </c>
      <c r="V1170" t="s">
        <v>3985</v>
      </c>
      <c r="W1170" t="s">
        <v>70</v>
      </c>
      <c r="AE1170" t="s">
        <v>478</v>
      </c>
      <c r="AF1170" t="s">
        <v>479</v>
      </c>
      <c r="AL1170" t="s">
        <v>919</v>
      </c>
      <c r="AM1170" t="s">
        <v>919</v>
      </c>
      <c r="AO1170" t="s">
        <v>480</v>
      </c>
      <c r="AP1170" t="s">
        <v>481</v>
      </c>
      <c r="AQ1170" t="s">
        <v>733</v>
      </c>
      <c r="AR1170" t="s">
        <v>482</v>
      </c>
      <c r="AS1170" t="s">
        <v>483</v>
      </c>
      <c r="AT1170" t="s">
        <v>484</v>
      </c>
      <c r="AU1170" t="s">
        <v>490</v>
      </c>
      <c r="AW1170" t="s">
        <v>486</v>
      </c>
      <c r="BF1170" s="1" t="s">
        <v>1181</v>
      </c>
      <c r="BG1170" t="s">
        <v>71</v>
      </c>
      <c r="BH1170" t="s">
        <v>1029</v>
      </c>
      <c r="BP1170" t="s">
        <v>1489</v>
      </c>
    </row>
    <row r="1171" spans="1:68" x14ac:dyDescent="0.25">
      <c r="A1171" t="s">
        <v>5713</v>
      </c>
      <c r="B1171" t="s">
        <v>474</v>
      </c>
      <c r="C1171" t="s">
        <v>1486</v>
      </c>
      <c r="E1171" t="s">
        <v>1008</v>
      </c>
      <c r="G1171" s="1" t="s">
        <v>3951</v>
      </c>
      <c r="H1171" t="s">
        <v>600</v>
      </c>
      <c r="J1171">
        <v>664011</v>
      </c>
      <c r="M1171">
        <v>1611</v>
      </c>
      <c r="P1171" t="s">
        <v>160</v>
      </c>
      <c r="R1171" t="s">
        <v>918</v>
      </c>
      <c r="S1171" t="s">
        <v>3986</v>
      </c>
      <c r="T1171" t="s">
        <v>3987</v>
      </c>
      <c r="V1171" t="s">
        <v>3988</v>
      </c>
      <c r="W1171" t="s">
        <v>70</v>
      </c>
      <c r="AE1171" t="s">
        <v>478</v>
      </c>
      <c r="AF1171" t="s">
        <v>479</v>
      </c>
      <c r="AL1171" t="s">
        <v>919</v>
      </c>
      <c r="AM1171" t="s">
        <v>919</v>
      </c>
      <c r="AO1171" t="s">
        <v>480</v>
      </c>
      <c r="AP1171" t="s">
        <v>481</v>
      </c>
      <c r="AQ1171" t="s">
        <v>730</v>
      </c>
      <c r="AR1171" t="s">
        <v>482</v>
      </c>
      <c r="AS1171" t="s">
        <v>483</v>
      </c>
      <c r="AT1171" t="s">
        <v>484</v>
      </c>
      <c r="AU1171" t="s">
        <v>490</v>
      </c>
      <c r="AW1171" t="s">
        <v>486</v>
      </c>
      <c r="BF1171" s="1" t="s">
        <v>1181</v>
      </c>
      <c r="BG1171" t="s">
        <v>71</v>
      </c>
      <c r="BH1171" t="s">
        <v>1029</v>
      </c>
      <c r="BP1171" t="s">
        <v>1489</v>
      </c>
    </row>
    <row r="1172" spans="1:68" x14ac:dyDescent="0.25">
      <c r="A1172" t="s">
        <v>5713</v>
      </c>
      <c r="B1172" t="s">
        <v>474</v>
      </c>
      <c r="C1172" t="s">
        <v>1486</v>
      </c>
      <c r="E1172" t="s">
        <v>1008</v>
      </c>
      <c r="G1172" s="1" t="s">
        <v>3951</v>
      </c>
      <c r="H1172" t="s">
        <v>608</v>
      </c>
      <c r="J1172">
        <v>664011</v>
      </c>
      <c r="M1172">
        <v>1611</v>
      </c>
      <c r="P1172" t="s">
        <v>129</v>
      </c>
      <c r="R1172" t="s">
        <v>918</v>
      </c>
      <c r="S1172" t="s">
        <v>3989</v>
      </c>
      <c r="T1172" t="s">
        <v>3990</v>
      </c>
      <c r="V1172" t="s">
        <v>3991</v>
      </c>
      <c r="W1172" t="s">
        <v>73</v>
      </c>
      <c r="AE1172" t="s">
        <v>478</v>
      </c>
      <c r="AF1172" t="s">
        <v>479</v>
      </c>
      <c r="AL1172" t="s">
        <v>919</v>
      </c>
      <c r="AM1172" t="s">
        <v>919</v>
      </c>
      <c r="AO1172" t="s">
        <v>480</v>
      </c>
      <c r="AP1172" t="s">
        <v>481</v>
      </c>
      <c r="AQ1172" t="s">
        <v>691</v>
      </c>
      <c r="AR1172" t="s">
        <v>482</v>
      </c>
      <c r="AS1172" t="s">
        <v>483</v>
      </c>
      <c r="AT1172" t="s">
        <v>484</v>
      </c>
      <c r="AU1172" t="s">
        <v>521</v>
      </c>
      <c r="AW1172" t="s">
        <v>486</v>
      </c>
      <c r="BF1172" s="1" t="s">
        <v>1181</v>
      </c>
      <c r="BG1172" t="s">
        <v>523</v>
      </c>
      <c r="BH1172" t="s">
        <v>1029</v>
      </c>
      <c r="BP1172" t="s">
        <v>1489</v>
      </c>
    </row>
    <row r="1173" spans="1:68" x14ac:dyDescent="0.25">
      <c r="A1173" t="s">
        <v>5713</v>
      </c>
      <c r="B1173" t="s">
        <v>474</v>
      </c>
      <c r="C1173" t="s">
        <v>1486</v>
      </c>
      <c r="E1173" t="s">
        <v>1008</v>
      </c>
      <c r="G1173" s="1" t="s">
        <v>3951</v>
      </c>
      <c r="H1173" t="s">
        <v>612</v>
      </c>
      <c r="J1173">
        <v>664011</v>
      </c>
      <c r="M1173">
        <v>1611</v>
      </c>
      <c r="P1173" t="s">
        <v>82</v>
      </c>
      <c r="R1173" t="s">
        <v>918</v>
      </c>
      <c r="S1173" t="s">
        <v>3992</v>
      </c>
      <c r="T1173" t="s">
        <v>3993</v>
      </c>
      <c r="V1173" t="s">
        <v>3994</v>
      </c>
      <c r="W1173" t="s">
        <v>73</v>
      </c>
      <c r="AE1173" t="s">
        <v>478</v>
      </c>
      <c r="AF1173" t="s">
        <v>479</v>
      </c>
      <c r="AL1173" t="s">
        <v>919</v>
      </c>
      <c r="AM1173" t="s">
        <v>919</v>
      </c>
      <c r="AO1173" t="s">
        <v>480</v>
      </c>
      <c r="AP1173" t="s">
        <v>481</v>
      </c>
      <c r="AQ1173" t="s">
        <v>541</v>
      </c>
      <c r="AR1173" t="s">
        <v>482</v>
      </c>
      <c r="AS1173" t="s">
        <v>483</v>
      </c>
      <c r="AT1173" t="s">
        <v>484</v>
      </c>
      <c r="AU1173" t="s">
        <v>521</v>
      </c>
      <c r="AW1173" t="s">
        <v>486</v>
      </c>
      <c r="BF1173" s="1" t="s">
        <v>1181</v>
      </c>
      <c r="BG1173" t="s">
        <v>523</v>
      </c>
      <c r="BH1173" t="s">
        <v>1029</v>
      </c>
      <c r="BP1173" t="s">
        <v>1489</v>
      </c>
    </row>
    <row r="1174" spans="1:68" x14ac:dyDescent="0.25">
      <c r="A1174" t="s">
        <v>5713</v>
      </c>
      <c r="B1174" t="s">
        <v>474</v>
      </c>
      <c r="C1174" t="s">
        <v>1486</v>
      </c>
      <c r="E1174" t="s">
        <v>1008</v>
      </c>
      <c r="G1174" s="1" t="s">
        <v>3951</v>
      </c>
      <c r="H1174" t="s">
        <v>619</v>
      </c>
      <c r="J1174">
        <v>664011</v>
      </c>
      <c r="M1174">
        <v>1611</v>
      </c>
      <c r="P1174" t="s">
        <v>150</v>
      </c>
      <c r="R1174" t="s">
        <v>918</v>
      </c>
      <c r="S1174" t="s">
        <v>3995</v>
      </c>
      <c r="T1174" t="s">
        <v>3996</v>
      </c>
      <c r="V1174" t="s">
        <v>3997</v>
      </c>
      <c r="W1174" t="s">
        <v>73</v>
      </c>
      <c r="AE1174" t="s">
        <v>478</v>
      </c>
      <c r="AF1174" t="s">
        <v>479</v>
      </c>
      <c r="AL1174" t="s">
        <v>919</v>
      </c>
      <c r="AM1174" t="s">
        <v>919</v>
      </c>
      <c r="AO1174" t="s">
        <v>480</v>
      </c>
      <c r="AP1174" t="s">
        <v>481</v>
      </c>
      <c r="AQ1174" t="s">
        <v>570</v>
      </c>
      <c r="AR1174" t="s">
        <v>482</v>
      </c>
      <c r="AS1174" t="s">
        <v>483</v>
      </c>
      <c r="AT1174" t="s">
        <v>484</v>
      </c>
      <c r="AU1174" t="s">
        <v>521</v>
      </c>
      <c r="AW1174" t="s">
        <v>486</v>
      </c>
      <c r="BF1174" s="1" t="s">
        <v>1181</v>
      </c>
      <c r="BG1174" t="s">
        <v>523</v>
      </c>
      <c r="BH1174" t="s">
        <v>1029</v>
      </c>
      <c r="BP1174" t="s">
        <v>1489</v>
      </c>
    </row>
    <row r="1175" spans="1:68" x14ac:dyDescent="0.25">
      <c r="A1175" t="s">
        <v>5713</v>
      </c>
      <c r="B1175" t="s">
        <v>474</v>
      </c>
      <c r="C1175" t="s">
        <v>1486</v>
      </c>
      <c r="E1175" t="s">
        <v>1008</v>
      </c>
      <c r="G1175" s="1" t="s">
        <v>3951</v>
      </c>
      <c r="H1175" t="s">
        <v>811</v>
      </c>
      <c r="J1175">
        <v>664011</v>
      </c>
      <c r="M1175">
        <v>1611</v>
      </c>
      <c r="P1175" t="s">
        <v>154</v>
      </c>
      <c r="R1175" t="s">
        <v>918</v>
      </c>
      <c r="S1175" t="s">
        <v>3998</v>
      </c>
      <c r="T1175" t="s">
        <v>3999</v>
      </c>
      <c r="V1175" t="s">
        <v>4000</v>
      </c>
      <c r="W1175" t="s">
        <v>73</v>
      </c>
      <c r="AE1175" t="s">
        <v>478</v>
      </c>
      <c r="AF1175" t="s">
        <v>479</v>
      </c>
      <c r="AL1175" t="s">
        <v>919</v>
      </c>
      <c r="AM1175" t="s">
        <v>919</v>
      </c>
      <c r="AO1175" t="s">
        <v>480</v>
      </c>
      <c r="AP1175" t="s">
        <v>481</v>
      </c>
      <c r="AQ1175" t="s">
        <v>531</v>
      </c>
      <c r="AR1175" t="s">
        <v>482</v>
      </c>
      <c r="AS1175" t="s">
        <v>483</v>
      </c>
      <c r="AT1175" t="s">
        <v>484</v>
      </c>
      <c r="AU1175" t="s">
        <v>521</v>
      </c>
      <c r="AW1175" t="s">
        <v>486</v>
      </c>
      <c r="BF1175" s="1" t="s">
        <v>1181</v>
      </c>
      <c r="BG1175" t="s">
        <v>523</v>
      </c>
      <c r="BH1175" t="s">
        <v>1029</v>
      </c>
      <c r="BP1175" t="s">
        <v>1489</v>
      </c>
    </row>
    <row r="1176" spans="1:68" x14ac:dyDescent="0.25">
      <c r="A1176" t="s">
        <v>5713</v>
      </c>
      <c r="B1176" t="s">
        <v>474</v>
      </c>
      <c r="C1176" t="s">
        <v>1486</v>
      </c>
      <c r="E1176" t="s">
        <v>1008</v>
      </c>
      <c r="G1176" s="1" t="s">
        <v>3951</v>
      </c>
      <c r="H1176" t="s">
        <v>817</v>
      </c>
      <c r="J1176">
        <v>664011</v>
      </c>
      <c r="M1176">
        <v>1611</v>
      </c>
      <c r="P1176" t="s">
        <v>102</v>
      </c>
      <c r="R1176" t="s">
        <v>918</v>
      </c>
      <c r="S1176" t="s">
        <v>4001</v>
      </c>
      <c r="T1176" t="s">
        <v>4002</v>
      </c>
      <c r="V1176" t="s">
        <v>4003</v>
      </c>
      <c r="W1176" t="s">
        <v>73</v>
      </c>
      <c r="AE1176" t="s">
        <v>478</v>
      </c>
      <c r="AF1176" t="s">
        <v>479</v>
      </c>
      <c r="AL1176" t="s">
        <v>919</v>
      </c>
      <c r="AM1176" t="s">
        <v>919</v>
      </c>
      <c r="AO1176" t="s">
        <v>480</v>
      </c>
      <c r="AP1176" t="s">
        <v>481</v>
      </c>
      <c r="AQ1176" t="s">
        <v>646</v>
      </c>
      <c r="AR1176" t="s">
        <v>482</v>
      </c>
      <c r="AS1176" t="s">
        <v>483</v>
      </c>
      <c r="AT1176" t="s">
        <v>484</v>
      </c>
      <c r="AU1176" t="s">
        <v>521</v>
      </c>
      <c r="AW1176" t="s">
        <v>486</v>
      </c>
      <c r="BF1176" s="1" t="s">
        <v>1181</v>
      </c>
      <c r="BG1176" t="s">
        <v>523</v>
      </c>
      <c r="BH1176" t="s">
        <v>1029</v>
      </c>
      <c r="BP1176" t="s">
        <v>1489</v>
      </c>
    </row>
    <row r="1177" spans="1:68" x14ac:dyDescent="0.25">
      <c r="A1177" t="s">
        <v>5713</v>
      </c>
      <c r="B1177" t="s">
        <v>474</v>
      </c>
      <c r="C1177" t="s">
        <v>1486</v>
      </c>
      <c r="E1177" t="s">
        <v>1008</v>
      </c>
      <c r="G1177" s="1" t="s">
        <v>3951</v>
      </c>
      <c r="H1177" t="s">
        <v>820</v>
      </c>
      <c r="J1177">
        <v>664011</v>
      </c>
      <c r="M1177">
        <v>1611</v>
      </c>
      <c r="P1177" t="s">
        <v>81</v>
      </c>
      <c r="R1177" t="s">
        <v>918</v>
      </c>
      <c r="S1177" t="s">
        <v>4004</v>
      </c>
      <c r="T1177" t="s">
        <v>4005</v>
      </c>
      <c r="V1177" t="s">
        <v>4006</v>
      </c>
      <c r="W1177" t="s">
        <v>73</v>
      </c>
      <c r="AE1177" t="s">
        <v>478</v>
      </c>
      <c r="AF1177" t="s">
        <v>479</v>
      </c>
      <c r="AL1177" t="s">
        <v>919</v>
      </c>
      <c r="AM1177" t="s">
        <v>919</v>
      </c>
      <c r="AO1177" t="s">
        <v>480</v>
      </c>
      <c r="AP1177" t="s">
        <v>481</v>
      </c>
      <c r="AQ1177" t="s">
        <v>805</v>
      </c>
      <c r="AR1177" t="s">
        <v>482</v>
      </c>
      <c r="AS1177" t="s">
        <v>483</v>
      </c>
      <c r="AT1177" t="s">
        <v>484</v>
      </c>
      <c r="AU1177" t="s">
        <v>521</v>
      </c>
      <c r="AW1177" t="s">
        <v>486</v>
      </c>
      <c r="BF1177" s="1" t="s">
        <v>1181</v>
      </c>
      <c r="BG1177" t="s">
        <v>523</v>
      </c>
      <c r="BH1177" t="s">
        <v>1029</v>
      </c>
      <c r="BP1177" t="s">
        <v>1489</v>
      </c>
    </row>
    <row r="1178" spans="1:68" x14ac:dyDescent="0.25">
      <c r="A1178" t="s">
        <v>5713</v>
      </c>
      <c r="B1178" t="s">
        <v>474</v>
      </c>
      <c r="C1178" t="s">
        <v>1486</v>
      </c>
      <c r="E1178" t="s">
        <v>1008</v>
      </c>
      <c r="G1178" s="1" t="s">
        <v>3951</v>
      </c>
      <c r="H1178" t="s">
        <v>960</v>
      </c>
      <c r="J1178">
        <v>664011</v>
      </c>
      <c r="M1178">
        <v>1611</v>
      </c>
      <c r="P1178" t="s">
        <v>128</v>
      </c>
      <c r="R1178" t="s">
        <v>918</v>
      </c>
      <c r="S1178" t="s">
        <v>4007</v>
      </c>
      <c r="T1178" t="s">
        <v>4008</v>
      </c>
      <c r="V1178" t="s">
        <v>4009</v>
      </c>
      <c r="W1178" t="s">
        <v>73</v>
      </c>
      <c r="AE1178" t="s">
        <v>478</v>
      </c>
      <c r="AF1178" t="s">
        <v>479</v>
      </c>
      <c r="AL1178" t="s">
        <v>919</v>
      </c>
      <c r="AM1178" t="s">
        <v>919</v>
      </c>
      <c r="AO1178" t="s">
        <v>480</v>
      </c>
      <c r="AP1178" t="s">
        <v>481</v>
      </c>
      <c r="AQ1178" t="s">
        <v>528</v>
      </c>
      <c r="AR1178" t="s">
        <v>482</v>
      </c>
      <c r="AS1178" t="s">
        <v>483</v>
      </c>
      <c r="AT1178" t="s">
        <v>484</v>
      </c>
      <c r="AU1178" t="s">
        <v>521</v>
      </c>
      <c r="AW1178" t="s">
        <v>486</v>
      </c>
      <c r="BF1178" s="1" t="s">
        <v>1181</v>
      </c>
      <c r="BG1178" t="s">
        <v>523</v>
      </c>
      <c r="BH1178" t="s">
        <v>1029</v>
      </c>
      <c r="BP1178" t="s">
        <v>1489</v>
      </c>
    </row>
    <row r="1179" spans="1:68" x14ac:dyDescent="0.25">
      <c r="A1179" t="s">
        <v>5713</v>
      </c>
      <c r="B1179" t="s">
        <v>474</v>
      </c>
      <c r="C1179" t="s">
        <v>1486</v>
      </c>
      <c r="E1179" t="s">
        <v>1008</v>
      </c>
      <c r="G1179" s="1" t="s">
        <v>3951</v>
      </c>
      <c r="H1179" t="s">
        <v>965</v>
      </c>
      <c r="J1179">
        <v>664011</v>
      </c>
      <c r="M1179">
        <v>1611</v>
      </c>
      <c r="P1179" t="s">
        <v>94</v>
      </c>
      <c r="R1179" t="s">
        <v>918</v>
      </c>
      <c r="S1179" t="s">
        <v>4010</v>
      </c>
      <c r="T1179" t="s">
        <v>4011</v>
      </c>
      <c r="V1179" t="s">
        <v>4012</v>
      </c>
      <c r="W1179" t="s">
        <v>73</v>
      </c>
      <c r="AE1179" t="s">
        <v>478</v>
      </c>
      <c r="AF1179" t="s">
        <v>479</v>
      </c>
      <c r="AL1179" t="s">
        <v>919</v>
      </c>
      <c r="AM1179" t="s">
        <v>919</v>
      </c>
      <c r="AO1179" t="s">
        <v>480</v>
      </c>
      <c r="AP1179" t="s">
        <v>481</v>
      </c>
      <c r="AQ1179" t="s">
        <v>555</v>
      </c>
      <c r="AR1179" t="s">
        <v>482</v>
      </c>
      <c r="AS1179" t="s">
        <v>483</v>
      </c>
      <c r="AT1179" t="s">
        <v>484</v>
      </c>
      <c r="AU1179" t="s">
        <v>521</v>
      </c>
      <c r="AW1179" t="s">
        <v>486</v>
      </c>
      <c r="BF1179" s="1" t="s">
        <v>1181</v>
      </c>
      <c r="BG1179" t="s">
        <v>523</v>
      </c>
      <c r="BH1179" t="s">
        <v>1029</v>
      </c>
      <c r="BP1179" t="s">
        <v>1489</v>
      </c>
    </row>
    <row r="1180" spans="1:68" x14ac:dyDescent="0.25">
      <c r="A1180" t="s">
        <v>5713</v>
      </c>
      <c r="B1180" t="s">
        <v>474</v>
      </c>
      <c r="C1180" t="s">
        <v>1486</v>
      </c>
      <c r="E1180" t="s">
        <v>1008</v>
      </c>
      <c r="G1180" s="1" t="s">
        <v>3951</v>
      </c>
      <c r="H1180" t="s">
        <v>961</v>
      </c>
      <c r="J1180">
        <v>664011</v>
      </c>
      <c r="M1180">
        <v>1611</v>
      </c>
      <c r="P1180" t="s">
        <v>135</v>
      </c>
      <c r="R1180" t="s">
        <v>918</v>
      </c>
      <c r="S1180" t="s">
        <v>4013</v>
      </c>
      <c r="T1180" t="s">
        <v>4014</v>
      </c>
      <c r="V1180" t="s">
        <v>4015</v>
      </c>
      <c r="W1180" t="s">
        <v>73</v>
      </c>
      <c r="AE1180" t="s">
        <v>478</v>
      </c>
      <c r="AF1180" t="s">
        <v>479</v>
      </c>
      <c r="AL1180" t="s">
        <v>919</v>
      </c>
      <c r="AM1180" t="s">
        <v>919</v>
      </c>
      <c r="AO1180" t="s">
        <v>480</v>
      </c>
      <c r="AP1180" t="s">
        <v>481</v>
      </c>
      <c r="AQ1180" t="s">
        <v>574</v>
      </c>
      <c r="AR1180" t="s">
        <v>482</v>
      </c>
      <c r="AS1180" t="s">
        <v>483</v>
      </c>
      <c r="AT1180" t="s">
        <v>484</v>
      </c>
      <c r="AU1180" t="s">
        <v>521</v>
      </c>
      <c r="AW1180" t="s">
        <v>486</v>
      </c>
      <c r="BF1180" s="1" t="s">
        <v>1181</v>
      </c>
      <c r="BG1180" t="s">
        <v>523</v>
      </c>
      <c r="BH1180" t="s">
        <v>1029</v>
      </c>
      <c r="BP1180" t="s">
        <v>1489</v>
      </c>
    </row>
    <row r="1181" spans="1:68" x14ac:dyDescent="0.25">
      <c r="A1181" t="s">
        <v>5713</v>
      </c>
      <c r="B1181" t="s">
        <v>474</v>
      </c>
      <c r="C1181" t="s">
        <v>1486</v>
      </c>
      <c r="E1181" t="s">
        <v>1008</v>
      </c>
      <c r="G1181" s="1" t="s">
        <v>3951</v>
      </c>
      <c r="H1181" t="s">
        <v>966</v>
      </c>
      <c r="J1181">
        <v>664011</v>
      </c>
      <c r="M1181">
        <v>1611</v>
      </c>
      <c r="P1181" t="s">
        <v>126</v>
      </c>
      <c r="R1181" t="s">
        <v>918</v>
      </c>
      <c r="S1181" t="s">
        <v>4016</v>
      </c>
      <c r="T1181" t="s">
        <v>4017</v>
      </c>
      <c r="V1181" t="s">
        <v>4018</v>
      </c>
      <c r="W1181" t="s">
        <v>73</v>
      </c>
      <c r="AE1181" t="s">
        <v>478</v>
      </c>
      <c r="AF1181" t="s">
        <v>479</v>
      </c>
      <c r="AL1181" t="s">
        <v>919</v>
      </c>
      <c r="AM1181" t="s">
        <v>919</v>
      </c>
      <c r="AO1181" t="s">
        <v>480</v>
      </c>
      <c r="AP1181" t="s">
        <v>481</v>
      </c>
      <c r="AQ1181" t="s">
        <v>639</v>
      </c>
      <c r="AR1181" t="s">
        <v>482</v>
      </c>
      <c r="AS1181" t="s">
        <v>483</v>
      </c>
      <c r="AT1181" t="s">
        <v>484</v>
      </c>
      <c r="AU1181" t="s">
        <v>521</v>
      </c>
      <c r="AW1181" t="s">
        <v>486</v>
      </c>
      <c r="BF1181" s="1" t="s">
        <v>1181</v>
      </c>
      <c r="BG1181" t="s">
        <v>523</v>
      </c>
      <c r="BH1181" t="s">
        <v>1029</v>
      </c>
      <c r="BP1181" t="s">
        <v>1489</v>
      </c>
    </row>
    <row r="1182" spans="1:68" x14ac:dyDescent="0.25">
      <c r="A1182" t="s">
        <v>5713</v>
      </c>
      <c r="B1182" t="s">
        <v>474</v>
      </c>
      <c r="C1182" t="s">
        <v>1486</v>
      </c>
      <c r="E1182" t="s">
        <v>1008</v>
      </c>
      <c r="G1182" s="1" t="s">
        <v>3951</v>
      </c>
      <c r="H1182" t="s">
        <v>967</v>
      </c>
      <c r="J1182">
        <v>664011</v>
      </c>
      <c r="M1182">
        <v>1611</v>
      </c>
      <c r="P1182" t="s">
        <v>155</v>
      </c>
      <c r="R1182" t="s">
        <v>918</v>
      </c>
      <c r="S1182" t="s">
        <v>4019</v>
      </c>
      <c r="T1182" t="s">
        <v>4020</v>
      </c>
      <c r="V1182" t="s">
        <v>4021</v>
      </c>
      <c r="W1182" t="s">
        <v>73</v>
      </c>
      <c r="AE1182" t="s">
        <v>478</v>
      </c>
      <c r="AF1182" t="s">
        <v>479</v>
      </c>
      <c r="AL1182" t="s">
        <v>919</v>
      </c>
      <c r="AM1182" t="s">
        <v>919</v>
      </c>
      <c r="AO1182" t="s">
        <v>480</v>
      </c>
      <c r="AP1182" t="s">
        <v>481</v>
      </c>
      <c r="AQ1182" t="s">
        <v>610</v>
      </c>
      <c r="AR1182" t="s">
        <v>482</v>
      </c>
      <c r="AS1182" t="s">
        <v>483</v>
      </c>
      <c r="AT1182" t="s">
        <v>484</v>
      </c>
      <c r="AU1182" t="s">
        <v>521</v>
      </c>
      <c r="AW1182" t="s">
        <v>486</v>
      </c>
      <c r="BF1182" s="1" t="s">
        <v>1181</v>
      </c>
      <c r="BG1182" t="s">
        <v>523</v>
      </c>
      <c r="BH1182" t="s">
        <v>1029</v>
      </c>
      <c r="BP1182" t="s">
        <v>1489</v>
      </c>
    </row>
    <row r="1183" spans="1:68" x14ac:dyDescent="0.25">
      <c r="A1183" t="s">
        <v>5713</v>
      </c>
      <c r="B1183" t="s">
        <v>474</v>
      </c>
      <c r="C1183" t="s">
        <v>1486</v>
      </c>
      <c r="E1183" t="s">
        <v>1008</v>
      </c>
      <c r="G1183" s="1" t="s">
        <v>3951</v>
      </c>
      <c r="H1183" t="s">
        <v>962</v>
      </c>
      <c r="J1183">
        <v>664011</v>
      </c>
      <c r="M1183">
        <v>1611</v>
      </c>
      <c r="P1183" t="s">
        <v>98</v>
      </c>
      <c r="R1183" t="s">
        <v>918</v>
      </c>
      <c r="S1183" t="s">
        <v>4022</v>
      </c>
      <c r="T1183" t="s">
        <v>4023</v>
      </c>
      <c r="V1183" t="s">
        <v>4024</v>
      </c>
      <c r="W1183" t="s">
        <v>73</v>
      </c>
      <c r="AE1183" t="s">
        <v>478</v>
      </c>
      <c r="AF1183" t="s">
        <v>479</v>
      </c>
      <c r="AL1183" t="s">
        <v>919</v>
      </c>
      <c r="AM1183" t="s">
        <v>919</v>
      </c>
      <c r="AO1183" t="s">
        <v>480</v>
      </c>
      <c r="AP1183" t="s">
        <v>481</v>
      </c>
      <c r="AQ1183" t="s">
        <v>580</v>
      </c>
      <c r="AR1183" t="s">
        <v>482</v>
      </c>
      <c r="AS1183" t="s">
        <v>483</v>
      </c>
      <c r="AT1183" t="s">
        <v>484</v>
      </c>
      <c r="AU1183" t="s">
        <v>521</v>
      </c>
      <c r="AW1183" t="s">
        <v>486</v>
      </c>
      <c r="BF1183" s="1" t="s">
        <v>1181</v>
      </c>
      <c r="BG1183" t="s">
        <v>523</v>
      </c>
      <c r="BH1183" t="s">
        <v>1029</v>
      </c>
      <c r="BP1183" t="s">
        <v>1489</v>
      </c>
    </row>
    <row r="1184" spans="1:68" x14ac:dyDescent="0.25">
      <c r="A1184" t="s">
        <v>5713</v>
      </c>
      <c r="B1184" t="s">
        <v>474</v>
      </c>
      <c r="C1184" t="s">
        <v>1486</v>
      </c>
      <c r="E1184" t="s">
        <v>1008</v>
      </c>
      <c r="G1184" s="1" t="s">
        <v>3951</v>
      </c>
      <c r="H1184" t="s">
        <v>968</v>
      </c>
      <c r="J1184">
        <v>664011</v>
      </c>
      <c r="M1184">
        <v>1611</v>
      </c>
      <c r="P1184" t="s">
        <v>114</v>
      </c>
      <c r="R1184" t="s">
        <v>918</v>
      </c>
      <c r="S1184" t="s">
        <v>4025</v>
      </c>
      <c r="T1184" t="s">
        <v>4026</v>
      </c>
      <c r="V1184" t="s">
        <v>4027</v>
      </c>
      <c r="W1184" t="s">
        <v>73</v>
      </c>
      <c r="AE1184" t="s">
        <v>478</v>
      </c>
      <c r="AF1184" t="s">
        <v>479</v>
      </c>
      <c r="AL1184" t="s">
        <v>919</v>
      </c>
      <c r="AM1184" t="s">
        <v>919</v>
      </c>
      <c r="AO1184" t="s">
        <v>480</v>
      </c>
      <c r="AP1184" t="s">
        <v>481</v>
      </c>
      <c r="AQ1184" t="s">
        <v>584</v>
      </c>
      <c r="AR1184" t="s">
        <v>482</v>
      </c>
      <c r="AS1184" t="s">
        <v>483</v>
      </c>
      <c r="AT1184" t="s">
        <v>484</v>
      </c>
      <c r="AU1184" t="s">
        <v>521</v>
      </c>
      <c r="AW1184" t="s">
        <v>486</v>
      </c>
      <c r="BF1184" s="1" t="s">
        <v>1181</v>
      </c>
      <c r="BG1184" t="s">
        <v>523</v>
      </c>
      <c r="BH1184" t="s">
        <v>1029</v>
      </c>
      <c r="BP1184" t="s">
        <v>1489</v>
      </c>
    </row>
    <row r="1185" spans="1:68" x14ac:dyDescent="0.25">
      <c r="A1185" t="s">
        <v>5713</v>
      </c>
      <c r="B1185" t="s">
        <v>474</v>
      </c>
      <c r="C1185" t="s">
        <v>1486</v>
      </c>
      <c r="E1185" t="s">
        <v>1008</v>
      </c>
      <c r="G1185" s="1" t="s">
        <v>3951</v>
      </c>
      <c r="H1185" t="s">
        <v>969</v>
      </c>
      <c r="J1185">
        <v>664011</v>
      </c>
      <c r="M1185">
        <v>1611</v>
      </c>
      <c r="P1185" t="s">
        <v>78</v>
      </c>
      <c r="R1185" t="s">
        <v>918</v>
      </c>
      <c r="S1185" t="s">
        <v>4028</v>
      </c>
      <c r="T1185" t="s">
        <v>4029</v>
      </c>
      <c r="V1185" t="s">
        <v>4030</v>
      </c>
      <c r="W1185" t="s">
        <v>73</v>
      </c>
      <c r="AE1185" t="s">
        <v>478</v>
      </c>
      <c r="AF1185" t="s">
        <v>479</v>
      </c>
      <c r="AL1185" t="s">
        <v>919</v>
      </c>
      <c r="AM1185" t="s">
        <v>919</v>
      </c>
      <c r="AO1185" t="s">
        <v>480</v>
      </c>
      <c r="AP1185" t="s">
        <v>481</v>
      </c>
      <c r="AQ1185" t="s">
        <v>631</v>
      </c>
      <c r="AR1185" t="s">
        <v>482</v>
      </c>
      <c r="AS1185" t="s">
        <v>483</v>
      </c>
      <c r="AT1185" t="s">
        <v>484</v>
      </c>
      <c r="AU1185" t="s">
        <v>521</v>
      </c>
      <c r="AW1185" t="s">
        <v>486</v>
      </c>
      <c r="BF1185" s="1" t="s">
        <v>1181</v>
      </c>
      <c r="BG1185" t="s">
        <v>523</v>
      </c>
      <c r="BH1185" t="s">
        <v>1029</v>
      </c>
      <c r="BP1185" t="s">
        <v>1489</v>
      </c>
    </row>
    <row r="1186" spans="1:68" x14ac:dyDescent="0.25">
      <c r="A1186" t="s">
        <v>5713</v>
      </c>
      <c r="B1186" t="s">
        <v>474</v>
      </c>
      <c r="C1186" t="s">
        <v>1486</v>
      </c>
      <c r="E1186" t="s">
        <v>1008</v>
      </c>
      <c r="G1186" s="1" t="s">
        <v>3951</v>
      </c>
      <c r="H1186" t="s">
        <v>963</v>
      </c>
      <c r="J1186">
        <v>664011</v>
      </c>
      <c r="M1186">
        <v>1611</v>
      </c>
      <c r="P1186" t="s">
        <v>148</v>
      </c>
      <c r="R1186" t="s">
        <v>918</v>
      </c>
      <c r="S1186" t="s">
        <v>4031</v>
      </c>
      <c r="T1186" t="s">
        <v>4032</v>
      </c>
      <c r="V1186" t="s">
        <v>4033</v>
      </c>
      <c r="W1186" t="s">
        <v>73</v>
      </c>
      <c r="AE1186" t="s">
        <v>478</v>
      </c>
      <c r="AF1186" t="s">
        <v>479</v>
      </c>
      <c r="AL1186" t="s">
        <v>919</v>
      </c>
      <c r="AM1186" t="s">
        <v>919</v>
      </c>
      <c r="AO1186" t="s">
        <v>480</v>
      </c>
      <c r="AP1186" t="s">
        <v>481</v>
      </c>
      <c r="AQ1186" t="s">
        <v>591</v>
      </c>
      <c r="AR1186" t="s">
        <v>482</v>
      </c>
      <c r="AS1186" t="s">
        <v>483</v>
      </c>
      <c r="AT1186" t="s">
        <v>484</v>
      </c>
      <c r="AU1186" t="s">
        <v>521</v>
      </c>
      <c r="AW1186" t="s">
        <v>486</v>
      </c>
      <c r="BF1186" s="1" t="s">
        <v>1181</v>
      </c>
      <c r="BG1186" t="s">
        <v>523</v>
      </c>
      <c r="BH1186" t="s">
        <v>1029</v>
      </c>
      <c r="BP1186" t="s">
        <v>1489</v>
      </c>
    </row>
    <row r="1187" spans="1:68" x14ac:dyDescent="0.25">
      <c r="A1187" t="s">
        <v>5713</v>
      </c>
      <c r="B1187" t="s">
        <v>474</v>
      </c>
      <c r="C1187" t="s">
        <v>1486</v>
      </c>
      <c r="E1187" t="s">
        <v>1008</v>
      </c>
      <c r="G1187" s="1" t="s">
        <v>3951</v>
      </c>
      <c r="H1187" t="s">
        <v>964</v>
      </c>
      <c r="J1187">
        <v>664011</v>
      </c>
      <c r="M1187">
        <v>1611</v>
      </c>
      <c r="P1187" t="s">
        <v>136</v>
      </c>
      <c r="R1187" t="s">
        <v>918</v>
      </c>
      <c r="S1187" t="s">
        <v>4034</v>
      </c>
      <c r="T1187" t="s">
        <v>4035</v>
      </c>
      <c r="V1187" t="s">
        <v>4036</v>
      </c>
      <c r="W1187" t="s">
        <v>73</v>
      </c>
      <c r="AE1187" t="s">
        <v>478</v>
      </c>
      <c r="AF1187" t="s">
        <v>479</v>
      </c>
      <c r="AL1187" t="s">
        <v>919</v>
      </c>
      <c r="AM1187" t="s">
        <v>919</v>
      </c>
      <c r="AO1187" t="s">
        <v>480</v>
      </c>
      <c r="AP1187" t="s">
        <v>481</v>
      </c>
      <c r="AQ1187" t="s">
        <v>790</v>
      </c>
      <c r="AR1187" t="s">
        <v>482</v>
      </c>
      <c r="AS1187" t="s">
        <v>483</v>
      </c>
      <c r="AT1187" t="s">
        <v>484</v>
      </c>
      <c r="AU1187" t="s">
        <v>521</v>
      </c>
      <c r="AW1187" t="s">
        <v>486</v>
      </c>
      <c r="BF1187" s="1" t="s">
        <v>1181</v>
      </c>
      <c r="BG1187" t="s">
        <v>523</v>
      </c>
      <c r="BH1187" t="s">
        <v>1029</v>
      </c>
      <c r="BP1187" t="s">
        <v>1489</v>
      </c>
    </row>
    <row r="1188" spans="1:68" x14ac:dyDescent="0.25">
      <c r="A1188" t="s">
        <v>5713</v>
      </c>
      <c r="B1188" t="s">
        <v>474</v>
      </c>
      <c r="C1188" t="s">
        <v>1486</v>
      </c>
      <c r="E1188" t="s">
        <v>1008</v>
      </c>
      <c r="G1188" s="1" t="s">
        <v>3951</v>
      </c>
      <c r="H1188" t="s">
        <v>1127</v>
      </c>
      <c r="J1188">
        <v>664011</v>
      </c>
      <c r="M1188">
        <v>1611</v>
      </c>
      <c r="P1188" t="s">
        <v>103</v>
      </c>
      <c r="R1188" t="s">
        <v>918</v>
      </c>
      <c r="S1188" t="s">
        <v>4037</v>
      </c>
      <c r="T1188" t="s">
        <v>4038</v>
      </c>
      <c r="V1188" t="s">
        <v>4039</v>
      </c>
      <c r="W1188" t="s">
        <v>73</v>
      </c>
      <c r="AE1188" t="s">
        <v>478</v>
      </c>
      <c r="AF1188" t="s">
        <v>479</v>
      </c>
      <c r="AL1188" t="s">
        <v>919</v>
      </c>
      <c r="AM1188" t="s">
        <v>919</v>
      </c>
      <c r="AO1188" t="s">
        <v>480</v>
      </c>
      <c r="AP1188" t="s">
        <v>481</v>
      </c>
      <c r="AQ1188" t="s">
        <v>545</v>
      </c>
      <c r="AR1188" t="s">
        <v>482</v>
      </c>
      <c r="AS1188" t="s">
        <v>483</v>
      </c>
      <c r="AT1188" t="s">
        <v>484</v>
      </c>
      <c r="AU1188" t="s">
        <v>521</v>
      </c>
      <c r="AW1188" t="s">
        <v>486</v>
      </c>
      <c r="BF1188" s="1" t="s">
        <v>1181</v>
      </c>
      <c r="BG1188" t="s">
        <v>523</v>
      </c>
      <c r="BH1188" t="s">
        <v>1029</v>
      </c>
      <c r="BP1188" t="s">
        <v>1489</v>
      </c>
    </row>
    <row r="1189" spans="1:68" x14ac:dyDescent="0.25">
      <c r="A1189" t="s">
        <v>5713</v>
      </c>
      <c r="B1189" t="s">
        <v>474</v>
      </c>
      <c r="C1189" t="s">
        <v>1486</v>
      </c>
      <c r="E1189" t="s">
        <v>1008</v>
      </c>
      <c r="G1189" s="1" t="s">
        <v>3951</v>
      </c>
      <c r="H1189" t="s">
        <v>970</v>
      </c>
      <c r="J1189">
        <v>664011</v>
      </c>
      <c r="M1189">
        <v>1611</v>
      </c>
      <c r="P1189" t="s">
        <v>147</v>
      </c>
      <c r="R1189" t="s">
        <v>918</v>
      </c>
      <c r="S1189" t="s">
        <v>4040</v>
      </c>
      <c r="T1189" t="s">
        <v>4041</v>
      </c>
      <c r="V1189" t="s">
        <v>4042</v>
      </c>
      <c r="W1189" t="s">
        <v>73</v>
      </c>
      <c r="AE1189" t="s">
        <v>478</v>
      </c>
      <c r="AF1189" t="s">
        <v>479</v>
      </c>
      <c r="AL1189" t="s">
        <v>919</v>
      </c>
      <c r="AM1189" t="s">
        <v>919</v>
      </c>
      <c r="AO1189" t="s">
        <v>480</v>
      </c>
      <c r="AP1189" t="s">
        <v>481</v>
      </c>
      <c r="AQ1189" t="s">
        <v>688</v>
      </c>
      <c r="AR1189" t="s">
        <v>482</v>
      </c>
      <c r="AS1189" t="s">
        <v>483</v>
      </c>
      <c r="AT1189" t="s">
        <v>484</v>
      </c>
      <c r="AU1189" t="s">
        <v>521</v>
      </c>
      <c r="AW1189" t="s">
        <v>486</v>
      </c>
      <c r="BF1189" s="1" t="s">
        <v>1181</v>
      </c>
      <c r="BG1189" t="s">
        <v>523</v>
      </c>
      <c r="BH1189" t="s">
        <v>1029</v>
      </c>
      <c r="BP1189" t="s">
        <v>1489</v>
      </c>
    </row>
    <row r="1190" spans="1:68" x14ac:dyDescent="0.25">
      <c r="A1190" t="s">
        <v>5713</v>
      </c>
      <c r="B1190" t="s">
        <v>474</v>
      </c>
      <c r="C1190" t="s">
        <v>1486</v>
      </c>
      <c r="E1190" t="s">
        <v>1008</v>
      </c>
      <c r="G1190" s="1" t="s">
        <v>3951</v>
      </c>
      <c r="H1190" t="s">
        <v>971</v>
      </c>
      <c r="J1190">
        <v>664011</v>
      </c>
      <c r="M1190">
        <v>1611</v>
      </c>
      <c r="P1190" t="s">
        <v>110</v>
      </c>
      <c r="R1190" t="s">
        <v>918</v>
      </c>
      <c r="S1190" t="s">
        <v>4043</v>
      </c>
      <c r="T1190" t="s">
        <v>4044</v>
      </c>
      <c r="V1190" t="s">
        <v>4045</v>
      </c>
      <c r="W1190" t="s">
        <v>73</v>
      </c>
      <c r="AE1190" t="s">
        <v>478</v>
      </c>
      <c r="AF1190" t="s">
        <v>479</v>
      </c>
      <c r="AL1190" t="s">
        <v>919</v>
      </c>
      <c r="AM1190" t="s">
        <v>919</v>
      </c>
      <c r="AO1190" t="s">
        <v>480</v>
      </c>
      <c r="AP1190" t="s">
        <v>481</v>
      </c>
      <c r="AQ1190" t="s">
        <v>624</v>
      </c>
      <c r="AR1190" t="s">
        <v>482</v>
      </c>
      <c r="AS1190" t="s">
        <v>483</v>
      </c>
      <c r="AT1190" t="s">
        <v>484</v>
      </c>
      <c r="AU1190" t="s">
        <v>521</v>
      </c>
      <c r="AW1190" t="s">
        <v>486</v>
      </c>
      <c r="BF1190" s="1" t="s">
        <v>1181</v>
      </c>
      <c r="BG1190" t="s">
        <v>523</v>
      </c>
      <c r="BH1190" t="s">
        <v>1029</v>
      </c>
      <c r="BP1190" t="s">
        <v>1489</v>
      </c>
    </row>
    <row r="1191" spans="1:68" x14ac:dyDescent="0.25">
      <c r="A1191" t="s">
        <v>5713</v>
      </c>
      <c r="B1191" t="s">
        <v>474</v>
      </c>
      <c r="C1191" t="s">
        <v>1486</v>
      </c>
      <c r="E1191" t="s">
        <v>1008</v>
      </c>
      <c r="G1191" s="1" t="s">
        <v>3951</v>
      </c>
      <c r="H1191" t="s">
        <v>972</v>
      </c>
      <c r="J1191">
        <v>664011</v>
      </c>
      <c r="M1191">
        <v>1611</v>
      </c>
      <c r="P1191" t="s">
        <v>116</v>
      </c>
      <c r="R1191" t="s">
        <v>918</v>
      </c>
      <c r="S1191" t="s">
        <v>4046</v>
      </c>
      <c r="T1191" t="s">
        <v>4047</v>
      </c>
      <c r="V1191" t="s">
        <v>4048</v>
      </c>
      <c r="W1191" t="s">
        <v>73</v>
      </c>
      <c r="AE1191" t="s">
        <v>478</v>
      </c>
      <c r="AF1191" t="s">
        <v>479</v>
      </c>
      <c r="AL1191" t="s">
        <v>919</v>
      </c>
      <c r="AM1191" t="s">
        <v>919</v>
      </c>
      <c r="AO1191" t="s">
        <v>480</v>
      </c>
      <c r="AP1191" t="s">
        <v>481</v>
      </c>
      <c r="AQ1191" t="s">
        <v>645</v>
      </c>
      <c r="AR1191" t="s">
        <v>482</v>
      </c>
      <c r="AS1191" t="s">
        <v>483</v>
      </c>
      <c r="AT1191" t="s">
        <v>484</v>
      </c>
      <c r="AU1191" t="s">
        <v>521</v>
      </c>
      <c r="AW1191" t="s">
        <v>486</v>
      </c>
      <c r="BF1191" s="1" t="s">
        <v>1181</v>
      </c>
      <c r="BG1191" t="s">
        <v>523</v>
      </c>
      <c r="BH1191" t="s">
        <v>1029</v>
      </c>
      <c r="BP1191" t="s">
        <v>1489</v>
      </c>
    </row>
    <row r="1192" spans="1:68" x14ac:dyDescent="0.25">
      <c r="A1192" t="s">
        <v>5713</v>
      </c>
      <c r="B1192" t="s">
        <v>474</v>
      </c>
      <c r="C1192" t="s">
        <v>1486</v>
      </c>
      <c r="E1192" t="s">
        <v>1008</v>
      </c>
      <c r="G1192" s="1" t="s">
        <v>3951</v>
      </c>
      <c r="H1192" t="s">
        <v>973</v>
      </c>
      <c r="J1192">
        <v>664011</v>
      </c>
      <c r="M1192">
        <v>1611</v>
      </c>
      <c r="P1192" t="s">
        <v>115</v>
      </c>
      <c r="R1192" t="s">
        <v>918</v>
      </c>
      <c r="S1192" t="s">
        <v>4049</v>
      </c>
      <c r="T1192" t="s">
        <v>4050</v>
      </c>
      <c r="V1192" t="s">
        <v>4051</v>
      </c>
      <c r="W1192" t="s">
        <v>73</v>
      </c>
      <c r="AE1192" t="s">
        <v>478</v>
      </c>
      <c r="AF1192" t="s">
        <v>479</v>
      </c>
      <c r="AL1192" t="s">
        <v>919</v>
      </c>
      <c r="AM1192" t="s">
        <v>919</v>
      </c>
      <c r="AO1192" t="s">
        <v>480</v>
      </c>
      <c r="AP1192" t="s">
        <v>481</v>
      </c>
      <c r="AQ1192" t="s">
        <v>626</v>
      </c>
      <c r="AR1192" t="s">
        <v>482</v>
      </c>
      <c r="AS1192" t="s">
        <v>483</v>
      </c>
      <c r="AT1192" t="s">
        <v>484</v>
      </c>
      <c r="AU1192" t="s">
        <v>521</v>
      </c>
      <c r="AW1192" t="s">
        <v>486</v>
      </c>
      <c r="BF1192" s="1" t="s">
        <v>1181</v>
      </c>
      <c r="BG1192" t="s">
        <v>523</v>
      </c>
      <c r="BH1192" t="s">
        <v>1029</v>
      </c>
      <c r="BP1192" t="s">
        <v>1489</v>
      </c>
    </row>
    <row r="1193" spans="1:68" x14ac:dyDescent="0.25">
      <c r="A1193" t="s">
        <v>5713</v>
      </c>
      <c r="B1193" t="s">
        <v>474</v>
      </c>
      <c r="C1193" t="s">
        <v>1486</v>
      </c>
      <c r="E1193" t="s">
        <v>1008</v>
      </c>
      <c r="G1193" s="1" t="s">
        <v>3951</v>
      </c>
      <c r="H1193" t="s">
        <v>1133</v>
      </c>
      <c r="J1193">
        <v>664011</v>
      </c>
      <c r="M1193">
        <v>1611</v>
      </c>
      <c r="P1193" t="s">
        <v>124</v>
      </c>
      <c r="R1193" t="s">
        <v>918</v>
      </c>
      <c r="S1193" t="s">
        <v>4052</v>
      </c>
      <c r="T1193" t="s">
        <v>4053</v>
      </c>
      <c r="V1193" t="s">
        <v>4054</v>
      </c>
      <c r="W1193" t="s">
        <v>73</v>
      </c>
      <c r="AE1193" t="s">
        <v>478</v>
      </c>
      <c r="AF1193" t="s">
        <v>479</v>
      </c>
      <c r="AL1193" t="s">
        <v>919</v>
      </c>
      <c r="AM1193" t="s">
        <v>919</v>
      </c>
      <c r="AO1193" t="s">
        <v>480</v>
      </c>
      <c r="AP1193" t="s">
        <v>481</v>
      </c>
      <c r="AQ1193" t="s">
        <v>588</v>
      </c>
      <c r="AR1193" t="s">
        <v>482</v>
      </c>
      <c r="AS1193" t="s">
        <v>483</v>
      </c>
      <c r="AT1193" t="s">
        <v>484</v>
      </c>
      <c r="AU1193" t="s">
        <v>521</v>
      </c>
      <c r="AW1193" t="s">
        <v>486</v>
      </c>
      <c r="BF1193" s="1" t="s">
        <v>1181</v>
      </c>
      <c r="BG1193" t="s">
        <v>523</v>
      </c>
      <c r="BH1193" t="s">
        <v>1029</v>
      </c>
      <c r="BP1193" t="s">
        <v>1489</v>
      </c>
    </row>
    <row r="1194" spans="1:68" x14ac:dyDescent="0.25">
      <c r="A1194" t="s">
        <v>5713</v>
      </c>
      <c r="B1194" t="s">
        <v>474</v>
      </c>
      <c r="C1194" t="s">
        <v>1486</v>
      </c>
      <c r="E1194" t="s">
        <v>1008</v>
      </c>
      <c r="G1194" s="1" t="s">
        <v>3951</v>
      </c>
      <c r="H1194" t="s">
        <v>974</v>
      </c>
      <c r="J1194">
        <v>664011</v>
      </c>
      <c r="M1194">
        <v>1611</v>
      </c>
      <c r="P1194" t="s">
        <v>88</v>
      </c>
      <c r="R1194" t="s">
        <v>918</v>
      </c>
      <c r="S1194" t="s">
        <v>4055</v>
      </c>
      <c r="T1194" t="s">
        <v>4056</v>
      </c>
      <c r="V1194" t="s">
        <v>4057</v>
      </c>
      <c r="W1194" t="s">
        <v>73</v>
      </c>
      <c r="AE1194" t="s">
        <v>478</v>
      </c>
      <c r="AF1194" t="s">
        <v>479</v>
      </c>
      <c r="AL1194" t="s">
        <v>919</v>
      </c>
      <c r="AM1194" t="s">
        <v>919</v>
      </c>
      <c r="AO1194" t="s">
        <v>480</v>
      </c>
      <c r="AP1194" t="s">
        <v>481</v>
      </c>
      <c r="AQ1194" t="s">
        <v>597</v>
      </c>
      <c r="AR1194" t="s">
        <v>482</v>
      </c>
      <c r="AS1194" t="s">
        <v>483</v>
      </c>
      <c r="AT1194" t="s">
        <v>484</v>
      </c>
      <c r="AU1194" t="s">
        <v>521</v>
      </c>
      <c r="AW1194" t="s">
        <v>486</v>
      </c>
      <c r="BF1194" s="1" t="s">
        <v>1181</v>
      </c>
      <c r="BG1194" t="s">
        <v>523</v>
      </c>
      <c r="BH1194" t="s">
        <v>1029</v>
      </c>
      <c r="BP1194" t="s">
        <v>1489</v>
      </c>
    </row>
    <row r="1195" spans="1:68" x14ac:dyDescent="0.25">
      <c r="A1195" t="s">
        <v>5713</v>
      </c>
      <c r="B1195" t="s">
        <v>474</v>
      </c>
      <c r="C1195" t="s">
        <v>1486</v>
      </c>
      <c r="E1195" t="s">
        <v>1008</v>
      </c>
      <c r="G1195" s="1" t="s">
        <v>3951</v>
      </c>
      <c r="H1195" t="s">
        <v>975</v>
      </c>
      <c r="J1195">
        <v>664011</v>
      </c>
      <c r="M1195">
        <v>1611</v>
      </c>
      <c r="P1195" t="s">
        <v>101</v>
      </c>
      <c r="R1195" t="s">
        <v>918</v>
      </c>
      <c r="S1195" t="s">
        <v>4058</v>
      </c>
      <c r="T1195" t="s">
        <v>4059</v>
      </c>
      <c r="V1195" t="s">
        <v>4060</v>
      </c>
      <c r="W1195" t="s">
        <v>73</v>
      </c>
      <c r="AE1195" t="s">
        <v>478</v>
      </c>
      <c r="AF1195" t="s">
        <v>479</v>
      </c>
      <c r="AL1195" t="s">
        <v>919</v>
      </c>
      <c r="AM1195" t="s">
        <v>919</v>
      </c>
      <c r="AO1195" t="s">
        <v>480</v>
      </c>
      <c r="AP1195" t="s">
        <v>481</v>
      </c>
      <c r="AQ1195" t="s">
        <v>699</v>
      </c>
      <c r="AR1195" t="s">
        <v>482</v>
      </c>
      <c r="AS1195" t="s">
        <v>483</v>
      </c>
      <c r="AT1195" t="s">
        <v>484</v>
      </c>
      <c r="AU1195" t="s">
        <v>521</v>
      </c>
      <c r="AW1195" t="s">
        <v>486</v>
      </c>
      <c r="BF1195" s="1" t="s">
        <v>1181</v>
      </c>
      <c r="BG1195" t="s">
        <v>523</v>
      </c>
      <c r="BH1195" t="s">
        <v>1029</v>
      </c>
      <c r="BP1195" t="s">
        <v>1489</v>
      </c>
    </row>
    <row r="1196" spans="1:68" x14ac:dyDescent="0.25">
      <c r="A1196" t="s">
        <v>5713</v>
      </c>
      <c r="B1196" t="s">
        <v>474</v>
      </c>
      <c r="C1196" t="s">
        <v>1486</v>
      </c>
      <c r="E1196" t="s">
        <v>1008</v>
      </c>
      <c r="G1196" s="1" t="s">
        <v>3951</v>
      </c>
      <c r="H1196" t="s">
        <v>976</v>
      </c>
      <c r="J1196">
        <v>664011</v>
      </c>
      <c r="M1196">
        <v>1611</v>
      </c>
      <c r="P1196" t="s">
        <v>79</v>
      </c>
      <c r="R1196" t="s">
        <v>918</v>
      </c>
      <c r="S1196" t="s">
        <v>4061</v>
      </c>
      <c r="T1196" t="s">
        <v>4062</v>
      </c>
      <c r="V1196" t="s">
        <v>4063</v>
      </c>
      <c r="W1196" t="s">
        <v>73</v>
      </c>
      <c r="AE1196" t="s">
        <v>478</v>
      </c>
      <c r="AF1196" t="s">
        <v>479</v>
      </c>
      <c r="AL1196" t="s">
        <v>919</v>
      </c>
      <c r="AM1196" t="s">
        <v>919</v>
      </c>
      <c r="AO1196" t="s">
        <v>480</v>
      </c>
      <c r="AP1196" t="s">
        <v>481</v>
      </c>
      <c r="AQ1196" t="s">
        <v>932</v>
      </c>
      <c r="AR1196" t="s">
        <v>482</v>
      </c>
      <c r="AS1196" t="s">
        <v>483</v>
      </c>
      <c r="AT1196" t="s">
        <v>484</v>
      </c>
      <c r="AU1196" t="s">
        <v>521</v>
      </c>
      <c r="AW1196" t="s">
        <v>486</v>
      </c>
      <c r="BF1196" s="1" t="s">
        <v>1181</v>
      </c>
      <c r="BG1196" t="s">
        <v>523</v>
      </c>
      <c r="BH1196" t="s">
        <v>1029</v>
      </c>
      <c r="BP1196" t="s">
        <v>1489</v>
      </c>
    </row>
    <row r="1197" spans="1:68" x14ac:dyDescent="0.25">
      <c r="A1197" t="s">
        <v>5713</v>
      </c>
      <c r="B1197" t="s">
        <v>474</v>
      </c>
      <c r="C1197" t="s">
        <v>1486</v>
      </c>
      <c r="E1197" t="s">
        <v>1008</v>
      </c>
      <c r="G1197" s="1" t="s">
        <v>3951</v>
      </c>
      <c r="H1197" t="s">
        <v>977</v>
      </c>
      <c r="J1197">
        <v>664011</v>
      </c>
      <c r="M1197">
        <v>1611</v>
      </c>
      <c r="P1197" t="s">
        <v>85</v>
      </c>
      <c r="R1197" t="s">
        <v>918</v>
      </c>
      <c r="S1197" t="s">
        <v>4064</v>
      </c>
      <c r="T1197" t="s">
        <v>4065</v>
      </c>
      <c r="V1197" t="s">
        <v>4066</v>
      </c>
      <c r="W1197" t="s">
        <v>73</v>
      </c>
      <c r="AE1197" t="s">
        <v>478</v>
      </c>
      <c r="AF1197" t="s">
        <v>479</v>
      </c>
      <c r="AL1197" t="s">
        <v>919</v>
      </c>
      <c r="AM1197" t="s">
        <v>919</v>
      </c>
      <c r="AO1197" t="s">
        <v>480</v>
      </c>
      <c r="AP1197" t="s">
        <v>481</v>
      </c>
      <c r="AQ1197" t="s">
        <v>630</v>
      </c>
      <c r="AR1197" t="s">
        <v>482</v>
      </c>
      <c r="AS1197" t="s">
        <v>483</v>
      </c>
      <c r="AT1197" t="s">
        <v>484</v>
      </c>
      <c r="AU1197" t="s">
        <v>521</v>
      </c>
      <c r="AW1197" t="s">
        <v>486</v>
      </c>
      <c r="BF1197" s="1" t="s">
        <v>1181</v>
      </c>
      <c r="BG1197" t="s">
        <v>523</v>
      </c>
      <c r="BH1197" t="s">
        <v>1029</v>
      </c>
      <c r="BP1197" t="s">
        <v>1489</v>
      </c>
    </row>
    <row r="1198" spans="1:68" x14ac:dyDescent="0.25">
      <c r="A1198" t="s">
        <v>5713</v>
      </c>
      <c r="B1198" t="s">
        <v>474</v>
      </c>
      <c r="C1198" t="s">
        <v>1486</v>
      </c>
      <c r="E1198" t="s">
        <v>1008</v>
      </c>
      <c r="G1198" s="1" t="s">
        <v>3951</v>
      </c>
      <c r="H1198" t="s">
        <v>1139</v>
      </c>
      <c r="J1198">
        <v>664011</v>
      </c>
      <c r="M1198">
        <v>1611</v>
      </c>
      <c r="P1198" t="s">
        <v>108</v>
      </c>
      <c r="R1198" t="s">
        <v>918</v>
      </c>
      <c r="S1198" t="s">
        <v>4067</v>
      </c>
      <c r="T1198" t="s">
        <v>4068</v>
      </c>
      <c r="V1198" t="s">
        <v>4069</v>
      </c>
      <c r="W1198" t="s">
        <v>73</v>
      </c>
      <c r="AE1198" t="s">
        <v>478</v>
      </c>
      <c r="AF1198" t="s">
        <v>479</v>
      </c>
      <c r="AL1198" t="s">
        <v>919</v>
      </c>
      <c r="AM1198" t="s">
        <v>919</v>
      </c>
      <c r="AO1198" t="s">
        <v>480</v>
      </c>
      <c r="AP1198" t="s">
        <v>481</v>
      </c>
      <c r="AQ1198" t="s">
        <v>520</v>
      </c>
      <c r="AR1198" t="s">
        <v>482</v>
      </c>
      <c r="AS1198" t="s">
        <v>483</v>
      </c>
      <c r="AT1198" t="s">
        <v>484</v>
      </c>
      <c r="AU1198" t="s">
        <v>521</v>
      </c>
      <c r="AW1198" t="s">
        <v>486</v>
      </c>
      <c r="BF1198" s="1" t="s">
        <v>1181</v>
      </c>
      <c r="BG1198" t="s">
        <v>523</v>
      </c>
      <c r="BH1198" t="s">
        <v>1029</v>
      </c>
      <c r="BP1198" t="s">
        <v>1489</v>
      </c>
    </row>
    <row r="1199" spans="1:68" x14ac:dyDescent="0.25">
      <c r="A1199" t="s">
        <v>5713</v>
      </c>
      <c r="B1199" t="s">
        <v>474</v>
      </c>
      <c r="C1199" t="s">
        <v>1486</v>
      </c>
      <c r="E1199" t="s">
        <v>1008</v>
      </c>
      <c r="G1199" s="1" t="s">
        <v>3951</v>
      </c>
      <c r="H1199" t="s">
        <v>978</v>
      </c>
      <c r="J1199">
        <v>664011</v>
      </c>
      <c r="M1199">
        <v>1611</v>
      </c>
      <c r="P1199" t="s">
        <v>80</v>
      </c>
      <c r="R1199" t="s">
        <v>918</v>
      </c>
      <c r="S1199" t="s">
        <v>4070</v>
      </c>
      <c r="T1199" t="s">
        <v>4071</v>
      </c>
      <c r="V1199" t="s">
        <v>4072</v>
      </c>
      <c r="W1199" t="s">
        <v>73</v>
      </c>
      <c r="AE1199" t="s">
        <v>478</v>
      </c>
      <c r="AF1199" t="s">
        <v>479</v>
      </c>
      <c r="AL1199" t="s">
        <v>919</v>
      </c>
      <c r="AM1199" t="s">
        <v>919</v>
      </c>
      <c r="AO1199" t="s">
        <v>480</v>
      </c>
      <c r="AP1199" t="s">
        <v>481</v>
      </c>
      <c r="AQ1199" t="s">
        <v>603</v>
      </c>
      <c r="AR1199" t="s">
        <v>482</v>
      </c>
      <c r="AS1199" t="s">
        <v>483</v>
      </c>
      <c r="AT1199" t="s">
        <v>484</v>
      </c>
      <c r="AU1199" t="s">
        <v>521</v>
      </c>
      <c r="AW1199" t="s">
        <v>486</v>
      </c>
      <c r="BF1199" s="1" t="s">
        <v>1181</v>
      </c>
      <c r="BG1199" t="s">
        <v>523</v>
      </c>
      <c r="BH1199" t="s">
        <v>1029</v>
      </c>
      <c r="BP1199" t="s">
        <v>1489</v>
      </c>
    </row>
    <row r="1200" spans="1:68" x14ac:dyDescent="0.25">
      <c r="A1200" t="s">
        <v>5713</v>
      </c>
      <c r="B1200" t="s">
        <v>474</v>
      </c>
      <c r="C1200" t="s">
        <v>1486</v>
      </c>
      <c r="E1200" t="s">
        <v>1008</v>
      </c>
      <c r="G1200" s="1" t="s">
        <v>3951</v>
      </c>
      <c r="H1200" t="s">
        <v>979</v>
      </c>
      <c r="J1200">
        <v>664011</v>
      </c>
      <c r="M1200">
        <v>1611</v>
      </c>
      <c r="P1200" t="s">
        <v>74</v>
      </c>
      <c r="R1200" t="s">
        <v>918</v>
      </c>
      <c r="S1200" t="s">
        <v>4073</v>
      </c>
      <c r="T1200" t="s">
        <v>4074</v>
      </c>
      <c r="V1200" t="s">
        <v>4075</v>
      </c>
      <c r="W1200" t="s">
        <v>73</v>
      </c>
      <c r="AE1200" t="s">
        <v>478</v>
      </c>
      <c r="AF1200" t="s">
        <v>479</v>
      </c>
      <c r="AL1200" t="s">
        <v>919</v>
      </c>
      <c r="AM1200" t="s">
        <v>919</v>
      </c>
      <c r="AO1200" t="s">
        <v>480</v>
      </c>
      <c r="AP1200" t="s">
        <v>481</v>
      </c>
      <c r="AQ1200" t="s">
        <v>678</v>
      </c>
      <c r="AR1200" t="s">
        <v>482</v>
      </c>
      <c r="AS1200" t="s">
        <v>483</v>
      </c>
      <c r="AT1200" t="s">
        <v>484</v>
      </c>
      <c r="AU1200" t="s">
        <v>521</v>
      </c>
      <c r="AW1200" t="s">
        <v>486</v>
      </c>
      <c r="BF1200" s="1" t="s">
        <v>1181</v>
      </c>
      <c r="BG1200" t="s">
        <v>523</v>
      </c>
      <c r="BH1200" t="s">
        <v>1029</v>
      </c>
      <c r="BP1200" t="s">
        <v>1489</v>
      </c>
    </row>
    <row r="1201" spans="1:68" x14ac:dyDescent="0.25">
      <c r="A1201" t="s">
        <v>5713</v>
      </c>
      <c r="B1201" t="s">
        <v>474</v>
      </c>
      <c r="C1201" t="s">
        <v>1486</v>
      </c>
      <c r="E1201" t="s">
        <v>1008</v>
      </c>
      <c r="G1201" s="1" t="s">
        <v>3951</v>
      </c>
      <c r="H1201" t="s">
        <v>1143</v>
      </c>
      <c r="J1201">
        <v>664011</v>
      </c>
      <c r="M1201">
        <v>1611</v>
      </c>
      <c r="P1201" t="s">
        <v>109</v>
      </c>
      <c r="R1201" t="s">
        <v>918</v>
      </c>
      <c r="S1201" t="s">
        <v>4076</v>
      </c>
      <c r="T1201" t="s">
        <v>4077</v>
      </c>
      <c r="V1201" t="s">
        <v>4078</v>
      </c>
      <c r="W1201" t="s">
        <v>73</v>
      </c>
      <c r="AE1201" t="s">
        <v>478</v>
      </c>
      <c r="AF1201" t="s">
        <v>479</v>
      </c>
      <c r="AL1201" t="s">
        <v>919</v>
      </c>
      <c r="AM1201" t="s">
        <v>919</v>
      </c>
      <c r="AO1201" t="s">
        <v>480</v>
      </c>
      <c r="AP1201" t="s">
        <v>481</v>
      </c>
      <c r="AQ1201" t="s">
        <v>536</v>
      </c>
      <c r="AR1201" t="s">
        <v>482</v>
      </c>
      <c r="AS1201" t="s">
        <v>483</v>
      </c>
      <c r="AT1201" t="s">
        <v>484</v>
      </c>
      <c r="AU1201" t="s">
        <v>521</v>
      </c>
      <c r="AW1201" t="s">
        <v>486</v>
      </c>
      <c r="BF1201" s="1" t="s">
        <v>1181</v>
      </c>
      <c r="BG1201" t="s">
        <v>523</v>
      </c>
      <c r="BH1201" t="s">
        <v>1029</v>
      </c>
      <c r="BP1201" t="s">
        <v>1489</v>
      </c>
    </row>
    <row r="1202" spans="1:68" x14ac:dyDescent="0.25">
      <c r="A1202" t="s">
        <v>5713</v>
      </c>
      <c r="B1202" t="s">
        <v>474</v>
      </c>
      <c r="C1202" t="s">
        <v>1486</v>
      </c>
      <c r="E1202" t="s">
        <v>1008</v>
      </c>
      <c r="G1202" s="1" t="s">
        <v>3951</v>
      </c>
      <c r="H1202" t="s">
        <v>1145</v>
      </c>
      <c r="J1202">
        <v>664011</v>
      </c>
      <c r="M1202">
        <v>1611</v>
      </c>
      <c r="P1202" t="s">
        <v>111</v>
      </c>
      <c r="R1202" t="s">
        <v>918</v>
      </c>
      <c r="S1202" t="s">
        <v>4079</v>
      </c>
      <c r="T1202" t="s">
        <v>4080</v>
      </c>
      <c r="V1202" t="s">
        <v>4081</v>
      </c>
      <c r="W1202" t="s">
        <v>73</v>
      </c>
      <c r="AE1202" t="s">
        <v>478</v>
      </c>
      <c r="AF1202" t="s">
        <v>479</v>
      </c>
      <c r="AL1202" t="s">
        <v>919</v>
      </c>
      <c r="AM1202" t="s">
        <v>919</v>
      </c>
      <c r="AO1202" t="s">
        <v>480</v>
      </c>
      <c r="AP1202" t="s">
        <v>481</v>
      </c>
      <c r="AQ1202" t="s">
        <v>548</v>
      </c>
      <c r="AR1202" t="s">
        <v>482</v>
      </c>
      <c r="AS1202" t="s">
        <v>483</v>
      </c>
      <c r="AT1202" t="s">
        <v>484</v>
      </c>
      <c r="AU1202" t="s">
        <v>521</v>
      </c>
      <c r="AW1202" t="s">
        <v>486</v>
      </c>
      <c r="BF1202" s="1" t="s">
        <v>1181</v>
      </c>
      <c r="BG1202" t="s">
        <v>523</v>
      </c>
      <c r="BH1202" t="s">
        <v>1029</v>
      </c>
      <c r="BP1202" t="s">
        <v>1489</v>
      </c>
    </row>
    <row r="1203" spans="1:68" x14ac:dyDescent="0.25">
      <c r="A1203" t="s">
        <v>5713</v>
      </c>
      <c r="B1203" t="s">
        <v>474</v>
      </c>
      <c r="C1203" t="s">
        <v>1486</v>
      </c>
      <c r="E1203" t="s">
        <v>1008</v>
      </c>
      <c r="G1203" s="1" t="s">
        <v>3951</v>
      </c>
      <c r="H1203" t="s">
        <v>980</v>
      </c>
      <c r="J1203">
        <v>664011</v>
      </c>
      <c r="M1203">
        <v>1611</v>
      </c>
      <c r="P1203" t="s">
        <v>89</v>
      </c>
      <c r="R1203" t="s">
        <v>918</v>
      </c>
      <c r="S1203" t="s">
        <v>4082</v>
      </c>
      <c r="T1203" t="s">
        <v>4083</v>
      </c>
      <c r="V1203" t="s">
        <v>4084</v>
      </c>
      <c r="W1203" t="s">
        <v>73</v>
      </c>
      <c r="AE1203" t="s">
        <v>478</v>
      </c>
      <c r="AF1203" t="s">
        <v>479</v>
      </c>
      <c r="AL1203" t="s">
        <v>919</v>
      </c>
      <c r="AM1203" t="s">
        <v>919</v>
      </c>
      <c r="AO1203" t="s">
        <v>480</v>
      </c>
      <c r="AP1203" t="s">
        <v>481</v>
      </c>
      <c r="AQ1203" t="s">
        <v>561</v>
      </c>
      <c r="AR1203" t="s">
        <v>482</v>
      </c>
      <c r="AS1203" t="s">
        <v>483</v>
      </c>
      <c r="AT1203" t="s">
        <v>484</v>
      </c>
      <c r="AU1203" t="s">
        <v>521</v>
      </c>
      <c r="AW1203" t="s">
        <v>486</v>
      </c>
      <c r="BF1203" s="1" t="s">
        <v>1181</v>
      </c>
      <c r="BG1203" t="s">
        <v>523</v>
      </c>
      <c r="BH1203" t="s">
        <v>1029</v>
      </c>
      <c r="BP1203" t="s">
        <v>1489</v>
      </c>
    </row>
    <row r="1204" spans="1:68" x14ac:dyDescent="0.25">
      <c r="A1204" t="s">
        <v>5713</v>
      </c>
      <c r="B1204" t="s">
        <v>474</v>
      </c>
      <c r="C1204" t="s">
        <v>1486</v>
      </c>
      <c r="E1204" t="s">
        <v>1008</v>
      </c>
      <c r="G1204" s="1" t="s">
        <v>3951</v>
      </c>
      <c r="H1204" t="s">
        <v>1148</v>
      </c>
      <c r="J1204">
        <v>664011</v>
      </c>
      <c r="M1204">
        <v>1611</v>
      </c>
      <c r="P1204" t="s">
        <v>157</v>
      </c>
      <c r="R1204" t="s">
        <v>918</v>
      </c>
      <c r="S1204" t="s">
        <v>4085</v>
      </c>
      <c r="T1204" t="s">
        <v>4086</v>
      </c>
      <c r="V1204" t="s">
        <v>4087</v>
      </c>
      <c r="W1204" t="s">
        <v>73</v>
      </c>
      <c r="AE1204" t="s">
        <v>478</v>
      </c>
      <c r="AF1204" t="s">
        <v>479</v>
      </c>
      <c r="AL1204" t="s">
        <v>919</v>
      </c>
      <c r="AM1204" t="s">
        <v>919</v>
      </c>
      <c r="AO1204" t="s">
        <v>480</v>
      </c>
      <c r="AP1204" t="s">
        <v>481</v>
      </c>
      <c r="AQ1204" t="s">
        <v>667</v>
      </c>
      <c r="AR1204" t="s">
        <v>482</v>
      </c>
      <c r="AS1204" t="s">
        <v>483</v>
      </c>
      <c r="AT1204" t="s">
        <v>484</v>
      </c>
      <c r="AU1204" t="s">
        <v>521</v>
      </c>
      <c r="AW1204" t="s">
        <v>486</v>
      </c>
      <c r="BF1204" s="1" t="s">
        <v>1181</v>
      </c>
      <c r="BG1204" t="s">
        <v>523</v>
      </c>
      <c r="BH1204" t="s">
        <v>1029</v>
      </c>
      <c r="BP1204" t="s">
        <v>1489</v>
      </c>
    </row>
    <row r="1205" spans="1:68" x14ac:dyDescent="0.25">
      <c r="A1205" t="s">
        <v>5713</v>
      </c>
      <c r="B1205" t="s">
        <v>474</v>
      </c>
      <c r="C1205" t="s">
        <v>1486</v>
      </c>
      <c r="E1205" t="s">
        <v>1008</v>
      </c>
      <c r="G1205" s="1" t="s">
        <v>3951</v>
      </c>
      <c r="H1205" t="s">
        <v>1150</v>
      </c>
      <c r="J1205">
        <v>664011</v>
      </c>
      <c r="M1205">
        <v>1611</v>
      </c>
      <c r="P1205" t="s">
        <v>119</v>
      </c>
      <c r="R1205" t="s">
        <v>918</v>
      </c>
      <c r="S1205" t="s">
        <v>4088</v>
      </c>
      <c r="T1205" t="s">
        <v>4089</v>
      </c>
      <c r="V1205" t="s">
        <v>4090</v>
      </c>
      <c r="W1205" t="s">
        <v>73</v>
      </c>
      <c r="AE1205" t="s">
        <v>478</v>
      </c>
      <c r="AF1205" t="s">
        <v>479</v>
      </c>
      <c r="AL1205" t="s">
        <v>919</v>
      </c>
      <c r="AM1205" t="s">
        <v>919</v>
      </c>
      <c r="AO1205" t="s">
        <v>480</v>
      </c>
      <c r="AP1205" t="s">
        <v>481</v>
      </c>
      <c r="AQ1205" t="s">
        <v>756</v>
      </c>
      <c r="AR1205" t="s">
        <v>482</v>
      </c>
      <c r="AS1205" t="s">
        <v>483</v>
      </c>
      <c r="AT1205" t="s">
        <v>484</v>
      </c>
      <c r="AU1205" t="s">
        <v>521</v>
      </c>
      <c r="AW1205" t="s">
        <v>486</v>
      </c>
      <c r="BF1205" s="1" t="s">
        <v>1181</v>
      </c>
      <c r="BG1205" t="s">
        <v>523</v>
      </c>
      <c r="BH1205" t="s">
        <v>1029</v>
      </c>
      <c r="BP1205" t="s">
        <v>1489</v>
      </c>
    </row>
    <row r="1206" spans="1:68" x14ac:dyDescent="0.25">
      <c r="A1206" t="s">
        <v>5713</v>
      </c>
      <c r="B1206" t="s">
        <v>474</v>
      </c>
      <c r="C1206" t="s">
        <v>1486</v>
      </c>
      <c r="E1206" t="s">
        <v>1008</v>
      </c>
      <c r="G1206" s="1" t="s">
        <v>3951</v>
      </c>
      <c r="H1206" t="s">
        <v>1152</v>
      </c>
      <c r="J1206">
        <v>664011</v>
      </c>
      <c r="M1206">
        <v>1611</v>
      </c>
      <c r="P1206" t="s">
        <v>76</v>
      </c>
      <c r="R1206" t="s">
        <v>918</v>
      </c>
      <c r="S1206" t="s">
        <v>4091</v>
      </c>
      <c r="T1206" t="s">
        <v>4092</v>
      </c>
      <c r="V1206" t="s">
        <v>4093</v>
      </c>
      <c r="W1206" t="s">
        <v>73</v>
      </c>
      <c r="AE1206" t="s">
        <v>478</v>
      </c>
      <c r="AF1206" t="s">
        <v>479</v>
      </c>
      <c r="AL1206" t="s">
        <v>919</v>
      </c>
      <c r="AM1206" t="s">
        <v>919</v>
      </c>
      <c r="AO1206" t="s">
        <v>480</v>
      </c>
      <c r="AP1206" t="s">
        <v>481</v>
      </c>
      <c r="AQ1206" t="s">
        <v>558</v>
      </c>
      <c r="AR1206" t="s">
        <v>482</v>
      </c>
      <c r="AS1206" t="s">
        <v>483</v>
      </c>
      <c r="AT1206" t="s">
        <v>484</v>
      </c>
      <c r="AU1206" t="s">
        <v>521</v>
      </c>
      <c r="AW1206" t="s">
        <v>486</v>
      </c>
      <c r="BF1206" s="1" t="s">
        <v>1181</v>
      </c>
      <c r="BG1206" t="s">
        <v>523</v>
      </c>
      <c r="BH1206" t="s">
        <v>1029</v>
      </c>
      <c r="BP1206" t="s">
        <v>1489</v>
      </c>
    </row>
    <row r="1207" spans="1:68" x14ac:dyDescent="0.25">
      <c r="A1207" t="s">
        <v>5713</v>
      </c>
      <c r="B1207" t="s">
        <v>474</v>
      </c>
      <c r="C1207" t="s">
        <v>1486</v>
      </c>
      <c r="E1207" t="s">
        <v>1008</v>
      </c>
      <c r="G1207" s="1" t="s">
        <v>3951</v>
      </c>
      <c r="H1207" t="s">
        <v>1154</v>
      </c>
      <c r="J1207">
        <v>664011</v>
      </c>
      <c r="M1207">
        <v>1611</v>
      </c>
      <c r="P1207" t="s">
        <v>139</v>
      </c>
      <c r="R1207" t="s">
        <v>918</v>
      </c>
      <c r="S1207" t="s">
        <v>4094</v>
      </c>
      <c r="T1207" t="s">
        <v>4095</v>
      </c>
      <c r="V1207" t="s">
        <v>4096</v>
      </c>
      <c r="W1207" t="s">
        <v>73</v>
      </c>
      <c r="AE1207" t="s">
        <v>478</v>
      </c>
      <c r="AF1207" t="s">
        <v>479</v>
      </c>
      <c r="AL1207" t="s">
        <v>919</v>
      </c>
      <c r="AM1207" t="s">
        <v>919</v>
      </c>
      <c r="AO1207" t="s">
        <v>480</v>
      </c>
      <c r="AP1207" t="s">
        <v>481</v>
      </c>
      <c r="AQ1207" t="s">
        <v>618</v>
      </c>
      <c r="AR1207" t="s">
        <v>482</v>
      </c>
      <c r="AS1207" t="s">
        <v>483</v>
      </c>
      <c r="AT1207" t="s">
        <v>484</v>
      </c>
      <c r="AU1207" t="s">
        <v>521</v>
      </c>
      <c r="AW1207" t="s">
        <v>486</v>
      </c>
      <c r="BF1207" s="1" t="s">
        <v>1181</v>
      </c>
      <c r="BG1207" t="s">
        <v>523</v>
      </c>
      <c r="BH1207" t="s">
        <v>1029</v>
      </c>
      <c r="BP1207" t="s">
        <v>1489</v>
      </c>
    </row>
    <row r="1208" spans="1:68" x14ac:dyDescent="0.25">
      <c r="A1208" t="s">
        <v>5713</v>
      </c>
      <c r="B1208" t="s">
        <v>474</v>
      </c>
      <c r="C1208" t="s">
        <v>1486</v>
      </c>
      <c r="E1208" t="s">
        <v>1008</v>
      </c>
      <c r="G1208" s="1" t="s">
        <v>3951</v>
      </c>
      <c r="H1208" t="s">
        <v>981</v>
      </c>
      <c r="J1208">
        <v>664011</v>
      </c>
      <c r="M1208">
        <v>1611</v>
      </c>
      <c r="P1208" t="s">
        <v>95</v>
      </c>
      <c r="R1208" t="s">
        <v>918</v>
      </c>
      <c r="S1208" t="s">
        <v>4097</v>
      </c>
      <c r="T1208" t="s">
        <v>4098</v>
      </c>
      <c r="V1208" t="s">
        <v>4099</v>
      </c>
      <c r="W1208" t="s">
        <v>73</v>
      </c>
      <c r="AE1208" t="s">
        <v>478</v>
      </c>
      <c r="AF1208" t="s">
        <v>479</v>
      </c>
      <c r="AL1208" t="s">
        <v>919</v>
      </c>
      <c r="AM1208" t="s">
        <v>919</v>
      </c>
      <c r="AO1208" t="s">
        <v>480</v>
      </c>
      <c r="AP1208" t="s">
        <v>481</v>
      </c>
      <c r="AQ1208" t="s">
        <v>563</v>
      </c>
      <c r="AR1208" t="s">
        <v>482</v>
      </c>
      <c r="AS1208" t="s">
        <v>483</v>
      </c>
      <c r="AT1208" t="s">
        <v>484</v>
      </c>
      <c r="AU1208" t="s">
        <v>521</v>
      </c>
      <c r="AW1208" t="s">
        <v>486</v>
      </c>
      <c r="BF1208" s="1" t="s">
        <v>1181</v>
      </c>
      <c r="BG1208" t="s">
        <v>523</v>
      </c>
      <c r="BH1208" t="s">
        <v>1029</v>
      </c>
      <c r="BP1208" t="s">
        <v>1489</v>
      </c>
    </row>
    <row r="1209" spans="1:68" x14ac:dyDescent="0.25">
      <c r="A1209" t="s">
        <v>5713</v>
      </c>
      <c r="B1209" t="s">
        <v>474</v>
      </c>
      <c r="C1209" t="s">
        <v>1486</v>
      </c>
      <c r="E1209" t="s">
        <v>1008</v>
      </c>
      <c r="G1209" s="1" t="s">
        <v>3951</v>
      </c>
      <c r="H1209" t="s">
        <v>1157</v>
      </c>
      <c r="J1209">
        <v>664011</v>
      </c>
      <c r="M1209">
        <v>1611</v>
      </c>
      <c r="P1209" t="s">
        <v>125</v>
      </c>
      <c r="R1209" t="s">
        <v>918</v>
      </c>
      <c r="S1209" t="s">
        <v>4100</v>
      </c>
      <c r="T1209" t="s">
        <v>4101</v>
      </c>
      <c r="V1209" t="s">
        <v>4102</v>
      </c>
      <c r="W1209" t="s">
        <v>73</v>
      </c>
      <c r="AE1209" t="s">
        <v>478</v>
      </c>
      <c r="AF1209" t="s">
        <v>479</v>
      </c>
      <c r="AL1209" t="s">
        <v>919</v>
      </c>
      <c r="AM1209" t="s">
        <v>919</v>
      </c>
      <c r="AO1209" t="s">
        <v>480</v>
      </c>
      <c r="AP1209" t="s">
        <v>481</v>
      </c>
      <c r="AQ1209" t="s">
        <v>642</v>
      </c>
      <c r="AR1209" t="s">
        <v>482</v>
      </c>
      <c r="AS1209" t="s">
        <v>483</v>
      </c>
      <c r="AT1209" t="s">
        <v>484</v>
      </c>
      <c r="AU1209" t="s">
        <v>521</v>
      </c>
      <c r="AW1209" t="s">
        <v>486</v>
      </c>
      <c r="BF1209" s="1" t="s">
        <v>1181</v>
      </c>
      <c r="BG1209" t="s">
        <v>523</v>
      </c>
      <c r="BH1209" t="s">
        <v>1029</v>
      </c>
      <c r="BP1209" t="s">
        <v>1489</v>
      </c>
    </row>
    <row r="1210" spans="1:68" x14ac:dyDescent="0.25">
      <c r="A1210" t="s">
        <v>5713</v>
      </c>
      <c r="B1210" t="s">
        <v>474</v>
      </c>
      <c r="C1210" t="s">
        <v>1486</v>
      </c>
      <c r="E1210" t="s">
        <v>1008</v>
      </c>
      <c r="G1210" s="1" t="s">
        <v>3951</v>
      </c>
      <c r="H1210" t="s">
        <v>982</v>
      </c>
      <c r="J1210">
        <v>664011</v>
      </c>
      <c r="M1210">
        <v>1611</v>
      </c>
      <c r="P1210" t="s">
        <v>140</v>
      </c>
      <c r="R1210" t="s">
        <v>918</v>
      </c>
      <c r="S1210" t="s">
        <v>4103</v>
      </c>
      <c r="T1210" t="s">
        <v>4104</v>
      </c>
      <c r="V1210" t="s">
        <v>4105</v>
      </c>
      <c r="W1210" t="s">
        <v>73</v>
      </c>
      <c r="AE1210" t="s">
        <v>478</v>
      </c>
      <c r="AF1210" t="s">
        <v>479</v>
      </c>
      <c r="AL1210" t="s">
        <v>919</v>
      </c>
      <c r="AM1210" t="s">
        <v>919</v>
      </c>
      <c r="AO1210" t="s">
        <v>480</v>
      </c>
      <c r="AP1210" t="s">
        <v>481</v>
      </c>
      <c r="AQ1210" t="s">
        <v>681</v>
      </c>
      <c r="AR1210" t="s">
        <v>482</v>
      </c>
      <c r="AS1210" t="s">
        <v>483</v>
      </c>
      <c r="AT1210" t="s">
        <v>484</v>
      </c>
      <c r="AU1210" t="s">
        <v>521</v>
      </c>
      <c r="AW1210" t="s">
        <v>486</v>
      </c>
      <c r="BF1210" s="1" t="s">
        <v>1181</v>
      </c>
      <c r="BG1210" t="s">
        <v>523</v>
      </c>
      <c r="BH1210" t="s">
        <v>1029</v>
      </c>
      <c r="BP1210" t="s">
        <v>1489</v>
      </c>
    </row>
    <row r="1211" spans="1:68" x14ac:dyDescent="0.25">
      <c r="A1211" t="s">
        <v>5713</v>
      </c>
      <c r="B1211" t="s">
        <v>474</v>
      </c>
      <c r="C1211" t="s">
        <v>1486</v>
      </c>
      <c r="E1211" t="s">
        <v>1008</v>
      </c>
      <c r="G1211" s="1" t="s">
        <v>3951</v>
      </c>
      <c r="H1211" t="s">
        <v>983</v>
      </c>
      <c r="J1211">
        <v>664011</v>
      </c>
      <c r="M1211">
        <v>1611</v>
      </c>
      <c r="P1211" t="s">
        <v>87</v>
      </c>
      <c r="R1211" t="s">
        <v>918</v>
      </c>
      <c r="S1211" t="s">
        <v>4106</v>
      </c>
      <c r="T1211" t="s">
        <v>4107</v>
      </c>
      <c r="V1211" t="s">
        <v>4108</v>
      </c>
      <c r="W1211" t="s">
        <v>73</v>
      </c>
      <c r="AE1211" t="s">
        <v>478</v>
      </c>
      <c r="AF1211" t="s">
        <v>479</v>
      </c>
      <c r="AL1211" t="s">
        <v>919</v>
      </c>
      <c r="AM1211" t="s">
        <v>919</v>
      </c>
      <c r="AO1211" t="s">
        <v>480</v>
      </c>
      <c r="AP1211" t="s">
        <v>481</v>
      </c>
      <c r="AQ1211" t="s">
        <v>552</v>
      </c>
      <c r="AR1211" t="s">
        <v>482</v>
      </c>
      <c r="AS1211" t="s">
        <v>483</v>
      </c>
      <c r="AT1211" t="s">
        <v>484</v>
      </c>
      <c r="AU1211" t="s">
        <v>521</v>
      </c>
      <c r="AW1211" t="s">
        <v>486</v>
      </c>
      <c r="BF1211" s="1" t="s">
        <v>1181</v>
      </c>
      <c r="BG1211" t="s">
        <v>523</v>
      </c>
      <c r="BH1211" t="s">
        <v>1029</v>
      </c>
      <c r="BP1211" t="s">
        <v>1489</v>
      </c>
    </row>
    <row r="1212" spans="1:68" x14ac:dyDescent="0.25">
      <c r="A1212" t="s">
        <v>5713</v>
      </c>
      <c r="B1212" t="s">
        <v>474</v>
      </c>
      <c r="C1212" t="s">
        <v>1486</v>
      </c>
      <c r="E1212" t="s">
        <v>1008</v>
      </c>
      <c r="G1212" s="1" t="s">
        <v>3951</v>
      </c>
      <c r="H1212" t="s">
        <v>1161</v>
      </c>
      <c r="J1212">
        <v>664011</v>
      </c>
      <c r="M1212">
        <v>1611</v>
      </c>
      <c r="P1212" t="s">
        <v>169</v>
      </c>
      <c r="R1212" t="s">
        <v>918</v>
      </c>
      <c r="S1212" t="s">
        <v>4109</v>
      </c>
      <c r="T1212" t="s">
        <v>4110</v>
      </c>
      <c r="V1212" t="s">
        <v>4111</v>
      </c>
      <c r="W1212" t="s">
        <v>73</v>
      </c>
      <c r="AE1212" t="s">
        <v>478</v>
      </c>
      <c r="AF1212" t="s">
        <v>479</v>
      </c>
      <c r="AL1212" t="s">
        <v>919</v>
      </c>
      <c r="AM1212" t="s">
        <v>919</v>
      </c>
      <c r="AO1212" t="s">
        <v>480</v>
      </c>
      <c r="AP1212" t="s">
        <v>481</v>
      </c>
      <c r="AQ1212" t="s">
        <v>852</v>
      </c>
      <c r="AR1212" t="s">
        <v>482</v>
      </c>
      <c r="AS1212" t="s">
        <v>483</v>
      </c>
      <c r="AT1212" t="s">
        <v>484</v>
      </c>
      <c r="AU1212" t="s">
        <v>521</v>
      </c>
      <c r="AW1212" t="s">
        <v>486</v>
      </c>
      <c r="BF1212" s="1" t="s">
        <v>1181</v>
      </c>
      <c r="BG1212" t="s">
        <v>523</v>
      </c>
      <c r="BH1212" t="s">
        <v>1029</v>
      </c>
      <c r="BP1212" t="s">
        <v>1489</v>
      </c>
    </row>
    <row r="1213" spans="1:68" x14ac:dyDescent="0.25">
      <c r="A1213" t="s">
        <v>5713</v>
      </c>
      <c r="B1213" t="s">
        <v>474</v>
      </c>
      <c r="C1213" t="s">
        <v>1486</v>
      </c>
      <c r="E1213" t="s">
        <v>1008</v>
      </c>
      <c r="G1213" s="1" t="s">
        <v>3951</v>
      </c>
      <c r="H1213" t="s">
        <v>1163</v>
      </c>
      <c r="J1213">
        <v>664011</v>
      </c>
      <c r="M1213">
        <v>1611</v>
      </c>
      <c r="P1213" t="s">
        <v>170</v>
      </c>
      <c r="R1213" t="s">
        <v>918</v>
      </c>
      <c r="S1213" t="s">
        <v>4112</v>
      </c>
      <c r="T1213" t="s">
        <v>4113</v>
      </c>
      <c r="V1213" t="s">
        <v>4114</v>
      </c>
      <c r="W1213" t="s">
        <v>73</v>
      </c>
      <c r="AE1213" t="s">
        <v>478</v>
      </c>
      <c r="AF1213" t="s">
        <v>479</v>
      </c>
      <c r="AL1213" t="s">
        <v>919</v>
      </c>
      <c r="AM1213" t="s">
        <v>919</v>
      </c>
      <c r="AO1213" t="s">
        <v>480</v>
      </c>
      <c r="AP1213" t="s">
        <v>481</v>
      </c>
      <c r="AQ1213" t="s">
        <v>854</v>
      </c>
      <c r="AR1213" t="s">
        <v>482</v>
      </c>
      <c r="AS1213" t="s">
        <v>483</v>
      </c>
      <c r="AT1213" t="s">
        <v>484</v>
      </c>
      <c r="AU1213" t="s">
        <v>521</v>
      </c>
      <c r="AW1213" t="s">
        <v>486</v>
      </c>
      <c r="BF1213" s="1" t="s">
        <v>1181</v>
      </c>
      <c r="BG1213" t="s">
        <v>523</v>
      </c>
      <c r="BH1213" t="s">
        <v>1029</v>
      </c>
      <c r="BP1213" t="s">
        <v>1489</v>
      </c>
    </row>
    <row r="1214" spans="1:68" x14ac:dyDescent="0.25">
      <c r="A1214" t="s">
        <v>5713</v>
      </c>
      <c r="B1214" t="s">
        <v>474</v>
      </c>
      <c r="C1214" t="s">
        <v>1486</v>
      </c>
      <c r="E1214" t="s">
        <v>1008</v>
      </c>
      <c r="G1214" s="1" t="s">
        <v>3951</v>
      </c>
      <c r="H1214" t="s">
        <v>1165</v>
      </c>
      <c r="J1214">
        <v>664011</v>
      </c>
      <c r="M1214">
        <v>1611</v>
      </c>
      <c r="P1214" t="s">
        <v>156</v>
      </c>
      <c r="R1214" t="s">
        <v>918</v>
      </c>
      <c r="S1214" t="s">
        <v>4115</v>
      </c>
      <c r="T1214" t="s">
        <v>4116</v>
      </c>
      <c r="V1214" t="s">
        <v>4117</v>
      </c>
      <c r="W1214" t="s">
        <v>73</v>
      </c>
      <c r="AE1214" t="s">
        <v>478</v>
      </c>
      <c r="AF1214" t="s">
        <v>479</v>
      </c>
      <c r="AL1214" t="s">
        <v>919</v>
      </c>
      <c r="AM1214" t="s">
        <v>919</v>
      </c>
      <c r="AO1214" t="s">
        <v>480</v>
      </c>
      <c r="AP1214" t="s">
        <v>481</v>
      </c>
      <c r="AQ1214" t="s">
        <v>615</v>
      </c>
      <c r="AR1214" t="s">
        <v>482</v>
      </c>
      <c r="AS1214" t="s">
        <v>483</v>
      </c>
      <c r="AT1214" t="s">
        <v>484</v>
      </c>
      <c r="AU1214" t="s">
        <v>521</v>
      </c>
      <c r="AW1214" t="s">
        <v>486</v>
      </c>
      <c r="BF1214" s="1" t="s">
        <v>1181</v>
      </c>
      <c r="BG1214" t="s">
        <v>523</v>
      </c>
      <c r="BH1214" t="s">
        <v>1029</v>
      </c>
      <c r="BP1214" t="s">
        <v>1489</v>
      </c>
    </row>
    <row r="1215" spans="1:68" x14ac:dyDescent="0.25">
      <c r="A1215" t="s">
        <v>5713</v>
      </c>
      <c r="B1215" t="s">
        <v>474</v>
      </c>
      <c r="C1215" t="s">
        <v>1486</v>
      </c>
      <c r="E1215" t="s">
        <v>1008</v>
      </c>
      <c r="G1215" s="1" t="s">
        <v>3951</v>
      </c>
      <c r="H1215" t="s">
        <v>1167</v>
      </c>
      <c r="J1215">
        <v>664011</v>
      </c>
      <c r="M1215">
        <v>1611</v>
      </c>
      <c r="P1215" t="s">
        <v>105</v>
      </c>
      <c r="R1215" t="s">
        <v>918</v>
      </c>
      <c r="S1215" t="s">
        <v>4118</v>
      </c>
      <c r="T1215" t="s">
        <v>4119</v>
      </c>
      <c r="V1215" t="s">
        <v>4120</v>
      </c>
      <c r="W1215" t="s">
        <v>73</v>
      </c>
      <c r="AE1215" t="s">
        <v>478</v>
      </c>
      <c r="AF1215" t="s">
        <v>479</v>
      </c>
      <c r="AL1215" t="s">
        <v>919</v>
      </c>
      <c r="AM1215" t="s">
        <v>919</v>
      </c>
      <c r="AO1215" t="s">
        <v>480</v>
      </c>
      <c r="AP1215" t="s">
        <v>481</v>
      </c>
      <c r="AQ1215" t="s">
        <v>607</v>
      </c>
      <c r="AR1215" t="s">
        <v>482</v>
      </c>
      <c r="AS1215" t="s">
        <v>483</v>
      </c>
      <c r="AT1215" t="s">
        <v>484</v>
      </c>
      <c r="AU1215" t="s">
        <v>521</v>
      </c>
      <c r="AW1215" t="s">
        <v>486</v>
      </c>
      <c r="BF1215" s="1" t="s">
        <v>1181</v>
      </c>
      <c r="BG1215" t="s">
        <v>523</v>
      </c>
      <c r="BH1215" t="s">
        <v>1029</v>
      </c>
      <c r="BP1215" t="s">
        <v>1489</v>
      </c>
    </row>
    <row r="1216" spans="1:68" x14ac:dyDescent="0.25">
      <c r="A1216" t="s">
        <v>5713</v>
      </c>
      <c r="B1216" t="s">
        <v>474</v>
      </c>
      <c r="C1216" t="s">
        <v>1486</v>
      </c>
      <c r="E1216" t="s">
        <v>1008</v>
      </c>
      <c r="G1216" s="1" t="s">
        <v>3951</v>
      </c>
      <c r="H1216" t="s">
        <v>1169</v>
      </c>
      <c r="J1216">
        <v>664011</v>
      </c>
      <c r="M1216">
        <v>1611</v>
      </c>
      <c r="P1216" t="s">
        <v>158</v>
      </c>
      <c r="R1216" t="s">
        <v>918</v>
      </c>
      <c r="S1216" t="s">
        <v>4121</v>
      </c>
      <c r="T1216" t="s">
        <v>1192</v>
      </c>
      <c r="V1216" t="s">
        <v>4122</v>
      </c>
      <c r="W1216" t="s">
        <v>73</v>
      </c>
      <c r="AE1216" t="s">
        <v>478</v>
      </c>
      <c r="AF1216" t="s">
        <v>479</v>
      </c>
      <c r="AL1216" t="s">
        <v>919</v>
      </c>
      <c r="AM1216" t="s">
        <v>919</v>
      </c>
      <c r="AO1216" t="s">
        <v>480</v>
      </c>
      <c r="AP1216" t="s">
        <v>481</v>
      </c>
      <c r="AQ1216" t="s">
        <v>690</v>
      </c>
      <c r="AR1216" t="s">
        <v>482</v>
      </c>
      <c r="AS1216" t="s">
        <v>483</v>
      </c>
      <c r="AT1216" t="s">
        <v>484</v>
      </c>
      <c r="AU1216" t="s">
        <v>521</v>
      </c>
      <c r="AW1216" t="s">
        <v>486</v>
      </c>
      <c r="BF1216" s="1" t="s">
        <v>1181</v>
      </c>
      <c r="BG1216" t="s">
        <v>523</v>
      </c>
      <c r="BH1216" t="s">
        <v>1029</v>
      </c>
      <c r="BP1216" t="s">
        <v>1489</v>
      </c>
    </row>
    <row r="1217" spans="1:68" x14ac:dyDescent="0.25">
      <c r="A1217" t="s">
        <v>5713</v>
      </c>
      <c r="B1217" t="s">
        <v>474</v>
      </c>
      <c r="C1217" t="s">
        <v>1486</v>
      </c>
      <c r="E1217" t="s">
        <v>1008</v>
      </c>
      <c r="G1217" s="1" t="s">
        <v>3951</v>
      </c>
      <c r="H1217" t="s">
        <v>1171</v>
      </c>
      <c r="J1217">
        <v>664011</v>
      </c>
      <c r="M1217">
        <v>1611</v>
      </c>
      <c r="P1217" t="s">
        <v>104</v>
      </c>
      <c r="R1217" t="s">
        <v>918</v>
      </c>
      <c r="S1217" t="s">
        <v>4123</v>
      </c>
      <c r="T1217" t="s">
        <v>4124</v>
      </c>
      <c r="V1217" t="s">
        <v>4125</v>
      </c>
      <c r="W1217" t="s">
        <v>73</v>
      </c>
      <c r="AE1217" t="s">
        <v>478</v>
      </c>
      <c r="AF1217" t="s">
        <v>479</v>
      </c>
      <c r="AL1217" t="s">
        <v>919</v>
      </c>
      <c r="AM1217" t="s">
        <v>919</v>
      </c>
      <c r="AO1217" t="s">
        <v>480</v>
      </c>
      <c r="AP1217" t="s">
        <v>481</v>
      </c>
      <c r="AQ1217" t="s">
        <v>637</v>
      </c>
      <c r="AR1217" t="s">
        <v>482</v>
      </c>
      <c r="AS1217" t="s">
        <v>483</v>
      </c>
      <c r="AT1217" t="s">
        <v>484</v>
      </c>
      <c r="AU1217" t="s">
        <v>521</v>
      </c>
      <c r="AW1217" t="s">
        <v>486</v>
      </c>
      <c r="BF1217" s="1" t="s">
        <v>1181</v>
      </c>
      <c r="BG1217" t="s">
        <v>523</v>
      </c>
      <c r="BH1217" t="s">
        <v>1029</v>
      </c>
      <c r="BP1217" t="s">
        <v>1489</v>
      </c>
    </row>
    <row r="1218" spans="1:68" x14ac:dyDescent="0.25">
      <c r="A1218" t="s">
        <v>5713</v>
      </c>
      <c r="B1218" t="s">
        <v>474</v>
      </c>
      <c r="C1218" t="s">
        <v>1486</v>
      </c>
      <c r="E1218" t="s">
        <v>1008</v>
      </c>
      <c r="G1218" s="1" t="s">
        <v>3951</v>
      </c>
      <c r="H1218" t="s">
        <v>1173</v>
      </c>
      <c r="J1218">
        <v>664011</v>
      </c>
      <c r="M1218">
        <v>1611</v>
      </c>
      <c r="P1218" t="s">
        <v>113</v>
      </c>
      <c r="R1218" t="s">
        <v>918</v>
      </c>
      <c r="S1218" t="s">
        <v>4126</v>
      </c>
      <c r="T1218" t="s">
        <v>4127</v>
      </c>
      <c r="V1218" t="s">
        <v>4128</v>
      </c>
      <c r="W1218" t="s">
        <v>73</v>
      </c>
      <c r="AE1218" t="s">
        <v>478</v>
      </c>
      <c r="AF1218" t="s">
        <v>479</v>
      </c>
      <c r="AL1218" t="s">
        <v>919</v>
      </c>
      <c r="AM1218" t="s">
        <v>919</v>
      </c>
      <c r="AO1218" t="s">
        <v>480</v>
      </c>
      <c r="AP1218" t="s">
        <v>481</v>
      </c>
      <c r="AQ1218" t="s">
        <v>657</v>
      </c>
      <c r="AR1218" t="s">
        <v>482</v>
      </c>
      <c r="AS1218" t="s">
        <v>483</v>
      </c>
      <c r="AT1218" t="s">
        <v>484</v>
      </c>
      <c r="AU1218" t="s">
        <v>521</v>
      </c>
      <c r="AW1218" t="s">
        <v>486</v>
      </c>
      <c r="BF1218" s="1" t="s">
        <v>1181</v>
      </c>
      <c r="BG1218" t="s">
        <v>523</v>
      </c>
      <c r="BH1218" t="s">
        <v>1029</v>
      </c>
      <c r="BP1218" t="s">
        <v>1489</v>
      </c>
    </row>
    <row r="1219" spans="1:68" x14ac:dyDescent="0.25">
      <c r="A1219" t="s">
        <v>5713</v>
      </c>
      <c r="B1219" t="s">
        <v>474</v>
      </c>
      <c r="C1219" t="s">
        <v>1486</v>
      </c>
      <c r="E1219" t="s">
        <v>1008</v>
      </c>
      <c r="G1219" s="1" t="s">
        <v>3951</v>
      </c>
      <c r="H1219" t="s">
        <v>1194</v>
      </c>
      <c r="J1219">
        <v>664011</v>
      </c>
      <c r="M1219">
        <v>1611</v>
      </c>
      <c r="P1219" t="s">
        <v>72</v>
      </c>
      <c r="R1219" t="s">
        <v>918</v>
      </c>
      <c r="S1219" t="s">
        <v>4129</v>
      </c>
      <c r="T1219" t="s">
        <v>4130</v>
      </c>
      <c r="V1219" t="s">
        <v>4131</v>
      </c>
      <c r="W1219" t="s">
        <v>73</v>
      </c>
      <c r="AE1219" t="s">
        <v>478</v>
      </c>
      <c r="AF1219" t="s">
        <v>479</v>
      </c>
      <c r="AL1219" t="s">
        <v>919</v>
      </c>
      <c r="AM1219" t="s">
        <v>919</v>
      </c>
      <c r="AO1219" t="s">
        <v>480</v>
      </c>
      <c r="AP1219" t="s">
        <v>481</v>
      </c>
      <c r="AQ1219" t="s">
        <v>757</v>
      </c>
      <c r="AR1219" t="s">
        <v>482</v>
      </c>
      <c r="AS1219" t="s">
        <v>483</v>
      </c>
      <c r="AT1219" t="s">
        <v>484</v>
      </c>
      <c r="AU1219" t="s">
        <v>521</v>
      </c>
      <c r="AW1219" t="s">
        <v>486</v>
      </c>
      <c r="BF1219" s="1" t="s">
        <v>1181</v>
      </c>
      <c r="BG1219" t="s">
        <v>523</v>
      </c>
      <c r="BH1219" t="s">
        <v>1029</v>
      </c>
      <c r="BP1219" t="s">
        <v>1489</v>
      </c>
    </row>
    <row r="1220" spans="1:68" x14ac:dyDescent="0.25">
      <c r="A1220" t="s">
        <v>5713</v>
      </c>
      <c r="B1220" t="s">
        <v>474</v>
      </c>
      <c r="C1220" t="s">
        <v>1486</v>
      </c>
      <c r="E1220" t="s">
        <v>1008</v>
      </c>
      <c r="G1220" s="1" t="s">
        <v>3951</v>
      </c>
      <c r="H1220" t="s">
        <v>1195</v>
      </c>
      <c r="J1220">
        <v>664011</v>
      </c>
      <c r="M1220">
        <v>1611</v>
      </c>
      <c r="P1220" t="s">
        <v>77</v>
      </c>
      <c r="R1220" t="s">
        <v>918</v>
      </c>
      <c r="S1220" t="s">
        <v>4132</v>
      </c>
      <c r="T1220" t="s">
        <v>4133</v>
      </c>
      <c r="V1220" t="s">
        <v>4134</v>
      </c>
      <c r="W1220" t="s">
        <v>73</v>
      </c>
      <c r="AE1220" t="s">
        <v>478</v>
      </c>
      <c r="AF1220" t="s">
        <v>479</v>
      </c>
      <c r="AL1220" t="s">
        <v>919</v>
      </c>
      <c r="AM1220" t="s">
        <v>919</v>
      </c>
      <c r="AO1220" t="s">
        <v>480</v>
      </c>
      <c r="AP1220" t="s">
        <v>481</v>
      </c>
      <c r="AQ1220" t="s">
        <v>533</v>
      </c>
      <c r="AR1220" t="s">
        <v>482</v>
      </c>
      <c r="AS1220" t="s">
        <v>483</v>
      </c>
      <c r="AT1220" t="s">
        <v>484</v>
      </c>
      <c r="AU1220" t="s">
        <v>521</v>
      </c>
      <c r="AW1220" t="s">
        <v>486</v>
      </c>
      <c r="BF1220" s="1" t="s">
        <v>1181</v>
      </c>
      <c r="BG1220" t="s">
        <v>523</v>
      </c>
      <c r="BH1220" t="s">
        <v>1029</v>
      </c>
      <c r="BP1220" t="s">
        <v>1489</v>
      </c>
    </row>
    <row r="1221" spans="1:68" x14ac:dyDescent="0.25">
      <c r="A1221" t="s">
        <v>5713</v>
      </c>
      <c r="B1221" t="s">
        <v>474</v>
      </c>
      <c r="C1221" t="s">
        <v>1486</v>
      </c>
      <c r="E1221" t="s">
        <v>1008</v>
      </c>
      <c r="G1221" s="1" t="s">
        <v>3951</v>
      </c>
      <c r="H1221" t="s">
        <v>1196</v>
      </c>
      <c r="J1221">
        <v>664011</v>
      </c>
      <c r="M1221">
        <v>1611</v>
      </c>
      <c r="P1221" t="s">
        <v>97</v>
      </c>
      <c r="R1221" t="s">
        <v>918</v>
      </c>
      <c r="S1221" t="s">
        <v>4135</v>
      </c>
      <c r="T1221" t="s">
        <v>4136</v>
      </c>
      <c r="V1221" t="s">
        <v>4137</v>
      </c>
      <c r="W1221" t="s">
        <v>73</v>
      </c>
      <c r="AE1221" t="s">
        <v>478</v>
      </c>
      <c r="AF1221" t="s">
        <v>479</v>
      </c>
      <c r="AL1221" t="s">
        <v>919</v>
      </c>
      <c r="AM1221" t="s">
        <v>919</v>
      </c>
      <c r="AO1221" t="s">
        <v>480</v>
      </c>
      <c r="AP1221" t="s">
        <v>481</v>
      </c>
      <c r="AQ1221" t="s">
        <v>677</v>
      </c>
      <c r="AR1221" t="s">
        <v>482</v>
      </c>
      <c r="AS1221" t="s">
        <v>483</v>
      </c>
      <c r="AT1221" t="s">
        <v>484</v>
      </c>
      <c r="AU1221" t="s">
        <v>521</v>
      </c>
      <c r="AW1221" t="s">
        <v>486</v>
      </c>
      <c r="BF1221" s="1" t="s">
        <v>1181</v>
      </c>
      <c r="BG1221" t="s">
        <v>523</v>
      </c>
      <c r="BH1221" t="s">
        <v>1029</v>
      </c>
      <c r="BP1221" t="s">
        <v>1489</v>
      </c>
    </row>
    <row r="1222" spans="1:68" x14ac:dyDescent="0.25">
      <c r="A1222" t="s">
        <v>5713</v>
      </c>
      <c r="B1222" t="s">
        <v>474</v>
      </c>
      <c r="C1222" t="s">
        <v>1486</v>
      </c>
      <c r="E1222" t="s">
        <v>1008</v>
      </c>
      <c r="G1222" s="1" t="s">
        <v>3951</v>
      </c>
      <c r="H1222" t="s">
        <v>1197</v>
      </c>
      <c r="J1222">
        <v>664011</v>
      </c>
      <c r="M1222">
        <v>1611</v>
      </c>
      <c r="P1222" t="s">
        <v>75</v>
      </c>
      <c r="R1222" t="s">
        <v>918</v>
      </c>
      <c r="S1222" t="s">
        <v>4138</v>
      </c>
      <c r="T1222" t="s">
        <v>4139</v>
      </c>
      <c r="V1222" t="s">
        <v>4140</v>
      </c>
      <c r="W1222" t="s">
        <v>73</v>
      </c>
      <c r="AE1222" t="s">
        <v>478</v>
      </c>
      <c r="AF1222" t="s">
        <v>479</v>
      </c>
      <c r="AL1222" t="s">
        <v>919</v>
      </c>
      <c r="AM1222" t="s">
        <v>919</v>
      </c>
      <c r="AO1222" t="s">
        <v>480</v>
      </c>
      <c r="AP1222" t="s">
        <v>481</v>
      </c>
      <c r="AQ1222" t="s">
        <v>599</v>
      </c>
      <c r="AR1222" t="s">
        <v>482</v>
      </c>
      <c r="AS1222" t="s">
        <v>483</v>
      </c>
      <c r="AT1222" t="s">
        <v>484</v>
      </c>
      <c r="AU1222" t="s">
        <v>521</v>
      </c>
      <c r="AW1222" t="s">
        <v>486</v>
      </c>
      <c r="BF1222" s="1" t="s">
        <v>1181</v>
      </c>
      <c r="BG1222" t="s">
        <v>523</v>
      </c>
      <c r="BH1222" t="s">
        <v>1029</v>
      </c>
      <c r="BP1222" t="s">
        <v>1489</v>
      </c>
    </row>
    <row r="1223" spans="1:68" x14ac:dyDescent="0.25">
      <c r="A1223" t="s">
        <v>5713</v>
      </c>
      <c r="B1223" t="s">
        <v>474</v>
      </c>
      <c r="C1223" t="s">
        <v>1486</v>
      </c>
      <c r="E1223" t="s">
        <v>1008</v>
      </c>
      <c r="G1223" s="1" t="s">
        <v>3951</v>
      </c>
      <c r="H1223" t="s">
        <v>1198</v>
      </c>
      <c r="J1223">
        <v>664011</v>
      </c>
      <c r="M1223">
        <v>1611</v>
      </c>
      <c r="P1223" t="s">
        <v>112</v>
      </c>
      <c r="R1223" t="s">
        <v>918</v>
      </c>
      <c r="S1223" t="s">
        <v>4141</v>
      </c>
      <c r="T1223" t="s">
        <v>4142</v>
      </c>
      <c r="V1223" t="s">
        <v>4143</v>
      </c>
      <c r="W1223" t="s">
        <v>73</v>
      </c>
      <c r="AE1223" t="s">
        <v>478</v>
      </c>
      <c r="AF1223" t="s">
        <v>479</v>
      </c>
      <c r="AL1223" t="s">
        <v>919</v>
      </c>
      <c r="AM1223" t="s">
        <v>919</v>
      </c>
      <c r="AO1223" t="s">
        <v>480</v>
      </c>
      <c r="AP1223" t="s">
        <v>481</v>
      </c>
      <c r="AQ1223" t="s">
        <v>577</v>
      </c>
      <c r="AR1223" t="s">
        <v>482</v>
      </c>
      <c r="AS1223" t="s">
        <v>483</v>
      </c>
      <c r="AT1223" t="s">
        <v>484</v>
      </c>
      <c r="AU1223" t="s">
        <v>521</v>
      </c>
      <c r="AW1223" t="s">
        <v>486</v>
      </c>
      <c r="BF1223" s="1" t="s">
        <v>1181</v>
      </c>
      <c r="BG1223" t="s">
        <v>523</v>
      </c>
      <c r="BH1223" t="s">
        <v>1029</v>
      </c>
      <c r="BP1223" t="s">
        <v>1489</v>
      </c>
    </row>
    <row r="1224" spans="1:68" x14ac:dyDescent="0.25">
      <c r="A1224" t="s">
        <v>5713</v>
      </c>
      <c r="B1224" t="s">
        <v>474</v>
      </c>
      <c r="C1224" t="s">
        <v>1486</v>
      </c>
      <c r="E1224" t="s">
        <v>1008</v>
      </c>
      <c r="G1224" s="1" t="s">
        <v>3951</v>
      </c>
      <c r="H1224" t="s">
        <v>1199</v>
      </c>
      <c r="J1224">
        <v>664011</v>
      </c>
      <c r="M1224">
        <v>1611</v>
      </c>
      <c r="P1224" t="s">
        <v>120</v>
      </c>
      <c r="R1224" t="s">
        <v>918</v>
      </c>
      <c r="S1224" t="s">
        <v>4144</v>
      </c>
      <c r="T1224" t="s">
        <v>4145</v>
      </c>
      <c r="V1224" t="s">
        <v>4146</v>
      </c>
      <c r="W1224" t="s">
        <v>73</v>
      </c>
      <c r="AE1224" t="s">
        <v>478</v>
      </c>
      <c r="AF1224" t="s">
        <v>479</v>
      </c>
      <c r="AL1224" t="s">
        <v>919</v>
      </c>
      <c r="AM1224" t="s">
        <v>919</v>
      </c>
      <c r="AO1224" t="s">
        <v>480</v>
      </c>
      <c r="AP1224" t="s">
        <v>481</v>
      </c>
      <c r="AQ1224" t="s">
        <v>632</v>
      </c>
      <c r="AR1224" t="s">
        <v>482</v>
      </c>
      <c r="AS1224" t="s">
        <v>483</v>
      </c>
      <c r="AT1224" t="s">
        <v>484</v>
      </c>
      <c r="AU1224" t="s">
        <v>521</v>
      </c>
      <c r="AW1224" t="s">
        <v>486</v>
      </c>
      <c r="BF1224" s="1" t="s">
        <v>1181</v>
      </c>
      <c r="BG1224" t="s">
        <v>523</v>
      </c>
      <c r="BH1224" t="s">
        <v>1029</v>
      </c>
      <c r="BP1224" t="s">
        <v>1489</v>
      </c>
    </row>
    <row r="1225" spans="1:68" x14ac:dyDescent="0.25">
      <c r="A1225" t="s">
        <v>5713</v>
      </c>
      <c r="B1225" t="s">
        <v>474</v>
      </c>
      <c r="C1225" t="s">
        <v>1486</v>
      </c>
      <c r="E1225" t="s">
        <v>1008</v>
      </c>
      <c r="G1225" s="1" t="s">
        <v>3951</v>
      </c>
      <c r="H1225" t="s">
        <v>1200</v>
      </c>
      <c r="J1225">
        <v>664011</v>
      </c>
      <c r="M1225">
        <v>1611</v>
      </c>
      <c r="P1225" t="s">
        <v>91</v>
      </c>
      <c r="R1225" t="s">
        <v>918</v>
      </c>
      <c r="S1225" t="s">
        <v>4147</v>
      </c>
      <c r="T1225" t="s">
        <v>4148</v>
      </c>
      <c r="V1225" t="s">
        <v>4149</v>
      </c>
      <c r="W1225" t="s">
        <v>235</v>
      </c>
      <c r="AE1225" t="s">
        <v>478</v>
      </c>
      <c r="AF1225" t="s">
        <v>479</v>
      </c>
      <c r="AL1225" t="s">
        <v>919</v>
      </c>
      <c r="AM1225" t="s">
        <v>919</v>
      </c>
      <c r="AO1225" t="s">
        <v>480</v>
      </c>
      <c r="AP1225" t="s">
        <v>481</v>
      </c>
      <c r="AQ1225" t="s">
        <v>738</v>
      </c>
      <c r="AR1225" t="s">
        <v>482</v>
      </c>
      <c r="AS1225" t="s">
        <v>483</v>
      </c>
      <c r="AT1225" t="s">
        <v>484</v>
      </c>
      <c r="AU1225" t="s">
        <v>130</v>
      </c>
      <c r="AW1225" t="s">
        <v>486</v>
      </c>
      <c r="BF1225" s="1" t="s">
        <v>1181</v>
      </c>
      <c r="BG1225" t="s">
        <v>266</v>
      </c>
      <c r="BH1225" t="s">
        <v>1029</v>
      </c>
      <c r="BP1225" t="s">
        <v>1489</v>
      </c>
    </row>
    <row r="1226" spans="1:68" x14ac:dyDescent="0.25">
      <c r="A1226" t="s">
        <v>5713</v>
      </c>
      <c r="B1226" t="s">
        <v>474</v>
      </c>
      <c r="C1226" t="s">
        <v>1486</v>
      </c>
      <c r="E1226" t="s">
        <v>1008</v>
      </c>
      <c r="G1226" s="1" t="s">
        <v>3951</v>
      </c>
      <c r="H1226" t="s">
        <v>1201</v>
      </c>
      <c r="J1226">
        <v>664011</v>
      </c>
      <c r="M1226">
        <v>1611</v>
      </c>
      <c r="P1226" t="s">
        <v>143</v>
      </c>
      <c r="R1226" t="s">
        <v>918</v>
      </c>
      <c r="S1226" t="s">
        <v>4150</v>
      </c>
      <c r="T1226" t="s">
        <v>4151</v>
      </c>
      <c r="V1226" t="s">
        <v>4152</v>
      </c>
      <c r="W1226" t="s">
        <v>235</v>
      </c>
      <c r="AE1226" t="s">
        <v>478</v>
      </c>
      <c r="AF1226" t="s">
        <v>479</v>
      </c>
      <c r="AL1226" t="s">
        <v>919</v>
      </c>
      <c r="AM1226" t="s">
        <v>919</v>
      </c>
      <c r="AO1226" t="s">
        <v>480</v>
      </c>
      <c r="AP1226" t="s">
        <v>481</v>
      </c>
      <c r="AQ1226" t="s">
        <v>785</v>
      </c>
      <c r="AR1226" t="s">
        <v>482</v>
      </c>
      <c r="AS1226" t="s">
        <v>483</v>
      </c>
      <c r="AT1226" t="s">
        <v>484</v>
      </c>
      <c r="AU1226" t="s">
        <v>130</v>
      </c>
      <c r="AW1226" t="s">
        <v>486</v>
      </c>
      <c r="BF1226" s="1" t="s">
        <v>1181</v>
      </c>
      <c r="BG1226" t="s">
        <v>266</v>
      </c>
      <c r="BH1226" t="s">
        <v>1029</v>
      </c>
      <c r="BP1226" t="s">
        <v>1489</v>
      </c>
    </row>
    <row r="1227" spans="1:68" x14ac:dyDescent="0.25">
      <c r="A1227" t="s">
        <v>5713</v>
      </c>
      <c r="B1227" t="s">
        <v>474</v>
      </c>
      <c r="C1227" t="s">
        <v>1486</v>
      </c>
      <c r="E1227" t="s">
        <v>1008</v>
      </c>
      <c r="G1227" s="1" t="s">
        <v>3951</v>
      </c>
      <c r="H1227" t="s">
        <v>1202</v>
      </c>
      <c r="J1227">
        <v>664011</v>
      </c>
      <c r="M1227">
        <v>1611</v>
      </c>
      <c r="P1227" t="s">
        <v>92</v>
      </c>
      <c r="R1227" t="s">
        <v>918</v>
      </c>
      <c r="S1227" t="s">
        <v>4153</v>
      </c>
      <c r="T1227" t="s">
        <v>4154</v>
      </c>
      <c r="V1227" t="s">
        <v>4155</v>
      </c>
      <c r="W1227" t="s">
        <v>235</v>
      </c>
      <c r="AE1227" t="s">
        <v>478</v>
      </c>
      <c r="AF1227" t="s">
        <v>479</v>
      </c>
      <c r="AL1227" t="s">
        <v>919</v>
      </c>
      <c r="AM1227" t="s">
        <v>919</v>
      </c>
      <c r="AO1227" t="s">
        <v>480</v>
      </c>
      <c r="AP1227" t="s">
        <v>481</v>
      </c>
      <c r="AQ1227" t="s">
        <v>713</v>
      </c>
      <c r="AR1227" t="s">
        <v>482</v>
      </c>
      <c r="AS1227" t="s">
        <v>483</v>
      </c>
      <c r="AT1227" t="s">
        <v>484</v>
      </c>
      <c r="AU1227" t="s">
        <v>130</v>
      </c>
      <c r="AW1227" t="s">
        <v>486</v>
      </c>
      <c r="BF1227" s="1" t="s">
        <v>1181</v>
      </c>
      <c r="BG1227" t="s">
        <v>266</v>
      </c>
      <c r="BH1227" t="s">
        <v>1029</v>
      </c>
      <c r="BP1227" t="s">
        <v>1489</v>
      </c>
    </row>
    <row r="1228" spans="1:68" x14ac:dyDescent="0.25">
      <c r="A1228" t="s">
        <v>5713</v>
      </c>
      <c r="B1228" t="s">
        <v>474</v>
      </c>
      <c r="C1228" t="s">
        <v>1486</v>
      </c>
      <c r="E1228" t="s">
        <v>1008</v>
      </c>
      <c r="G1228" s="1" t="s">
        <v>3951</v>
      </c>
      <c r="H1228" t="s">
        <v>1203</v>
      </c>
      <c r="J1228">
        <v>664011</v>
      </c>
      <c r="M1228">
        <v>1611</v>
      </c>
      <c r="P1228" t="s">
        <v>96</v>
      </c>
      <c r="R1228" t="s">
        <v>918</v>
      </c>
      <c r="S1228" t="s">
        <v>4156</v>
      </c>
      <c r="T1228" t="s">
        <v>4157</v>
      </c>
      <c r="V1228" t="s">
        <v>4158</v>
      </c>
      <c r="W1228" t="s">
        <v>235</v>
      </c>
      <c r="AE1228" t="s">
        <v>478</v>
      </c>
      <c r="AF1228" t="s">
        <v>479</v>
      </c>
      <c r="AL1228" t="s">
        <v>919</v>
      </c>
      <c r="AM1228" t="s">
        <v>919</v>
      </c>
      <c r="AO1228" t="s">
        <v>480</v>
      </c>
      <c r="AP1228" t="s">
        <v>481</v>
      </c>
      <c r="AQ1228" t="s">
        <v>737</v>
      </c>
      <c r="AR1228" t="s">
        <v>482</v>
      </c>
      <c r="AS1228" t="s">
        <v>483</v>
      </c>
      <c r="AT1228" t="s">
        <v>484</v>
      </c>
      <c r="AU1228" t="s">
        <v>130</v>
      </c>
      <c r="AW1228" t="s">
        <v>486</v>
      </c>
      <c r="BF1228" s="1" t="s">
        <v>1181</v>
      </c>
      <c r="BG1228" t="s">
        <v>266</v>
      </c>
      <c r="BH1228" t="s">
        <v>1029</v>
      </c>
      <c r="BP1228" t="s">
        <v>1489</v>
      </c>
    </row>
    <row r="1229" spans="1:68" x14ac:dyDescent="0.25">
      <c r="A1229" t="s">
        <v>5713</v>
      </c>
      <c r="B1229" t="s">
        <v>474</v>
      </c>
      <c r="C1229" t="s">
        <v>1486</v>
      </c>
      <c r="E1229" t="s">
        <v>1008</v>
      </c>
      <c r="G1229" s="1" t="s">
        <v>3951</v>
      </c>
      <c r="H1229" t="s">
        <v>1204</v>
      </c>
      <c r="J1229">
        <v>664011</v>
      </c>
      <c r="M1229">
        <v>1611</v>
      </c>
      <c r="P1229" t="s">
        <v>90</v>
      </c>
      <c r="R1229" t="s">
        <v>918</v>
      </c>
      <c r="S1229" t="s">
        <v>4159</v>
      </c>
      <c r="T1229" t="s">
        <v>4160</v>
      </c>
      <c r="V1229" t="s">
        <v>4161</v>
      </c>
      <c r="W1229" t="s">
        <v>235</v>
      </c>
      <c r="AE1229" t="s">
        <v>478</v>
      </c>
      <c r="AF1229" t="s">
        <v>479</v>
      </c>
      <c r="AL1229" t="s">
        <v>919</v>
      </c>
      <c r="AM1229" t="s">
        <v>919</v>
      </c>
      <c r="AO1229" t="s">
        <v>480</v>
      </c>
      <c r="AP1229" t="s">
        <v>481</v>
      </c>
      <c r="AQ1229" t="s">
        <v>740</v>
      </c>
      <c r="AR1229" t="s">
        <v>482</v>
      </c>
      <c r="AS1229" t="s">
        <v>483</v>
      </c>
      <c r="AT1229" t="s">
        <v>484</v>
      </c>
      <c r="AU1229" t="s">
        <v>130</v>
      </c>
      <c r="AW1229" t="s">
        <v>486</v>
      </c>
      <c r="BF1229" s="1" t="s">
        <v>1181</v>
      </c>
      <c r="BG1229" t="s">
        <v>266</v>
      </c>
      <c r="BH1229" t="s">
        <v>1029</v>
      </c>
      <c r="BP1229" t="s">
        <v>1489</v>
      </c>
    </row>
    <row r="1230" spans="1:68" x14ac:dyDescent="0.25">
      <c r="A1230" t="s">
        <v>5713</v>
      </c>
      <c r="B1230" t="s">
        <v>474</v>
      </c>
      <c r="C1230" t="s">
        <v>1486</v>
      </c>
      <c r="E1230" t="s">
        <v>1008</v>
      </c>
      <c r="G1230" s="1" t="s">
        <v>3951</v>
      </c>
      <c r="H1230" t="s">
        <v>1362</v>
      </c>
      <c r="J1230">
        <v>664011</v>
      </c>
      <c r="M1230">
        <v>1611</v>
      </c>
      <c r="P1230" t="s">
        <v>100</v>
      </c>
      <c r="R1230" t="s">
        <v>918</v>
      </c>
      <c r="S1230" t="s">
        <v>4162</v>
      </c>
      <c r="T1230" t="s">
        <v>4163</v>
      </c>
      <c r="V1230" t="s">
        <v>4164</v>
      </c>
      <c r="W1230" t="s">
        <v>235</v>
      </c>
      <c r="AE1230" t="s">
        <v>478</v>
      </c>
      <c r="AF1230" t="s">
        <v>479</v>
      </c>
      <c r="AL1230" t="s">
        <v>919</v>
      </c>
      <c r="AM1230" t="s">
        <v>919</v>
      </c>
      <c r="AO1230" t="s">
        <v>480</v>
      </c>
      <c r="AP1230" t="s">
        <v>481</v>
      </c>
      <c r="AQ1230" t="s">
        <v>709</v>
      </c>
      <c r="AR1230" t="s">
        <v>482</v>
      </c>
      <c r="AS1230" t="s">
        <v>483</v>
      </c>
      <c r="AT1230" t="s">
        <v>484</v>
      </c>
      <c r="AU1230" t="s">
        <v>130</v>
      </c>
      <c r="AW1230" t="s">
        <v>486</v>
      </c>
      <c r="BF1230" s="1" t="s">
        <v>1181</v>
      </c>
      <c r="BG1230" t="s">
        <v>266</v>
      </c>
      <c r="BH1230" t="s">
        <v>1029</v>
      </c>
      <c r="BP1230" t="s">
        <v>1489</v>
      </c>
    </row>
    <row r="1231" spans="1:68" x14ac:dyDescent="0.25">
      <c r="A1231" t="s">
        <v>5713</v>
      </c>
      <c r="B1231" t="s">
        <v>474</v>
      </c>
      <c r="C1231" t="s">
        <v>1486</v>
      </c>
      <c r="E1231" t="s">
        <v>1008</v>
      </c>
      <c r="G1231" s="1" t="s">
        <v>3951</v>
      </c>
      <c r="H1231" t="s">
        <v>1206</v>
      </c>
      <c r="J1231">
        <v>664011</v>
      </c>
      <c r="M1231">
        <v>1611</v>
      </c>
      <c r="P1231" t="s">
        <v>117</v>
      </c>
      <c r="R1231" t="s">
        <v>918</v>
      </c>
      <c r="S1231" t="s">
        <v>4165</v>
      </c>
      <c r="T1231" t="s">
        <v>4166</v>
      </c>
      <c r="V1231" t="s">
        <v>4167</v>
      </c>
      <c r="W1231" t="s">
        <v>235</v>
      </c>
      <c r="AE1231" t="s">
        <v>478</v>
      </c>
      <c r="AF1231" t="s">
        <v>479</v>
      </c>
      <c r="AL1231" t="s">
        <v>919</v>
      </c>
      <c r="AM1231" t="s">
        <v>919</v>
      </c>
      <c r="AO1231" t="s">
        <v>480</v>
      </c>
      <c r="AP1231" t="s">
        <v>481</v>
      </c>
      <c r="AQ1231" t="s">
        <v>718</v>
      </c>
      <c r="AR1231" t="s">
        <v>482</v>
      </c>
      <c r="AS1231" t="s">
        <v>483</v>
      </c>
      <c r="AT1231" t="s">
        <v>484</v>
      </c>
      <c r="AU1231" t="s">
        <v>130</v>
      </c>
      <c r="AW1231" t="s">
        <v>486</v>
      </c>
      <c r="BF1231" s="1" t="s">
        <v>1181</v>
      </c>
      <c r="BG1231" t="s">
        <v>266</v>
      </c>
      <c r="BH1231" t="s">
        <v>1029</v>
      </c>
      <c r="BP1231" t="s">
        <v>1489</v>
      </c>
    </row>
    <row r="1232" spans="1:68" x14ac:dyDescent="0.25">
      <c r="A1232" t="s">
        <v>5713</v>
      </c>
      <c r="B1232" t="s">
        <v>474</v>
      </c>
      <c r="C1232" t="s">
        <v>1486</v>
      </c>
      <c r="E1232" t="s">
        <v>1008</v>
      </c>
      <c r="G1232" s="1" t="s">
        <v>3951</v>
      </c>
      <c r="H1232" t="s">
        <v>1208</v>
      </c>
      <c r="J1232">
        <v>664011</v>
      </c>
      <c r="M1232">
        <v>1611</v>
      </c>
      <c r="P1232" t="s">
        <v>118</v>
      </c>
      <c r="R1232" t="s">
        <v>918</v>
      </c>
      <c r="S1232" t="s">
        <v>4168</v>
      </c>
      <c r="T1232" t="s">
        <v>4169</v>
      </c>
      <c r="V1232" t="s">
        <v>4170</v>
      </c>
      <c r="W1232" t="s">
        <v>235</v>
      </c>
      <c r="AE1232" t="s">
        <v>478</v>
      </c>
      <c r="AF1232" t="s">
        <v>479</v>
      </c>
      <c r="AL1232" t="s">
        <v>919</v>
      </c>
      <c r="AM1232" t="s">
        <v>919</v>
      </c>
      <c r="AO1232" t="s">
        <v>480</v>
      </c>
      <c r="AP1232" t="s">
        <v>481</v>
      </c>
      <c r="AQ1232" t="s">
        <v>705</v>
      </c>
      <c r="AR1232" t="s">
        <v>482</v>
      </c>
      <c r="AS1232" t="s">
        <v>483</v>
      </c>
      <c r="AT1232" t="s">
        <v>484</v>
      </c>
      <c r="AU1232" t="s">
        <v>130</v>
      </c>
      <c r="AW1232" t="s">
        <v>486</v>
      </c>
      <c r="BF1232" s="1" t="s">
        <v>1181</v>
      </c>
      <c r="BG1232" t="s">
        <v>266</v>
      </c>
      <c r="BH1232" t="s">
        <v>1029</v>
      </c>
      <c r="BP1232" t="s">
        <v>1489</v>
      </c>
    </row>
    <row r="1233" spans="1:68" x14ac:dyDescent="0.25">
      <c r="A1233" t="s">
        <v>5713</v>
      </c>
      <c r="B1233" t="s">
        <v>474</v>
      </c>
      <c r="C1233" t="s">
        <v>1486</v>
      </c>
      <c r="E1233" t="s">
        <v>1008</v>
      </c>
      <c r="G1233" s="1" t="s">
        <v>3951</v>
      </c>
      <c r="H1233" t="s">
        <v>1209</v>
      </c>
      <c r="J1233">
        <v>664011</v>
      </c>
      <c r="M1233">
        <v>1611</v>
      </c>
      <c r="P1233" t="s">
        <v>122</v>
      </c>
      <c r="R1233" t="s">
        <v>918</v>
      </c>
      <c r="S1233" t="s">
        <v>4171</v>
      </c>
      <c r="T1233" t="s">
        <v>4172</v>
      </c>
      <c r="V1233" t="s">
        <v>4173</v>
      </c>
      <c r="W1233" t="s">
        <v>235</v>
      </c>
      <c r="AE1233" t="s">
        <v>478</v>
      </c>
      <c r="AF1233" t="s">
        <v>479</v>
      </c>
      <c r="AL1233" t="s">
        <v>919</v>
      </c>
      <c r="AM1233" t="s">
        <v>919</v>
      </c>
      <c r="AO1233" t="s">
        <v>480</v>
      </c>
      <c r="AP1233" t="s">
        <v>481</v>
      </c>
      <c r="AQ1233" t="s">
        <v>721</v>
      </c>
      <c r="AR1233" t="s">
        <v>482</v>
      </c>
      <c r="AS1233" t="s">
        <v>483</v>
      </c>
      <c r="AT1233" t="s">
        <v>484</v>
      </c>
      <c r="AU1233" t="s">
        <v>130</v>
      </c>
      <c r="AW1233" t="s">
        <v>486</v>
      </c>
      <c r="BF1233" s="1" t="s">
        <v>1181</v>
      </c>
      <c r="BG1233" t="s">
        <v>266</v>
      </c>
      <c r="BH1233" t="s">
        <v>1029</v>
      </c>
      <c r="BP1233" t="s">
        <v>1489</v>
      </c>
    </row>
    <row r="1234" spans="1:68" x14ac:dyDescent="0.25">
      <c r="A1234" t="s">
        <v>5713</v>
      </c>
      <c r="B1234" t="s">
        <v>474</v>
      </c>
      <c r="C1234" t="s">
        <v>1486</v>
      </c>
      <c r="E1234" t="s">
        <v>1008</v>
      </c>
      <c r="G1234" s="1" t="s">
        <v>3951</v>
      </c>
      <c r="H1234" t="s">
        <v>1210</v>
      </c>
      <c r="J1234">
        <v>664011</v>
      </c>
      <c r="M1234">
        <v>1611</v>
      </c>
      <c r="P1234" t="s">
        <v>438</v>
      </c>
      <c r="R1234" t="s">
        <v>918</v>
      </c>
      <c r="S1234" t="s">
        <v>4174</v>
      </c>
      <c r="T1234" t="s">
        <v>4175</v>
      </c>
      <c r="V1234" t="s">
        <v>4176</v>
      </c>
      <c r="W1234" t="s">
        <v>235</v>
      </c>
      <c r="AE1234" t="s">
        <v>478</v>
      </c>
      <c r="AF1234" t="s">
        <v>479</v>
      </c>
      <c r="AL1234" t="s">
        <v>919</v>
      </c>
      <c r="AM1234" t="s">
        <v>919</v>
      </c>
      <c r="AO1234" t="s">
        <v>480</v>
      </c>
      <c r="AP1234" t="s">
        <v>481</v>
      </c>
      <c r="AQ1234" t="s">
        <v>1523</v>
      </c>
      <c r="AR1234" t="s">
        <v>482</v>
      </c>
      <c r="AS1234" t="s">
        <v>483</v>
      </c>
      <c r="AT1234" t="s">
        <v>484</v>
      </c>
      <c r="AU1234" t="s">
        <v>130</v>
      </c>
      <c r="AW1234" t="s">
        <v>486</v>
      </c>
      <c r="BF1234" s="1" t="s">
        <v>1181</v>
      </c>
      <c r="BG1234" t="s">
        <v>266</v>
      </c>
      <c r="BH1234" t="s">
        <v>1029</v>
      </c>
      <c r="BP1234" t="s">
        <v>1489</v>
      </c>
    </row>
    <row r="1235" spans="1:68" x14ac:dyDescent="0.25">
      <c r="A1235" t="s">
        <v>5713</v>
      </c>
      <c r="B1235" t="s">
        <v>474</v>
      </c>
      <c r="C1235" t="s">
        <v>2223</v>
      </c>
      <c r="E1235" t="s">
        <v>480</v>
      </c>
      <c r="G1235" s="1" t="s">
        <v>4177</v>
      </c>
      <c r="H1235" t="s">
        <v>476</v>
      </c>
      <c r="J1235">
        <v>500000</v>
      </c>
      <c r="M1235" t="s">
        <v>1418</v>
      </c>
      <c r="P1235" t="s">
        <v>149</v>
      </c>
      <c r="R1235" t="s">
        <v>761</v>
      </c>
      <c r="S1235" t="s">
        <v>4178</v>
      </c>
      <c r="T1235" t="s">
        <v>4179</v>
      </c>
      <c r="V1235" t="s">
        <v>1365</v>
      </c>
      <c r="W1235" t="s">
        <v>70</v>
      </c>
      <c r="AE1235" t="s">
        <v>478</v>
      </c>
      <c r="AF1235" t="s">
        <v>479</v>
      </c>
      <c r="AL1235" t="s">
        <v>919</v>
      </c>
      <c r="AM1235" t="s">
        <v>919</v>
      </c>
      <c r="AO1235" t="s">
        <v>480</v>
      </c>
      <c r="AP1235" t="s">
        <v>481</v>
      </c>
      <c r="AQ1235" t="s">
        <v>510</v>
      </c>
      <c r="AR1235" t="s">
        <v>482</v>
      </c>
      <c r="BF1235" s="1"/>
      <c r="BH1235" t="s">
        <v>1366</v>
      </c>
      <c r="BP1235" t="s">
        <v>1489</v>
      </c>
    </row>
    <row r="1236" spans="1:68" x14ac:dyDescent="0.25">
      <c r="A1236" t="s">
        <v>5713</v>
      </c>
      <c r="B1236" t="s">
        <v>474</v>
      </c>
      <c r="C1236" t="s">
        <v>2223</v>
      </c>
      <c r="E1236" t="s">
        <v>480</v>
      </c>
      <c r="G1236" s="1" t="s">
        <v>4180</v>
      </c>
      <c r="H1236" t="s">
        <v>476</v>
      </c>
      <c r="J1236">
        <v>500000</v>
      </c>
      <c r="M1236" t="s">
        <v>1425</v>
      </c>
      <c r="P1236" t="s">
        <v>172</v>
      </c>
      <c r="R1236" t="s">
        <v>764</v>
      </c>
      <c r="S1236" t="s">
        <v>4181</v>
      </c>
      <c r="T1236" t="s">
        <v>4182</v>
      </c>
      <c r="V1236" t="s">
        <v>1365</v>
      </c>
      <c r="W1236" t="s">
        <v>70</v>
      </c>
      <c r="AE1236" t="s">
        <v>478</v>
      </c>
      <c r="AF1236" t="s">
        <v>479</v>
      </c>
      <c r="AL1236" t="s">
        <v>919</v>
      </c>
      <c r="AM1236" t="s">
        <v>919</v>
      </c>
      <c r="AO1236" t="s">
        <v>480</v>
      </c>
      <c r="AP1236" t="s">
        <v>481</v>
      </c>
      <c r="AQ1236" t="s">
        <v>889</v>
      </c>
      <c r="AR1236" t="s">
        <v>482</v>
      </c>
      <c r="BF1236" s="1"/>
      <c r="BH1236" t="s">
        <v>1366</v>
      </c>
      <c r="BP1236" t="s">
        <v>1489</v>
      </c>
    </row>
    <row r="1237" spans="1:68" x14ac:dyDescent="0.25">
      <c r="A1237" t="s">
        <v>5713</v>
      </c>
      <c r="B1237" t="s">
        <v>474</v>
      </c>
      <c r="C1237" t="s">
        <v>2223</v>
      </c>
      <c r="E1237" t="s">
        <v>480</v>
      </c>
      <c r="G1237" s="1" t="s">
        <v>4183</v>
      </c>
      <c r="H1237" t="s">
        <v>476</v>
      </c>
      <c r="J1237">
        <v>500000</v>
      </c>
      <c r="M1237" t="s">
        <v>1418</v>
      </c>
      <c r="P1237" t="s">
        <v>165</v>
      </c>
      <c r="R1237" t="s">
        <v>2049</v>
      </c>
      <c r="S1237" t="s">
        <v>4184</v>
      </c>
      <c r="T1237" t="s">
        <v>4185</v>
      </c>
      <c r="V1237" t="s">
        <v>1365</v>
      </c>
      <c r="W1237" t="s">
        <v>70</v>
      </c>
      <c r="AE1237" t="s">
        <v>478</v>
      </c>
      <c r="AF1237" t="s">
        <v>479</v>
      </c>
      <c r="AL1237" t="s">
        <v>919</v>
      </c>
      <c r="AM1237" t="s">
        <v>919</v>
      </c>
      <c r="AO1237" t="s">
        <v>480</v>
      </c>
      <c r="AP1237" t="s">
        <v>481</v>
      </c>
      <c r="AQ1237" t="s">
        <v>752</v>
      </c>
      <c r="AR1237" t="s">
        <v>482</v>
      </c>
      <c r="BF1237" s="1"/>
      <c r="BH1237" t="s">
        <v>1366</v>
      </c>
      <c r="BP1237" t="s">
        <v>1489</v>
      </c>
    </row>
    <row r="1238" spans="1:68" x14ac:dyDescent="0.25">
      <c r="A1238" t="s">
        <v>5713</v>
      </c>
      <c r="B1238" t="s">
        <v>474</v>
      </c>
      <c r="C1238" t="s">
        <v>2223</v>
      </c>
      <c r="E1238" t="s">
        <v>480</v>
      </c>
      <c r="G1238" s="1" t="s">
        <v>4186</v>
      </c>
      <c r="H1238" t="s">
        <v>476</v>
      </c>
      <c r="J1238">
        <v>500000</v>
      </c>
      <c r="M1238" t="s">
        <v>1429</v>
      </c>
      <c r="P1238" t="s">
        <v>144</v>
      </c>
      <c r="R1238" t="s">
        <v>722</v>
      </c>
      <c r="S1238" t="s">
        <v>1381</v>
      </c>
      <c r="T1238" t="s">
        <v>1382</v>
      </c>
      <c r="V1238" t="s">
        <v>1365</v>
      </c>
      <c r="W1238" t="s">
        <v>70</v>
      </c>
      <c r="AE1238" t="s">
        <v>478</v>
      </c>
      <c r="AF1238" t="s">
        <v>479</v>
      </c>
      <c r="AL1238" t="s">
        <v>919</v>
      </c>
      <c r="AM1238" t="s">
        <v>919</v>
      </c>
      <c r="AO1238" t="s">
        <v>480</v>
      </c>
      <c r="AP1238" t="s">
        <v>481</v>
      </c>
      <c r="AQ1238" t="s">
        <v>726</v>
      </c>
      <c r="AR1238" t="s">
        <v>482</v>
      </c>
      <c r="BF1238" s="1"/>
      <c r="BH1238" t="s">
        <v>1366</v>
      </c>
      <c r="BP1238" t="s">
        <v>1489</v>
      </c>
    </row>
    <row r="1239" spans="1:68" x14ac:dyDescent="0.25">
      <c r="A1239" t="s">
        <v>5713</v>
      </c>
      <c r="B1239" t="s">
        <v>474</v>
      </c>
      <c r="C1239" t="s">
        <v>2223</v>
      </c>
      <c r="E1239" t="s">
        <v>480</v>
      </c>
      <c r="G1239" s="1" t="s">
        <v>4187</v>
      </c>
      <c r="H1239" t="s">
        <v>476</v>
      </c>
      <c r="J1239">
        <v>500000</v>
      </c>
      <c r="M1239" t="s">
        <v>1419</v>
      </c>
      <c r="P1239" t="s">
        <v>131</v>
      </c>
      <c r="R1239" t="s">
        <v>2031</v>
      </c>
      <c r="S1239" t="s">
        <v>4188</v>
      </c>
      <c r="T1239" t="s">
        <v>4189</v>
      </c>
      <c r="V1239" t="s">
        <v>1365</v>
      </c>
      <c r="W1239" t="s">
        <v>70</v>
      </c>
      <c r="AE1239" t="s">
        <v>478</v>
      </c>
      <c r="AF1239" t="s">
        <v>479</v>
      </c>
      <c r="AL1239" t="s">
        <v>919</v>
      </c>
      <c r="AM1239" t="s">
        <v>919</v>
      </c>
      <c r="AO1239" t="s">
        <v>480</v>
      </c>
      <c r="AP1239" t="s">
        <v>481</v>
      </c>
      <c r="AQ1239" t="s">
        <v>516</v>
      </c>
      <c r="AR1239" t="s">
        <v>482</v>
      </c>
      <c r="BF1239" s="1"/>
      <c r="BH1239" t="s">
        <v>1366</v>
      </c>
      <c r="BP1239" t="s">
        <v>1489</v>
      </c>
    </row>
    <row r="1240" spans="1:68" x14ac:dyDescent="0.25">
      <c r="A1240" t="s">
        <v>5713</v>
      </c>
      <c r="B1240" t="s">
        <v>474</v>
      </c>
      <c r="C1240" t="s">
        <v>2223</v>
      </c>
      <c r="E1240" t="s">
        <v>480</v>
      </c>
      <c r="G1240" s="1" t="s">
        <v>4187</v>
      </c>
      <c r="H1240" t="s">
        <v>498</v>
      </c>
      <c r="J1240">
        <v>500000</v>
      </c>
      <c r="M1240" t="s">
        <v>1418</v>
      </c>
      <c r="P1240" t="s">
        <v>146</v>
      </c>
      <c r="R1240" t="s">
        <v>649</v>
      </c>
      <c r="S1240" t="s">
        <v>4190</v>
      </c>
      <c r="T1240" t="s">
        <v>4191</v>
      </c>
      <c r="V1240" t="s">
        <v>1365</v>
      </c>
      <c r="W1240" t="s">
        <v>70</v>
      </c>
      <c r="AE1240" t="s">
        <v>478</v>
      </c>
      <c r="AF1240" t="s">
        <v>479</v>
      </c>
      <c r="AL1240" t="s">
        <v>919</v>
      </c>
      <c r="AM1240" t="s">
        <v>919</v>
      </c>
      <c r="AO1240" t="s">
        <v>480</v>
      </c>
      <c r="AP1240" t="s">
        <v>481</v>
      </c>
      <c r="AQ1240" t="s">
        <v>733</v>
      </c>
      <c r="AR1240" t="s">
        <v>482</v>
      </c>
      <c r="BF1240" s="1"/>
      <c r="BH1240" t="s">
        <v>1366</v>
      </c>
      <c r="BP1240" t="s">
        <v>1489</v>
      </c>
    </row>
    <row r="1241" spans="1:68" x14ac:dyDescent="0.25">
      <c r="A1241" t="s">
        <v>5713</v>
      </c>
      <c r="B1241" t="s">
        <v>474</v>
      </c>
      <c r="C1241" t="s">
        <v>2223</v>
      </c>
      <c r="E1241" t="s">
        <v>480</v>
      </c>
      <c r="G1241" s="1" t="s">
        <v>4192</v>
      </c>
      <c r="H1241" t="s">
        <v>476</v>
      </c>
      <c r="J1241">
        <v>500000</v>
      </c>
      <c r="M1241" t="s">
        <v>1418</v>
      </c>
      <c r="P1241" t="s">
        <v>146</v>
      </c>
      <c r="R1241" t="s">
        <v>825</v>
      </c>
      <c r="S1241" t="s">
        <v>4193</v>
      </c>
      <c r="T1241" t="s">
        <v>4194</v>
      </c>
      <c r="V1241" t="s">
        <v>1365</v>
      </c>
      <c r="W1241" t="s">
        <v>70</v>
      </c>
      <c r="AE1241" t="s">
        <v>478</v>
      </c>
      <c r="AF1241" t="s">
        <v>479</v>
      </c>
      <c r="AL1241" t="s">
        <v>919</v>
      </c>
      <c r="AM1241" t="s">
        <v>919</v>
      </c>
      <c r="AO1241" t="s">
        <v>480</v>
      </c>
      <c r="AP1241" t="s">
        <v>481</v>
      </c>
      <c r="AQ1241" t="s">
        <v>733</v>
      </c>
      <c r="AR1241" t="s">
        <v>482</v>
      </c>
      <c r="BF1241" s="1"/>
      <c r="BH1241" t="s">
        <v>1366</v>
      </c>
      <c r="BP1241" t="s">
        <v>1489</v>
      </c>
    </row>
    <row r="1242" spans="1:68" x14ac:dyDescent="0.25">
      <c r="A1242" t="s">
        <v>5713</v>
      </c>
      <c r="B1242" t="s">
        <v>474</v>
      </c>
      <c r="C1242" t="s">
        <v>2223</v>
      </c>
      <c r="E1242" t="s">
        <v>480</v>
      </c>
      <c r="G1242" s="1" t="s">
        <v>4195</v>
      </c>
      <c r="H1242" t="s">
        <v>476</v>
      </c>
      <c r="J1242">
        <v>500000</v>
      </c>
      <c r="M1242" t="s">
        <v>1418</v>
      </c>
      <c r="P1242" t="s">
        <v>146</v>
      </c>
      <c r="R1242" t="s">
        <v>2042</v>
      </c>
      <c r="S1242" t="s">
        <v>4196</v>
      </c>
      <c r="T1242" t="s">
        <v>4197</v>
      </c>
      <c r="V1242" t="s">
        <v>1365</v>
      </c>
      <c r="W1242" t="s">
        <v>70</v>
      </c>
      <c r="AE1242" t="s">
        <v>478</v>
      </c>
      <c r="AF1242" t="s">
        <v>479</v>
      </c>
      <c r="AL1242" t="s">
        <v>919</v>
      </c>
      <c r="AM1242" t="s">
        <v>919</v>
      </c>
      <c r="AO1242" t="s">
        <v>480</v>
      </c>
      <c r="AP1242" t="s">
        <v>481</v>
      </c>
      <c r="AQ1242" t="s">
        <v>733</v>
      </c>
      <c r="AR1242" t="s">
        <v>482</v>
      </c>
      <c r="BF1242" s="1"/>
      <c r="BH1242" t="s">
        <v>1366</v>
      </c>
      <c r="BP1242" t="s">
        <v>1489</v>
      </c>
    </row>
    <row r="1243" spans="1:68" x14ac:dyDescent="0.25">
      <c r="A1243" t="s">
        <v>5713</v>
      </c>
      <c r="B1243" t="s">
        <v>474</v>
      </c>
      <c r="C1243" t="s">
        <v>2223</v>
      </c>
      <c r="E1243" t="s">
        <v>480</v>
      </c>
      <c r="G1243" s="1" t="s">
        <v>4198</v>
      </c>
      <c r="H1243" t="s">
        <v>476</v>
      </c>
      <c r="J1243">
        <v>500000</v>
      </c>
      <c r="M1243" t="s">
        <v>1418</v>
      </c>
      <c r="P1243" t="s">
        <v>149</v>
      </c>
      <c r="R1243" t="s">
        <v>506</v>
      </c>
      <c r="S1243" t="s">
        <v>1385</v>
      </c>
      <c r="T1243" t="s">
        <v>1386</v>
      </c>
      <c r="V1243" t="s">
        <v>1365</v>
      </c>
      <c r="W1243" t="s">
        <v>70</v>
      </c>
      <c r="AE1243" t="s">
        <v>478</v>
      </c>
      <c r="AF1243" t="s">
        <v>479</v>
      </c>
      <c r="AL1243" t="s">
        <v>919</v>
      </c>
      <c r="AM1243" t="s">
        <v>919</v>
      </c>
      <c r="AO1243" t="s">
        <v>480</v>
      </c>
      <c r="AP1243" t="s">
        <v>481</v>
      </c>
      <c r="AQ1243" t="s">
        <v>510</v>
      </c>
      <c r="AR1243" t="s">
        <v>482</v>
      </c>
      <c r="BF1243" s="1"/>
      <c r="BH1243" t="s">
        <v>1366</v>
      </c>
      <c r="BP1243" t="s">
        <v>1489</v>
      </c>
    </row>
    <row r="1244" spans="1:68" x14ac:dyDescent="0.25">
      <c r="A1244" t="s">
        <v>5713</v>
      </c>
      <c r="B1244" t="s">
        <v>474</v>
      </c>
      <c r="C1244" t="s">
        <v>2223</v>
      </c>
      <c r="E1244" t="s">
        <v>480</v>
      </c>
      <c r="G1244" s="1" t="s">
        <v>4199</v>
      </c>
      <c r="H1244" t="s">
        <v>476</v>
      </c>
      <c r="J1244">
        <v>500000</v>
      </c>
      <c r="M1244" t="s">
        <v>1423</v>
      </c>
      <c r="P1244" t="s">
        <v>118</v>
      </c>
      <c r="R1244" t="s">
        <v>702</v>
      </c>
      <c r="S1244" t="s">
        <v>1367</v>
      </c>
      <c r="T1244" t="s">
        <v>1368</v>
      </c>
      <c r="V1244" t="s">
        <v>1365</v>
      </c>
      <c r="W1244" t="s">
        <v>235</v>
      </c>
      <c r="AE1244" t="s">
        <v>478</v>
      </c>
      <c r="AF1244" t="s">
        <v>479</v>
      </c>
      <c r="AL1244" t="s">
        <v>919</v>
      </c>
      <c r="AM1244" t="s">
        <v>919</v>
      </c>
      <c r="AO1244" t="s">
        <v>480</v>
      </c>
      <c r="AP1244" t="s">
        <v>481</v>
      </c>
      <c r="AQ1244" t="s">
        <v>705</v>
      </c>
      <c r="AR1244" t="s">
        <v>482</v>
      </c>
      <c r="BF1244" s="1"/>
      <c r="BH1244" t="s">
        <v>1366</v>
      </c>
      <c r="BP1244" t="s">
        <v>1489</v>
      </c>
    </row>
    <row r="1245" spans="1:68" x14ac:dyDescent="0.25">
      <c r="A1245" t="s">
        <v>5713</v>
      </c>
      <c r="B1245" t="s">
        <v>474</v>
      </c>
      <c r="C1245" t="s">
        <v>2223</v>
      </c>
      <c r="E1245" t="s">
        <v>480</v>
      </c>
      <c r="G1245" s="1" t="s">
        <v>4200</v>
      </c>
      <c r="H1245" t="s">
        <v>476</v>
      </c>
      <c r="J1245">
        <v>500000</v>
      </c>
      <c r="M1245" t="s">
        <v>1427</v>
      </c>
      <c r="P1245" t="s">
        <v>104</v>
      </c>
      <c r="R1245" t="s">
        <v>665</v>
      </c>
      <c r="S1245" t="s">
        <v>4201</v>
      </c>
      <c r="T1245" t="s">
        <v>4202</v>
      </c>
      <c r="V1245" t="s">
        <v>1365</v>
      </c>
      <c r="W1245" t="s">
        <v>73</v>
      </c>
      <c r="AE1245" t="s">
        <v>478</v>
      </c>
      <c r="AF1245" t="s">
        <v>479</v>
      </c>
      <c r="AL1245" t="s">
        <v>919</v>
      </c>
      <c r="AM1245" t="s">
        <v>919</v>
      </c>
      <c r="AO1245" t="s">
        <v>480</v>
      </c>
      <c r="AP1245" t="s">
        <v>481</v>
      </c>
      <c r="AQ1245" t="s">
        <v>637</v>
      </c>
      <c r="AR1245" t="s">
        <v>482</v>
      </c>
      <c r="BF1245" s="1"/>
      <c r="BH1245" t="s">
        <v>1366</v>
      </c>
      <c r="BP1245" t="s">
        <v>1489</v>
      </c>
    </row>
    <row r="1246" spans="1:68" x14ac:dyDescent="0.25">
      <c r="A1246" t="s">
        <v>5713</v>
      </c>
      <c r="B1246" t="s">
        <v>474</v>
      </c>
      <c r="C1246" t="s">
        <v>2223</v>
      </c>
      <c r="E1246" t="s">
        <v>480</v>
      </c>
      <c r="G1246" s="1" t="s">
        <v>4200</v>
      </c>
      <c r="H1246" t="s">
        <v>498</v>
      </c>
      <c r="J1246">
        <v>500000</v>
      </c>
      <c r="M1246" t="s">
        <v>1420</v>
      </c>
      <c r="P1246" t="s">
        <v>125</v>
      </c>
      <c r="R1246" t="s">
        <v>878</v>
      </c>
      <c r="S1246" t="s">
        <v>4203</v>
      </c>
      <c r="T1246" t="s">
        <v>4204</v>
      </c>
      <c r="V1246" t="s">
        <v>1365</v>
      </c>
      <c r="W1246" t="s">
        <v>73</v>
      </c>
      <c r="AE1246" t="s">
        <v>478</v>
      </c>
      <c r="AF1246" t="s">
        <v>479</v>
      </c>
      <c r="AL1246" t="s">
        <v>919</v>
      </c>
      <c r="AM1246" t="s">
        <v>919</v>
      </c>
      <c r="AO1246" t="s">
        <v>480</v>
      </c>
      <c r="AP1246" t="s">
        <v>481</v>
      </c>
      <c r="AQ1246" t="s">
        <v>642</v>
      </c>
      <c r="AR1246" t="s">
        <v>482</v>
      </c>
      <c r="BF1246" s="1"/>
      <c r="BH1246" t="s">
        <v>1366</v>
      </c>
      <c r="BP1246" t="s">
        <v>1489</v>
      </c>
    </row>
    <row r="1247" spans="1:68" x14ac:dyDescent="0.25">
      <c r="A1247" t="s">
        <v>5713</v>
      </c>
      <c r="B1247" t="s">
        <v>474</v>
      </c>
      <c r="C1247" t="s">
        <v>2223</v>
      </c>
      <c r="E1247" t="s">
        <v>480</v>
      </c>
      <c r="G1247" s="1" t="s">
        <v>4200</v>
      </c>
      <c r="H1247" t="s">
        <v>517</v>
      </c>
      <c r="J1247">
        <v>500000</v>
      </c>
      <c r="M1247" t="s">
        <v>1431</v>
      </c>
      <c r="P1247" t="s">
        <v>72</v>
      </c>
      <c r="R1247" t="s">
        <v>2163</v>
      </c>
      <c r="S1247" t="s">
        <v>4205</v>
      </c>
      <c r="T1247" t="s">
        <v>4206</v>
      </c>
      <c r="V1247" t="s">
        <v>1365</v>
      </c>
      <c r="W1247" t="s">
        <v>73</v>
      </c>
      <c r="AE1247" t="s">
        <v>478</v>
      </c>
      <c r="AF1247" t="s">
        <v>479</v>
      </c>
      <c r="AL1247" t="s">
        <v>919</v>
      </c>
      <c r="AM1247" t="s">
        <v>919</v>
      </c>
      <c r="AO1247" t="s">
        <v>480</v>
      </c>
      <c r="AP1247" t="s">
        <v>481</v>
      </c>
      <c r="AQ1247" t="s">
        <v>757</v>
      </c>
      <c r="AR1247" t="s">
        <v>482</v>
      </c>
      <c r="BF1247" s="1"/>
      <c r="BH1247" t="s">
        <v>1366</v>
      </c>
      <c r="BP1247" t="s">
        <v>1489</v>
      </c>
    </row>
    <row r="1248" spans="1:68" x14ac:dyDescent="0.25">
      <c r="A1248" t="s">
        <v>5713</v>
      </c>
      <c r="B1248" t="s">
        <v>474</v>
      </c>
      <c r="C1248" t="s">
        <v>2223</v>
      </c>
      <c r="E1248" t="s">
        <v>480</v>
      </c>
      <c r="G1248" s="1" t="s">
        <v>4200</v>
      </c>
      <c r="H1248" t="s">
        <v>542</v>
      </c>
      <c r="J1248">
        <v>500000</v>
      </c>
      <c r="M1248" t="s">
        <v>1422</v>
      </c>
      <c r="P1248" t="s">
        <v>120</v>
      </c>
      <c r="R1248" t="s">
        <v>899</v>
      </c>
      <c r="S1248" t="s">
        <v>4207</v>
      </c>
      <c r="T1248" t="s">
        <v>4208</v>
      </c>
      <c r="V1248" t="s">
        <v>1365</v>
      </c>
      <c r="W1248" t="s">
        <v>73</v>
      </c>
      <c r="AE1248" t="s">
        <v>478</v>
      </c>
      <c r="AF1248" t="s">
        <v>479</v>
      </c>
      <c r="AL1248" t="s">
        <v>919</v>
      </c>
      <c r="AM1248" t="s">
        <v>919</v>
      </c>
      <c r="AO1248" t="s">
        <v>480</v>
      </c>
      <c r="AP1248" t="s">
        <v>481</v>
      </c>
      <c r="AQ1248" t="s">
        <v>632</v>
      </c>
      <c r="AR1248" t="s">
        <v>482</v>
      </c>
      <c r="BF1248" s="1"/>
      <c r="BH1248" t="s">
        <v>1366</v>
      </c>
      <c r="BP1248" t="s">
        <v>1489</v>
      </c>
    </row>
    <row r="1249" spans="1:68" x14ac:dyDescent="0.25">
      <c r="A1249" t="s">
        <v>5713</v>
      </c>
      <c r="B1249" t="s">
        <v>474</v>
      </c>
      <c r="C1249" t="s">
        <v>2223</v>
      </c>
      <c r="E1249" t="s">
        <v>480</v>
      </c>
      <c r="G1249" s="1" t="s">
        <v>4200</v>
      </c>
      <c r="H1249" t="s">
        <v>549</v>
      </c>
      <c r="J1249">
        <v>500000</v>
      </c>
      <c r="M1249" t="s">
        <v>1423</v>
      </c>
      <c r="P1249" t="s">
        <v>80</v>
      </c>
      <c r="R1249" t="s">
        <v>891</v>
      </c>
      <c r="S1249" t="s">
        <v>4209</v>
      </c>
      <c r="T1249" t="s">
        <v>4210</v>
      </c>
      <c r="V1249" t="s">
        <v>1365</v>
      </c>
      <c r="W1249" t="s">
        <v>73</v>
      </c>
      <c r="AE1249" t="s">
        <v>478</v>
      </c>
      <c r="AF1249" t="s">
        <v>479</v>
      </c>
      <c r="AL1249" t="s">
        <v>919</v>
      </c>
      <c r="AM1249" t="s">
        <v>919</v>
      </c>
      <c r="AO1249" t="s">
        <v>480</v>
      </c>
      <c r="AP1249" t="s">
        <v>481</v>
      </c>
      <c r="AQ1249" t="s">
        <v>603</v>
      </c>
      <c r="AR1249" t="s">
        <v>482</v>
      </c>
      <c r="BF1249" s="1"/>
      <c r="BH1249" t="s">
        <v>1366</v>
      </c>
      <c r="BP1249" t="s">
        <v>1489</v>
      </c>
    </row>
    <row r="1250" spans="1:68" x14ac:dyDescent="0.25">
      <c r="A1250" t="s">
        <v>5713</v>
      </c>
      <c r="B1250" t="s">
        <v>474</v>
      </c>
      <c r="C1250" t="s">
        <v>2223</v>
      </c>
      <c r="E1250" t="s">
        <v>480</v>
      </c>
      <c r="G1250" s="1" t="s">
        <v>4200</v>
      </c>
      <c r="H1250" t="s">
        <v>556</v>
      </c>
      <c r="J1250">
        <v>500000</v>
      </c>
      <c r="M1250" t="s">
        <v>1422</v>
      </c>
      <c r="P1250" t="s">
        <v>112</v>
      </c>
      <c r="R1250" t="s">
        <v>2172</v>
      </c>
      <c r="S1250" t="s">
        <v>4211</v>
      </c>
      <c r="T1250" t="s">
        <v>4212</v>
      </c>
      <c r="V1250" t="s">
        <v>1365</v>
      </c>
      <c r="W1250" t="s">
        <v>73</v>
      </c>
      <c r="AE1250" t="s">
        <v>478</v>
      </c>
      <c r="AF1250" t="s">
        <v>479</v>
      </c>
      <c r="AL1250" t="s">
        <v>919</v>
      </c>
      <c r="AM1250" t="s">
        <v>919</v>
      </c>
      <c r="AO1250" t="s">
        <v>480</v>
      </c>
      <c r="AP1250" t="s">
        <v>481</v>
      </c>
      <c r="AQ1250" t="s">
        <v>577</v>
      </c>
      <c r="AR1250" t="s">
        <v>482</v>
      </c>
      <c r="BF1250" s="1"/>
      <c r="BH1250" t="s">
        <v>1366</v>
      </c>
      <c r="BP1250" t="s">
        <v>1489</v>
      </c>
    </row>
    <row r="1251" spans="1:68" x14ac:dyDescent="0.25">
      <c r="A1251" t="s">
        <v>5713</v>
      </c>
      <c r="B1251" t="s">
        <v>474</v>
      </c>
      <c r="C1251" t="s">
        <v>2223</v>
      </c>
      <c r="E1251" t="s">
        <v>480</v>
      </c>
      <c r="G1251" s="1" t="s">
        <v>4213</v>
      </c>
      <c r="H1251" t="s">
        <v>476</v>
      </c>
      <c r="J1251">
        <v>500000</v>
      </c>
      <c r="M1251" t="s">
        <v>1425</v>
      </c>
      <c r="P1251" t="s">
        <v>110</v>
      </c>
      <c r="R1251" t="s">
        <v>796</v>
      </c>
      <c r="S1251" t="s">
        <v>4214</v>
      </c>
      <c r="T1251" t="s">
        <v>4215</v>
      </c>
      <c r="V1251" t="s">
        <v>1365</v>
      </c>
      <c r="W1251" t="s">
        <v>73</v>
      </c>
      <c r="AE1251" t="s">
        <v>478</v>
      </c>
      <c r="AF1251" t="s">
        <v>479</v>
      </c>
      <c r="AL1251" t="s">
        <v>919</v>
      </c>
      <c r="AM1251" t="s">
        <v>919</v>
      </c>
      <c r="AO1251" t="s">
        <v>480</v>
      </c>
      <c r="AP1251" t="s">
        <v>481</v>
      </c>
      <c r="AQ1251" t="s">
        <v>624</v>
      </c>
      <c r="AR1251" t="s">
        <v>482</v>
      </c>
      <c r="BF1251" s="1"/>
      <c r="BH1251" t="s">
        <v>1366</v>
      </c>
      <c r="BP1251" t="s">
        <v>1489</v>
      </c>
    </row>
    <row r="1252" spans="1:68" x14ac:dyDescent="0.25">
      <c r="A1252" t="s">
        <v>5713</v>
      </c>
      <c r="B1252" t="s">
        <v>474</v>
      </c>
      <c r="C1252" t="s">
        <v>2223</v>
      </c>
      <c r="E1252" t="s">
        <v>480</v>
      </c>
      <c r="G1252" s="1" t="s">
        <v>4213</v>
      </c>
      <c r="H1252" t="s">
        <v>498</v>
      </c>
      <c r="J1252">
        <v>500000</v>
      </c>
      <c r="M1252" t="s">
        <v>1423</v>
      </c>
      <c r="P1252" t="s">
        <v>140</v>
      </c>
      <c r="R1252" t="s">
        <v>781</v>
      </c>
      <c r="S1252" t="s">
        <v>4216</v>
      </c>
      <c r="T1252" t="s">
        <v>4217</v>
      </c>
      <c r="V1252" t="s">
        <v>1365</v>
      </c>
      <c r="W1252" t="s">
        <v>73</v>
      </c>
      <c r="AE1252" t="s">
        <v>478</v>
      </c>
      <c r="AF1252" t="s">
        <v>479</v>
      </c>
      <c r="AL1252" t="s">
        <v>919</v>
      </c>
      <c r="AM1252" t="s">
        <v>919</v>
      </c>
      <c r="AO1252" t="s">
        <v>480</v>
      </c>
      <c r="AP1252" t="s">
        <v>481</v>
      </c>
      <c r="AQ1252" t="s">
        <v>681</v>
      </c>
      <c r="AR1252" t="s">
        <v>482</v>
      </c>
      <c r="BF1252" s="1"/>
      <c r="BH1252" t="s">
        <v>1366</v>
      </c>
      <c r="BP1252" t="s">
        <v>1489</v>
      </c>
    </row>
    <row r="1253" spans="1:68" x14ac:dyDescent="0.25">
      <c r="A1253" t="s">
        <v>5713</v>
      </c>
      <c r="B1253" t="s">
        <v>474</v>
      </c>
      <c r="C1253" t="s">
        <v>2223</v>
      </c>
      <c r="E1253" t="s">
        <v>480</v>
      </c>
      <c r="G1253" s="1" t="s">
        <v>4213</v>
      </c>
      <c r="H1253" t="s">
        <v>517</v>
      </c>
      <c r="J1253">
        <v>500000</v>
      </c>
      <c r="M1253" t="s">
        <v>1428</v>
      </c>
      <c r="P1253" t="s">
        <v>113</v>
      </c>
      <c r="R1253" t="s">
        <v>2180</v>
      </c>
      <c r="S1253" t="s">
        <v>4218</v>
      </c>
      <c r="T1253" t="s">
        <v>4219</v>
      </c>
      <c r="V1253" t="s">
        <v>1365</v>
      </c>
      <c r="W1253" t="s">
        <v>73</v>
      </c>
      <c r="AE1253" t="s">
        <v>478</v>
      </c>
      <c r="AF1253" t="s">
        <v>479</v>
      </c>
      <c r="AL1253" t="s">
        <v>919</v>
      </c>
      <c r="AM1253" t="s">
        <v>919</v>
      </c>
      <c r="AO1253" t="s">
        <v>480</v>
      </c>
      <c r="AP1253" t="s">
        <v>481</v>
      </c>
      <c r="AQ1253" t="s">
        <v>657</v>
      </c>
      <c r="AR1253" t="s">
        <v>482</v>
      </c>
      <c r="BF1253" s="1"/>
      <c r="BH1253" t="s">
        <v>1366</v>
      </c>
      <c r="BP1253" t="s">
        <v>1489</v>
      </c>
    </row>
    <row r="1254" spans="1:68" x14ac:dyDescent="0.25">
      <c r="A1254" t="s">
        <v>5713</v>
      </c>
      <c r="B1254" t="s">
        <v>474</v>
      </c>
      <c r="C1254" t="s">
        <v>2223</v>
      </c>
      <c r="E1254" t="s">
        <v>480</v>
      </c>
      <c r="G1254" s="1" t="s">
        <v>4213</v>
      </c>
      <c r="H1254" t="s">
        <v>542</v>
      </c>
      <c r="J1254">
        <v>500000</v>
      </c>
      <c r="M1254" t="s">
        <v>1425</v>
      </c>
      <c r="P1254" t="s">
        <v>101</v>
      </c>
      <c r="R1254" t="s">
        <v>695</v>
      </c>
      <c r="S1254" t="s">
        <v>4220</v>
      </c>
      <c r="T1254" t="s">
        <v>4221</v>
      </c>
      <c r="V1254" t="s">
        <v>1365</v>
      </c>
      <c r="W1254" t="s">
        <v>73</v>
      </c>
      <c r="AE1254" t="s">
        <v>478</v>
      </c>
      <c r="AF1254" t="s">
        <v>479</v>
      </c>
      <c r="AL1254" t="s">
        <v>919</v>
      </c>
      <c r="AM1254" t="s">
        <v>919</v>
      </c>
      <c r="AO1254" t="s">
        <v>480</v>
      </c>
      <c r="AP1254" t="s">
        <v>481</v>
      </c>
      <c r="AQ1254" t="s">
        <v>699</v>
      </c>
      <c r="AR1254" t="s">
        <v>482</v>
      </c>
      <c r="BF1254" s="1"/>
      <c r="BH1254" t="s">
        <v>1366</v>
      </c>
      <c r="BP1254" t="s">
        <v>1489</v>
      </c>
    </row>
    <row r="1255" spans="1:68" x14ac:dyDescent="0.25">
      <c r="A1255" t="s">
        <v>5713</v>
      </c>
      <c r="B1255" t="s">
        <v>474</v>
      </c>
      <c r="C1255" t="s">
        <v>2223</v>
      </c>
      <c r="E1255" t="s">
        <v>480</v>
      </c>
      <c r="G1255" s="1" t="s">
        <v>4213</v>
      </c>
      <c r="H1255" t="s">
        <v>549</v>
      </c>
      <c r="J1255">
        <v>500000</v>
      </c>
      <c r="M1255" t="s">
        <v>1426</v>
      </c>
      <c r="P1255" t="s">
        <v>114</v>
      </c>
      <c r="R1255" t="s">
        <v>847</v>
      </c>
      <c r="S1255" t="s">
        <v>4222</v>
      </c>
      <c r="T1255" t="s">
        <v>4223</v>
      </c>
      <c r="V1255" t="s">
        <v>1365</v>
      </c>
      <c r="W1255" t="s">
        <v>73</v>
      </c>
      <c r="AE1255" t="s">
        <v>478</v>
      </c>
      <c r="AF1255" t="s">
        <v>479</v>
      </c>
      <c r="AL1255" t="s">
        <v>919</v>
      </c>
      <c r="AM1255" t="s">
        <v>919</v>
      </c>
      <c r="AO1255" t="s">
        <v>480</v>
      </c>
      <c r="AP1255" t="s">
        <v>481</v>
      </c>
      <c r="AQ1255" t="s">
        <v>584</v>
      </c>
      <c r="AR1255" t="s">
        <v>482</v>
      </c>
      <c r="BF1255" s="1"/>
      <c r="BH1255" t="s">
        <v>1366</v>
      </c>
      <c r="BP1255" t="s">
        <v>1489</v>
      </c>
    </row>
    <row r="1256" spans="1:68" x14ac:dyDescent="0.25">
      <c r="A1256" t="s">
        <v>5713</v>
      </c>
      <c r="B1256" t="s">
        <v>474</v>
      </c>
      <c r="C1256" t="s">
        <v>2223</v>
      </c>
      <c r="E1256" t="s">
        <v>480</v>
      </c>
      <c r="G1256" s="1" t="s">
        <v>4213</v>
      </c>
      <c r="H1256" t="s">
        <v>556</v>
      </c>
      <c r="J1256">
        <v>500000</v>
      </c>
      <c r="M1256" t="s">
        <v>1420</v>
      </c>
      <c r="P1256" t="s">
        <v>105</v>
      </c>
      <c r="R1256" t="s">
        <v>679</v>
      </c>
      <c r="S1256" t="s">
        <v>4224</v>
      </c>
      <c r="T1256" t="s">
        <v>4225</v>
      </c>
      <c r="V1256" t="s">
        <v>1365</v>
      </c>
      <c r="W1256" t="s">
        <v>73</v>
      </c>
      <c r="AE1256" t="s">
        <v>478</v>
      </c>
      <c r="AF1256" t="s">
        <v>479</v>
      </c>
      <c r="AL1256" t="s">
        <v>919</v>
      </c>
      <c r="AM1256" t="s">
        <v>919</v>
      </c>
      <c r="AO1256" t="s">
        <v>480</v>
      </c>
      <c r="AP1256" t="s">
        <v>481</v>
      </c>
      <c r="AQ1256" t="s">
        <v>607</v>
      </c>
      <c r="AR1256" t="s">
        <v>482</v>
      </c>
      <c r="BF1256" s="1"/>
      <c r="BH1256" t="s">
        <v>1366</v>
      </c>
      <c r="BP1256" t="s">
        <v>1489</v>
      </c>
    </row>
    <row r="1257" spans="1:68" x14ac:dyDescent="0.25">
      <c r="A1257" t="s">
        <v>5713</v>
      </c>
      <c r="B1257" t="s">
        <v>474</v>
      </c>
      <c r="C1257" t="s">
        <v>2223</v>
      </c>
      <c r="E1257" t="s">
        <v>480</v>
      </c>
      <c r="G1257" s="1" t="s">
        <v>4213</v>
      </c>
      <c r="H1257" t="s">
        <v>562</v>
      </c>
      <c r="J1257">
        <v>500000</v>
      </c>
      <c r="M1257" t="s">
        <v>1424</v>
      </c>
      <c r="P1257" t="s">
        <v>157</v>
      </c>
      <c r="R1257" t="s">
        <v>572</v>
      </c>
      <c r="S1257" t="s">
        <v>4226</v>
      </c>
      <c r="T1257" t="s">
        <v>4227</v>
      </c>
      <c r="V1257" t="s">
        <v>1365</v>
      </c>
      <c r="W1257" t="s">
        <v>73</v>
      </c>
      <c r="AE1257" t="s">
        <v>478</v>
      </c>
      <c r="AF1257" t="s">
        <v>479</v>
      </c>
      <c r="AL1257" t="s">
        <v>919</v>
      </c>
      <c r="AM1257" t="s">
        <v>919</v>
      </c>
      <c r="AO1257" t="s">
        <v>480</v>
      </c>
      <c r="AP1257" t="s">
        <v>481</v>
      </c>
      <c r="AQ1257" t="s">
        <v>667</v>
      </c>
      <c r="AR1257" t="s">
        <v>482</v>
      </c>
      <c r="BF1257" s="1"/>
      <c r="BH1257" t="s">
        <v>1366</v>
      </c>
      <c r="BP1257" t="s">
        <v>1489</v>
      </c>
    </row>
    <row r="1258" spans="1:68" x14ac:dyDescent="0.25">
      <c r="A1258" t="s">
        <v>5713</v>
      </c>
      <c r="B1258" t="s">
        <v>474</v>
      </c>
      <c r="C1258" t="s">
        <v>2223</v>
      </c>
      <c r="E1258" t="s">
        <v>480</v>
      </c>
      <c r="G1258" s="1" t="s">
        <v>4213</v>
      </c>
      <c r="H1258" t="s">
        <v>567</v>
      </c>
      <c r="J1258">
        <v>500000</v>
      </c>
      <c r="M1258" t="s">
        <v>1421</v>
      </c>
      <c r="P1258" t="s">
        <v>154</v>
      </c>
      <c r="R1258" t="s">
        <v>683</v>
      </c>
      <c r="S1258" t="s">
        <v>4228</v>
      </c>
      <c r="T1258" t="s">
        <v>4229</v>
      </c>
      <c r="V1258" t="s">
        <v>1365</v>
      </c>
      <c r="W1258" t="s">
        <v>73</v>
      </c>
      <c r="AE1258" t="s">
        <v>478</v>
      </c>
      <c r="AF1258" t="s">
        <v>479</v>
      </c>
      <c r="AL1258" t="s">
        <v>919</v>
      </c>
      <c r="AM1258" t="s">
        <v>919</v>
      </c>
      <c r="AO1258" t="s">
        <v>480</v>
      </c>
      <c r="AP1258" t="s">
        <v>481</v>
      </c>
      <c r="AQ1258" t="s">
        <v>531</v>
      </c>
      <c r="AR1258" t="s">
        <v>482</v>
      </c>
      <c r="BF1258" s="1"/>
      <c r="BH1258" t="s">
        <v>1366</v>
      </c>
      <c r="BP1258" t="s">
        <v>1489</v>
      </c>
    </row>
    <row r="1259" spans="1:68" x14ac:dyDescent="0.25">
      <c r="A1259" t="s">
        <v>5713</v>
      </c>
      <c r="B1259" t="s">
        <v>474</v>
      </c>
      <c r="C1259" t="s">
        <v>2223</v>
      </c>
      <c r="E1259" t="s">
        <v>480</v>
      </c>
      <c r="G1259" s="1" t="s">
        <v>4230</v>
      </c>
      <c r="H1259" t="s">
        <v>476</v>
      </c>
      <c r="J1259">
        <v>500000</v>
      </c>
      <c r="M1259" t="s">
        <v>1424</v>
      </c>
      <c r="P1259" t="s">
        <v>76</v>
      </c>
      <c r="R1259" t="s">
        <v>647</v>
      </c>
      <c r="S1259" t="s">
        <v>4231</v>
      </c>
      <c r="T1259" t="s">
        <v>4232</v>
      </c>
      <c r="V1259" t="s">
        <v>1365</v>
      </c>
      <c r="W1259" t="s">
        <v>73</v>
      </c>
      <c r="AE1259" t="s">
        <v>478</v>
      </c>
      <c r="AF1259" t="s">
        <v>479</v>
      </c>
      <c r="AL1259" t="s">
        <v>919</v>
      </c>
      <c r="AM1259" t="s">
        <v>919</v>
      </c>
      <c r="AO1259" t="s">
        <v>480</v>
      </c>
      <c r="AP1259" t="s">
        <v>481</v>
      </c>
      <c r="AQ1259" t="s">
        <v>558</v>
      </c>
      <c r="AR1259" t="s">
        <v>482</v>
      </c>
      <c r="BF1259" s="1"/>
      <c r="BH1259" t="s">
        <v>1366</v>
      </c>
      <c r="BP1259" t="s">
        <v>1489</v>
      </c>
    </row>
    <row r="1260" spans="1:68" x14ac:dyDescent="0.25">
      <c r="A1260" t="s">
        <v>5713</v>
      </c>
      <c r="B1260" t="s">
        <v>474</v>
      </c>
      <c r="C1260" t="s">
        <v>2223</v>
      </c>
      <c r="E1260" t="s">
        <v>480</v>
      </c>
      <c r="G1260" s="1" t="s">
        <v>4230</v>
      </c>
      <c r="H1260" t="s">
        <v>498</v>
      </c>
      <c r="J1260">
        <v>500000</v>
      </c>
      <c r="M1260" t="s">
        <v>1428</v>
      </c>
      <c r="P1260" t="s">
        <v>113</v>
      </c>
      <c r="R1260" t="s">
        <v>670</v>
      </c>
      <c r="S1260" t="s">
        <v>4233</v>
      </c>
      <c r="T1260" t="s">
        <v>4234</v>
      </c>
      <c r="V1260" t="s">
        <v>1365</v>
      </c>
      <c r="W1260" t="s">
        <v>73</v>
      </c>
      <c r="AE1260" t="s">
        <v>478</v>
      </c>
      <c r="AF1260" t="s">
        <v>479</v>
      </c>
      <c r="AL1260" t="s">
        <v>919</v>
      </c>
      <c r="AM1260" t="s">
        <v>919</v>
      </c>
      <c r="AO1260" t="s">
        <v>480</v>
      </c>
      <c r="AP1260" t="s">
        <v>481</v>
      </c>
      <c r="AQ1260" t="s">
        <v>657</v>
      </c>
      <c r="AR1260" t="s">
        <v>482</v>
      </c>
      <c r="BF1260" s="1"/>
      <c r="BH1260" t="s">
        <v>1366</v>
      </c>
      <c r="BP1260" t="s">
        <v>1489</v>
      </c>
    </row>
    <row r="1261" spans="1:68" x14ac:dyDescent="0.25">
      <c r="A1261" t="s">
        <v>5713</v>
      </c>
      <c r="B1261" t="s">
        <v>474</v>
      </c>
      <c r="C1261" t="s">
        <v>2223</v>
      </c>
      <c r="E1261" t="s">
        <v>480</v>
      </c>
      <c r="G1261" s="1" t="s">
        <v>4230</v>
      </c>
      <c r="H1261" t="s">
        <v>517</v>
      </c>
      <c r="J1261">
        <v>500000</v>
      </c>
      <c r="M1261" t="s">
        <v>1431</v>
      </c>
      <c r="P1261" t="s">
        <v>72</v>
      </c>
      <c r="R1261" t="s">
        <v>488</v>
      </c>
      <c r="S1261" t="s">
        <v>4235</v>
      </c>
      <c r="T1261" t="s">
        <v>4236</v>
      </c>
      <c r="V1261" t="s">
        <v>1365</v>
      </c>
      <c r="W1261" t="s">
        <v>73</v>
      </c>
      <c r="AE1261" t="s">
        <v>478</v>
      </c>
      <c r="AF1261" t="s">
        <v>479</v>
      </c>
      <c r="AL1261" t="s">
        <v>919</v>
      </c>
      <c r="AM1261" t="s">
        <v>919</v>
      </c>
      <c r="AO1261" t="s">
        <v>480</v>
      </c>
      <c r="AP1261" t="s">
        <v>481</v>
      </c>
      <c r="AQ1261" t="s">
        <v>757</v>
      </c>
      <c r="AR1261" t="s">
        <v>482</v>
      </c>
      <c r="BF1261" s="1"/>
      <c r="BH1261" t="s">
        <v>1366</v>
      </c>
      <c r="BP1261" t="s">
        <v>1489</v>
      </c>
    </row>
    <row r="1262" spans="1:68" x14ac:dyDescent="0.25">
      <c r="A1262" t="s">
        <v>5713</v>
      </c>
      <c r="B1262" t="s">
        <v>474</v>
      </c>
      <c r="C1262" t="s">
        <v>2223</v>
      </c>
      <c r="E1262" t="s">
        <v>480</v>
      </c>
      <c r="G1262" s="1" t="s">
        <v>4230</v>
      </c>
      <c r="H1262" t="s">
        <v>542</v>
      </c>
      <c r="J1262">
        <v>500000</v>
      </c>
      <c r="M1262" t="s">
        <v>1425</v>
      </c>
      <c r="P1262" t="s">
        <v>110</v>
      </c>
      <c r="R1262" t="s">
        <v>635</v>
      </c>
      <c r="S1262" t="s">
        <v>4237</v>
      </c>
      <c r="T1262" t="s">
        <v>4238</v>
      </c>
      <c r="V1262" t="s">
        <v>1365</v>
      </c>
      <c r="W1262" t="s">
        <v>73</v>
      </c>
      <c r="AE1262" t="s">
        <v>478</v>
      </c>
      <c r="AF1262" t="s">
        <v>479</v>
      </c>
      <c r="AL1262" t="s">
        <v>919</v>
      </c>
      <c r="AM1262" t="s">
        <v>919</v>
      </c>
      <c r="AO1262" t="s">
        <v>480</v>
      </c>
      <c r="AP1262" t="s">
        <v>481</v>
      </c>
      <c r="AQ1262" t="s">
        <v>624</v>
      </c>
      <c r="AR1262" t="s">
        <v>482</v>
      </c>
      <c r="BF1262" s="1"/>
      <c r="BH1262" t="s">
        <v>1366</v>
      </c>
      <c r="BP1262" t="s">
        <v>1489</v>
      </c>
    </row>
    <row r="1263" spans="1:68" x14ac:dyDescent="0.25">
      <c r="A1263" t="s">
        <v>5713</v>
      </c>
      <c r="B1263" t="s">
        <v>474</v>
      </c>
      <c r="C1263" t="s">
        <v>2223</v>
      </c>
      <c r="E1263" t="s">
        <v>480</v>
      </c>
      <c r="G1263" s="1" t="s">
        <v>4230</v>
      </c>
      <c r="H1263" t="s">
        <v>549</v>
      </c>
      <c r="J1263">
        <v>500000</v>
      </c>
      <c r="M1263" t="s">
        <v>1424</v>
      </c>
      <c r="P1263" t="s">
        <v>157</v>
      </c>
      <c r="R1263" t="s">
        <v>640</v>
      </c>
      <c r="S1263" t="s">
        <v>4239</v>
      </c>
      <c r="T1263" t="s">
        <v>4240</v>
      </c>
      <c r="V1263" t="s">
        <v>1365</v>
      </c>
      <c r="W1263" t="s">
        <v>73</v>
      </c>
      <c r="AE1263" t="s">
        <v>478</v>
      </c>
      <c r="AF1263" t="s">
        <v>479</v>
      </c>
      <c r="AL1263" t="s">
        <v>919</v>
      </c>
      <c r="AM1263" t="s">
        <v>919</v>
      </c>
      <c r="AO1263" t="s">
        <v>480</v>
      </c>
      <c r="AP1263" t="s">
        <v>481</v>
      </c>
      <c r="AQ1263" t="s">
        <v>667</v>
      </c>
      <c r="AR1263" t="s">
        <v>482</v>
      </c>
      <c r="BF1263" s="1"/>
      <c r="BH1263" t="s">
        <v>1366</v>
      </c>
      <c r="BP1263" t="s">
        <v>1489</v>
      </c>
    </row>
    <row r="1264" spans="1:68" x14ac:dyDescent="0.25">
      <c r="A1264" t="s">
        <v>5713</v>
      </c>
      <c r="B1264" t="s">
        <v>474</v>
      </c>
      <c r="C1264" t="s">
        <v>2223</v>
      </c>
      <c r="E1264" t="s">
        <v>480</v>
      </c>
      <c r="G1264" s="1" t="s">
        <v>4230</v>
      </c>
      <c r="H1264" t="s">
        <v>556</v>
      </c>
      <c r="J1264">
        <v>500000</v>
      </c>
      <c r="M1264" t="s">
        <v>1422</v>
      </c>
      <c r="P1264" t="s">
        <v>120</v>
      </c>
      <c r="R1264" t="s">
        <v>635</v>
      </c>
      <c r="S1264" t="s">
        <v>4241</v>
      </c>
      <c r="T1264" t="s">
        <v>4242</v>
      </c>
      <c r="V1264" t="s">
        <v>1365</v>
      </c>
      <c r="W1264" t="s">
        <v>73</v>
      </c>
      <c r="AE1264" t="s">
        <v>478</v>
      </c>
      <c r="AF1264" t="s">
        <v>479</v>
      </c>
      <c r="AL1264" t="s">
        <v>919</v>
      </c>
      <c r="AM1264" t="s">
        <v>919</v>
      </c>
      <c r="AO1264" t="s">
        <v>480</v>
      </c>
      <c r="AP1264" t="s">
        <v>481</v>
      </c>
      <c r="AQ1264" t="s">
        <v>632</v>
      </c>
      <c r="AR1264" t="s">
        <v>482</v>
      </c>
      <c r="BF1264" s="1"/>
      <c r="BH1264" t="s">
        <v>1366</v>
      </c>
      <c r="BP1264" t="s">
        <v>1489</v>
      </c>
    </row>
    <row r="1265" spans="1:68" x14ac:dyDescent="0.25">
      <c r="A1265" t="s">
        <v>5713</v>
      </c>
      <c r="B1265" t="s">
        <v>474</v>
      </c>
      <c r="C1265" t="s">
        <v>2223</v>
      </c>
      <c r="E1265" t="s">
        <v>480</v>
      </c>
      <c r="G1265" s="1" t="s">
        <v>4230</v>
      </c>
      <c r="H1265" t="s">
        <v>562</v>
      </c>
      <c r="J1265">
        <v>500000</v>
      </c>
      <c r="M1265" t="s">
        <v>1426</v>
      </c>
      <c r="P1265" t="s">
        <v>114</v>
      </c>
      <c r="R1265" t="s">
        <v>743</v>
      </c>
      <c r="S1265" t="s">
        <v>1383</v>
      </c>
      <c r="T1265" t="s">
        <v>1384</v>
      </c>
      <c r="V1265" t="s">
        <v>1365</v>
      </c>
      <c r="W1265" t="s">
        <v>73</v>
      </c>
      <c r="AE1265" t="s">
        <v>478</v>
      </c>
      <c r="AF1265" t="s">
        <v>479</v>
      </c>
      <c r="AL1265" t="s">
        <v>919</v>
      </c>
      <c r="AM1265" t="s">
        <v>919</v>
      </c>
      <c r="AO1265" t="s">
        <v>480</v>
      </c>
      <c r="AP1265" t="s">
        <v>481</v>
      </c>
      <c r="AQ1265" t="s">
        <v>584</v>
      </c>
      <c r="AR1265" t="s">
        <v>482</v>
      </c>
      <c r="BF1265" s="1"/>
      <c r="BH1265" t="s">
        <v>1366</v>
      </c>
      <c r="BP1265" t="s">
        <v>1489</v>
      </c>
    </row>
    <row r="1266" spans="1:68" x14ac:dyDescent="0.25">
      <c r="A1266" t="s">
        <v>5713</v>
      </c>
      <c r="B1266" t="s">
        <v>474</v>
      </c>
      <c r="C1266" t="s">
        <v>2223</v>
      </c>
      <c r="E1266" t="s">
        <v>480</v>
      </c>
      <c r="G1266" s="1" t="s">
        <v>4230</v>
      </c>
      <c r="H1266" t="s">
        <v>567</v>
      </c>
      <c r="J1266">
        <v>500000</v>
      </c>
      <c r="M1266" t="s">
        <v>1422</v>
      </c>
      <c r="P1266" t="s">
        <v>77</v>
      </c>
      <c r="R1266" t="s">
        <v>800</v>
      </c>
      <c r="S1266" t="s">
        <v>4243</v>
      </c>
      <c r="T1266" t="s">
        <v>4244</v>
      </c>
      <c r="V1266" t="s">
        <v>1365</v>
      </c>
      <c r="W1266" t="s">
        <v>73</v>
      </c>
      <c r="AE1266" t="s">
        <v>478</v>
      </c>
      <c r="AF1266" t="s">
        <v>479</v>
      </c>
      <c r="AL1266" t="s">
        <v>919</v>
      </c>
      <c r="AM1266" t="s">
        <v>919</v>
      </c>
      <c r="AO1266" t="s">
        <v>480</v>
      </c>
      <c r="AP1266" t="s">
        <v>481</v>
      </c>
      <c r="AQ1266" t="s">
        <v>533</v>
      </c>
      <c r="AR1266" t="s">
        <v>482</v>
      </c>
      <c r="BF1266" s="1"/>
      <c r="BH1266" t="s">
        <v>1366</v>
      </c>
      <c r="BP1266" t="s">
        <v>1489</v>
      </c>
    </row>
    <row r="1267" spans="1:68" x14ac:dyDescent="0.25">
      <c r="A1267" t="s">
        <v>5713</v>
      </c>
      <c r="B1267" t="s">
        <v>474</v>
      </c>
      <c r="C1267" t="s">
        <v>2223</v>
      </c>
      <c r="E1267" t="s">
        <v>480</v>
      </c>
      <c r="G1267" s="1" t="s">
        <v>4230</v>
      </c>
      <c r="H1267" t="s">
        <v>575</v>
      </c>
      <c r="J1267">
        <v>500000</v>
      </c>
      <c r="M1267" t="s">
        <v>1416</v>
      </c>
      <c r="P1267" t="s">
        <v>98</v>
      </c>
      <c r="R1267" t="s">
        <v>586</v>
      </c>
      <c r="S1267" t="s">
        <v>4245</v>
      </c>
      <c r="T1267" t="s">
        <v>4246</v>
      </c>
      <c r="V1267" t="s">
        <v>1365</v>
      </c>
      <c r="W1267" t="s">
        <v>73</v>
      </c>
      <c r="AE1267" t="s">
        <v>478</v>
      </c>
      <c r="AF1267" t="s">
        <v>479</v>
      </c>
      <c r="AL1267" t="s">
        <v>919</v>
      </c>
      <c r="AM1267" t="s">
        <v>919</v>
      </c>
      <c r="AO1267" t="s">
        <v>480</v>
      </c>
      <c r="AP1267" t="s">
        <v>481</v>
      </c>
      <c r="AQ1267" t="s">
        <v>580</v>
      </c>
      <c r="AR1267" t="s">
        <v>482</v>
      </c>
      <c r="BF1267" s="1"/>
      <c r="BH1267" t="s">
        <v>1366</v>
      </c>
      <c r="BP1267" t="s">
        <v>1489</v>
      </c>
    </row>
    <row r="1268" spans="1:68" x14ac:dyDescent="0.25">
      <c r="A1268" t="s">
        <v>5713</v>
      </c>
      <c r="B1268" t="s">
        <v>474</v>
      </c>
      <c r="C1268" t="s">
        <v>2223</v>
      </c>
      <c r="E1268" t="s">
        <v>480</v>
      </c>
      <c r="G1268" s="1" t="s">
        <v>4230</v>
      </c>
      <c r="H1268" t="s">
        <v>581</v>
      </c>
      <c r="J1268">
        <v>500000</v>
      </c>
      <c r="M1268" t="s">
        <v>1422</v>
      </c>
      <c r="P1268" t="s">
        <v>97</v>
      </c>
      <c r="R1268" t="s">
        <v>743</v>
      </c>
      <c r="S1268" t="s">
        <v>4247</v>
      </c>
      <c r="T1268" t="s">
        <v>4248</v>
      </c>
      <c r="V1268" t="s">
        <v>1365</v>
      </c>
      <c r="W1268" t="s">
        <v>73</v>
      </c>
      <c r="AE1268" t="s">
        <v>478</v>
      </c>
      <c r="AF1268" t="s">
        <v>479</v>
      </c>
      <c r="AL1268" t="s">
        <v>919</v>
      </c>
      <c r="AM1268" t="s">
        <v>919</v>
      </c>
      <c r="AO1268" t="s">
        <v>480</v>
      </c>
      <c r="AP1268" t="s">
        <v>481</v>
      </c>
      <c r="AQ1268" t="s">
        <v>677</v>
      </c>
      <c r="AR1268" t="s">
        <v>482</v>
      </c>
      <c r="BF1268" s="1"/>
      <c r="BH1268" t="s">
        <v>1366</v>
      </c>
      <c r="BP1268" t="s">
        <v>1489</v>
      </c>
    </row>
    <row r="1269" spans="1:68" x14ac:dyDescent="0.25">
      <c r="A1269" t="s">
        <v>5713</v>
      </c>
      <c r="B1269" t="s">
        <v>474</v>
      </c>
      <c r="C1269" t="s">
        <v>2223</v>
      </c>
      <c r="E1269" t="s">
        <v>480</v>
      </c>
      <c r="G1269" s="1" t="s">
        <v>4230</v>
      </c>
      <c r="H1269" t="s">
        <v>589</v>
      </c>
      <c r="J1269">
        <v>500000</v>
      </c>
      <c r="M1269" t="s">
        <v>1422</v>
      </c>
      <c r="P1269" t="s">
        <v>75</v>
      </c>
      <c r="R1269" t="s">
        <v>2302</v>
      </c>
      <c r="S1269" t="s">
        <v>4249</v>
      </c>
      <c r="T1269" t="s">
        <v>4250</v>
      </c>
      <c r="V1269" t="s">
        <v>1365</v>
      </c>
      <c r="W1269" t="s">
        <v>73</v>
      </c>
      <c r="AE1269" t="s">
        <v>478</v>
      </c>
      <c r="AF1269" t="s">
        <v>479</v>
      </c>
      <c r="AL1269" t="s">
        <v>919</v>
      </c>
      <c r="AM1269" t="s">
        <v>919</v>
      </c>
      <c r="AO1269" t="s">
        <v>480</v>
      </c>
      <c r="AP1269" t="s">
        <v>481</v>
      </c>
      <c r="AQ1269" t="s">
        <v>599</v>
      </c>
      <c r="AR1269" t="s">
        <v>482</v>
      </c>
      <c r="BF1269" s="1"/>
      <c r="BH1269" t="s">
        <v>1366</v>
      </c>
      <c r="BP1269" t="s">
        <v>1489</v>
      </c>
    </row>
    <row r="1270" spans="1:68" x14ac:dyDescent="0.25">
      <c r="A1270" t="s">
        <v>5713</v>
      </c>
      <c r="B1270" t="s">
        <v>474</v>
      </c>
      <c r="C1270" t="s">
        <v>2259</v>
      </c>
      <c r="E1270" t="s">
        <v>480</v>
      </c>
      <c r="G1270" s="1" t="s">
        <v>4251</v>
      </c>
      <c r="H1270" t="s">
        <v>476</v>
      </c>
      <c r="J1270">
        <v>500000</v>
      </c>
      <c r="M1270" t="s">
        <v>1425</v>
      </c>
      <c r="P1270" t="s">
        <v>172</v>
      </c>
      <c r="R1270" t="s">
        <v>557</v>
      </c>
      <c r="S1270" t="s">
        <v>4252</v>
      </c>
      <c r="T1270" t="s">
        <v>4253</v>
      </c>
      <c r="V1270" t="s">
        <v>1365</v>
      </c>
      <c r="W1270" t="s">
        <v>70</v>
      </c>
      <c r="AE1270" t="s">
        <v>478</v>
      </c>
      <c r="AF1270" t="s">
        <v>479</v>
      </c>
      <c r="AL1270" t="s">
        <v>919</v>
      </c>
      <c r="AM1270" t="s">
        <v>919</v>
      </c>
      <c r="AO1270" t="s">
        <v>480</v>
      </c>
      <c r="AP1270" t="s">
        <v>481</v>
      </c>
      <c r="AQ1270" t="s">
        <v>889</v>
      </c>
      <c r="AR1270" t="s">
        <v>482</v>
      </c>
      <c r="BF1270" s="1"/>
      <c r="BH1270" t="s">
        <v>1366</v>
      </c>
      <c r="BP1270" t="s">
        <v>1489</v>
      </c>
    </row>
    <row r="1271" spans="1:68" x14ac:dyDescent="0.25">
      <c r="A1271" t="s">
        <v>5713</v>
      </c>
      <c r="B1271" t="s">
        <v>474</v>
      </c>
      <c r="C1271" t="s">
        <v>2259</v>
      </c>
      <c r="E1271" t="s">
        <v>480</v>
      </c>
      <c r="G1271" s="1" t="s">
        <v>4254</v>
      </c>
      <c r="H1271" t="s">
        <v>476</v>
      </c>
      <c r="J1271">
        <v>500000</v>
      </c>
      <c r="M1271" t="s">
        <v>1429</v>
      </c>
      <c r="P1271" t="s">
        <v>144</v>
      </c>
      <c r="R1271" t="s">
        <v>722</v>
      </c>
      <c r="S1271" t="s">
        <v>1381</v>
      </c>
      <c r="T1271" t="s">
        <v>1382</v>
      </c>
      <c r="V1271" t="s">
        <v>1365</v>
      </c>
      <c r="W1271" t="s">
        <v>70</v>
      </c>
      <c r="AE1271" t="s">
        <v>478</v>
      </c>
      <c r="AF1271" t="s">
        <v>479</v>
      </c>
      <c r="AL1271" t="s">
        <v>919</v>
      </c>
      <c r="AM1271" t="s">
        <v>919</v>
      </c>
      <c r="AO1271" t="s">
        <v>480</v>
      </c>
      <c r="AP1271" t="s">
        <v>481</v>
      </c>
      <c r="AQ1271" t="s">
        <v>726</v>
      </c>
      <c r="AR1271" t="s">
        <v>482</v>
      </c>
      <c r="BF1271" s="1"/>
      <c r="BH1271" t="s">
        <v>1366</v>
      </c>
      <c r="BP1271" t="s">
        <v>1489</v>
      </c>
    </row>
    <row r="1272" spans="1:68" x14ac:dyDescent="0.25">
      <c r="A1272" t="s">
        <v>5713</v>
      </c>
      <c r="B1272" t="s">
        <v>474</v>
      </c>
      <c r="C1272" t="s">
        <v>2259</v>
      </c>
      <c r="E1272" t="s">
        <v>480</v>
      </c>
      <c r="G1272" s="1" t="s">
        <v>4255</v>
      </c>
      <c r="H1272" t="s">
        <v>476</v>
      </c>
      <c r="J1272">
        <v>500000</v>
      </c>
      <c r="M1272" t="s">
        <v>1429</v>
      </c>
      <c r="P1272" t="s">
        <v>144</v>
      </c>
      <c r="R1272" t="s">
        <v>722</v>
      </c>
      <c r="S1272" t="s">
        <v>1381</v>
      </c>
      <c r="T1272" t="s">
        <v>1382</v>
      </c>
      <c r="V1272" t="s">
        <v>1365</v>
      </c>
      <c r="W1272" t="s">
        <v>70</v>
      </c>
      <c r="AE1272" t="s">
        <v>478</v>
      </c>
      <c r="AF1272" t="s">
        <v>479</v>
      </c>
      <c r="AL1272" t="s">
        <v>919</v>
      </c>
      <c r="AM1272" t="s">
        <v>919</v>
      </c>
      <c r="AO1272" t="s">
        <v>480</v>
      </c>
      <c r="AP1272" t="s">
        <v>481</v>
      </c>
      <c r="AQ1272" t="s">
        <v>726</v>
      </c>
      <c r="AR1272" t="s">
        <v>482</v>
      </c>
      <c r="BF1272" s="1"/>
      <c r="BH1272" t="s">
        <v>1366</v>
      </c>
      <c r="BP1272" t="s">
        <v>1489</v>
      </c>
    </row>
    <row r="1273" spans="1:68" x14ac:dyDescent="0.25">
      <c r="A1273" t="s">
        <v>5713</v>
      </c>
      <c r="B1273" t="s">
        <v>474</v>
      </c>
      <c r="C1273" t="s">
        <v>2259</v>
      </c>
      <c r="E1273" t="s">
        <v>480</v>
      </c>
      <c r="G1273" s="1" t="s">
        <v>4256</v>
      </c>
      <c r="H1273" t="s">
        <v>476</v>
      </c>
      <c r="J1273">
        <v>500000</v>
      </c>
      <c r="M1273" t="s">
        <v>1425</v>
      </c>
      <c r="P1273" t="s">
        <v>160</v>
      </c>
      <c r="R1273" t="s">
        <v>670</v>
      </c>
      <c r="S1273" t="s">
        <v>4257</v>
      </c>
      <c r="T1273" t="s">
        <v>4258</v>
      </c>
      <c r="V1273" t="s">
        <v>1365</v>
      </c>
      <c r="W1273" t="s">
        <v>70</v>
      </c>
      <c r="AE1273" t="s">
        <v>478</v>
      </c>
      <c r="AF1273" t="s">
        <v>479</v>
      </c>
      <c r="AL1273" t="s">
        <v>919</v>
      </c>
      <c r="AM1273" t="s">
        <v>919</v>
      </c>
      <c r="AO1273" t="s">
        <v>480</v>
      </c>
      <c r="AP1273" t="s">
        <v>481</v>
      </c>
      <c r="AQ1273" t="s">
        <v>730</v>
      </c>
      <c r="AR1273" t="s">
        <v>482</v>
      </c>
      <c r="BF1273" s="1"/>
      <c r="BH1273" t="s">
        <v>1366</v>
      </c>
      <c r="BP1273" t="s">
        <v>1489</v>
      </c>
    </row>
    <row r="1274" spans="1:68" x14ac:dyDescent="0.25">
      <c r="A1274" t="s">
        <v>5713</v>
      </c>
      <c r="B1274" t="s">
        <v>474</v>
      </c>
      <c r="C1274" t="s">
        <v>2259</v>
      </c>
      <c r="E1274" t="s">
        <v>480</v>
      </c>
      <c r="G1274" s="1" t="s">
        <v>4259</v>
      </c>
      <c r="H1274" t="s">
        <v>476</v>
      </c>
      <c r="J1274">
        <v>500000</v>
      </c>
      <c r="M1274" t="s">
        <v>1419</v>
      </c>
      <c r="P1274" t="s">
        <v>131</v>
      </c>
      <c r="R1274" t="s">
        <v>512</v>
      </c>
      <c r="S1274" t="s">
        <v>1379</v>
      </c>
      <c r="T1274" t="s">
        <v>1380</v>
      </c>
      <c r="V1274" t="s">
        <v>1365</v>
      </c>
      <c r="W1274" t="s">
        <v>70</v>
      </c>
      <c r="AE1274" t="s">
        <v>478</v>
      </c>
      <c r="AF1274" t="s">
        <v>479</v>
      </c>
      <c r="AL1274" t="s">
        <v>919</v>
      </c>
      <c r="AM1274" t="s">
        <v>919</v>
      </c>
      <c r="AO1274" t="s">
        <v>480</v>
      </c>
      <c r="AP1274" t="s">
        <v>481</v>
      </c>
      <c r="AQ1274" t="s">
        <v>516</v>
      </c>
      <c r="AR1274" t="s">
        <v>482</v>
      </c>
      <c r="BF1274" s="1"/>
      <c r="BH1274" t="s">
        <v>1366</v>
      </c>
      <c r="BP1274" t="s">
        <v>1489</v>
      </c>
    </row>
    <row r="1275" spans="1:68" x14ac:dyDescent="0.25">
      <c r="A1275" t="s">
        <v>5713</v>
      </c>
      <c r="B1275" t="s">
        <v>474</v>
      </c>
      <c r="C1275" t="s">
        <v>2259</v>
      </c>
      <c r="E1275" t="s">
        <v>480</v>
      </c>
      <c r="G1275" s="1" t="s">
        <v>4260</v>
      </c>
      <c r="H1275" t="s">
        <v>476</v>
      </c>
      <c r="J1275">
        <v>500000</v>
      </c>
      <c r="M1275" t="s">
        <v>1418</v>
      </c>
      <c r="P1275" t="s">
        <v>149</v>
      </c>
      <c r="R1275" t="s">
        <v>2060</v>
      </c>
      <c r="S1275" t="s">
        <v>4261</v>
      </c>
      <c r="T1275" t="s">
        <v>4262</v>
      </c>
      <c r="V1275" t="s">
        <v>1365</v>
      </c>
      <c r="W1275" t="s">
        <v>70</v>
      </c>
      <c r="AE1275" t="s">
        <v>478</v>
      </c>
      <c r="AF1275" t="s">
        <v>479</v>
      </c>
      <c r="AL1275" t="s">
        <v>919</v>
      </c>
      <c r="AM1275" t="s">
        <v>919</v>
      </c>
      <c r="AO1275" t="s">
        <v>480</v>
      </c>
      <c r="AP1275" t="s">
        <v>481</v>
      </c>
      <c r="AQ1275" t="s">
        <v>510</v>
      </c>
      <c r="AR1275" t="s">
        <v>482</v>
      </c>
      <c r="BF1275" s="1"/>
      <c r="BH1275" t="s">
        <v>1366</v>
      </c>
      <c r="BP1275" t="s">
        <v>1489</v>
      </c>
    </row>
    <row r="1276" spans="1:68" x14ac:dyDescent="0.25">
      <c r="A1276" t="s">
        <v>5713</v>
      </c>
      <c r="B1276" t="s">
        <v>474</v>
      </c>
      <c r="C1276" t="s">
        <v>2259</v>
      </c>
      <c r="E1276" t="s">
        <v>480</v>
      </c>
      <c r="G1276" s="1" t="s">
        <v>4263</v>
      </c>
      <c r="H1276" t="s">
        <v>476</v>
      </c>
      <c r="J1276">
        <v>500000</v>
      </c>
      <c r="M1276" t="s">
        <v>1418</v>
      </c>
      <c r="P1276" t="s">
        <v>149</v>
      </c>
      <c r="R1276" t="s">
        <v>506</v>
      </c>
      <c r="S1276" t="s">
        <v>1385</v>
      </c>
      <c r="T1276" t="s">
        <v>1386</v>
      </c>
      <c r="V1276" t="s">
        <v>1365</v>
      </c>
      <c r="W1276" t="s">
        <v>70</v>
      </c>
      <c r="AE1276" t="s">
        <v>478</v>
      </c>
      <c r="AF1276" t="s">
        <v>479</v>
      </c>
      <c r="AL1276" t="s">
        <v>919</v>
      </c>
      <c r="AM1276" t="s">
        <v>919</v>
      </c>
      <c r="AO1276" t="s">
        <v>480</v>
      </c>
      <c r="AP1276" t="s">
        <v>481</v>
      </c>
      <c r="AQ1276" t="s">
        <v>510</v>
      </c>
      <c r="AR1276" t="s">
        <v>482</v>
      </c>
      <c r="BF1276" s="1"/>
      <c r="BH1276" t="s">
        <v>1366</v>
      </c>
      <c r="BP1276" t="s">
        <v>1489</v>
      </c>
    </row>
    <row r="1277" spans="1:68" x14ac:dyDescent="0.25">
      <c r="A1277" t="s">
        <v>5713</v>
      </c>
      <c r="B1277" t="s">
        <v>474</v>
      </c>
      <c r="C1277" t="s">
        <v>2259</v>
      </c>
      <c r="E1277" t="s">
        <v>480</v>
      </c>
      <c r="G1277" s="1" t="s">
        <v>4264</v>
      </c>
      <c r="H1277" t="s">
        <v>476</v>
      </c>
      <c r="J1277">
        <v>500000</v>
      </c>
      <c r="M1277" t="s">
        <v>1425</v>
      </c>
      <c r="P1277" t="s">
        <v>92</v>
      </c>
      <c r="R1277" t="s">
        <v>710</v>
      </c>
      <c r="S1277" t="s">
        <v>1371</v>
      </c>
      <c r="T1277" t="s">
        <v>1372</v>
      </c>
      <c r="V1277" t="s">
        <v>1365</v>
      </c>
      <c r="W1277" t="s">
        <v>235</v>
      </c>
      <c r="AE1277" t="s">
        <v>478</v>
      </c>
      <c r="AF1277" t="s">
        <v>479</v>
      </c>
      <c r="AL1277" t="s">
        <v>919</v>
      </c>
      <c r="AM1277" t="s">
        <v>919</v>
      </c>
      <c r="AO1277" t="s">
        <v>480</v>
      </c>
      <c r="AP1277" t="s">
        <v>481</v>
      </c>
      <c r="AQ1277" t="s">
        <v>713</v>
      </c>
      <c r="AR1277" t="s">
        <v>482</v>
      </c>
      <c r="BF1277" s="1"/>
      <c r="BH1277" t="s">
        <v>1366</v>
      </c>
      <c r="BP1277" t="s">
        <v>1489</v>
      </c>
    </row>
    <row r="1278" spans="1:68" x14ac:dyDescent="0.25">
      <c r="A1278" t="s">
        <v>5713</v>
      </c>
      <c r="B1278" t="s">
        <v>474</v>
      </c>
      <c r="C1278" t="s">
        <v>2259</v>
      </c>
      <c r="E1278" t="s">
        <v>480</v>
      </c>
      <c r="G1278" s="1" t="s">
        <v>4265</v>
      </c>
      <c r="H1278" t="s">
        <v>476</v>
      </c>
      <c r="J1278">
        <v>500000</v>
      </c>
      <c r="M1278" t="s">
        <v>1425</v>
      </c>
      <c r="P1278" t="s">
        <v>92</v>
      </c>
      <c r="R1278" t="s">
        <v>710</v>
      </c>
      <c r="S1278" t="s">
        <v>1371</v>
      </c>
      <c r="T1278" t="s">
        <v>1372</v>
      </c>
      <c r="V1278" t="s">
        <v>1365</v>
      </c>
      <c r="W1278" t="s">
        <v>235</v>
      </c>
      <c r="AE1278" t="s">
        <v>478</v>
      </c>
      <c r="AF1278" t="s">
        <v>479</v>
      </c>
      <c r="AL1278" t="s">
        <v>919</v>
      </c>
      <c r="AM1278" t="s">
        <v>919</v>
      </c>
      <c r="AO1278" t="s">
        <v>480</v>
      </c>
      <c r="AP1278" t="s">
        <v>481</v>
      </c>
      <c r="AQ1278" t="s">
        <v>713</v>
      </c>
      <c r="AR1278" t="s">
        <v>482</v>
      </c>
      <c r="BF1278" s="1"/>
      <c r="BH1278" t="s">
        <v>1366</v>
      </c>
      <c r="BP1278" t="s">
        <v>1489</v>
      </c>
    </row>
    <row r="1279" spans="1:68" x14ac:dyDescent="0.25">
      <c r="A1279" t="s">
        <v>5713</v>
      </c>
      <c r="B1279" t="s">
        <v>474</v>
      </c>
      <c r="C1279" t="s">
        <v>2259</v>
      </c>
      <c r="E1279" t="s">
        <v>480</v>
      </c>
      <c r="G1279" s="1" t="s">
        <v>4266</v>
      </c>
      <c r="H1279" t="s">
        <v>476</v>
      </c>
      <c r="J1279">
        <v>500000</v>
      </c>
      <c r="M1279" t="s">
        <v>1425</v>
      </c>
      <c r="P1279" t="s">
        <v>92</v>
      </c>
      <c r="R1279" t="s">
        <v>710</v>
      </c>
      <c r="S1279" t="s">
        <v>1371</v>
      </c>
      <c r="T1279" t="s">
        <v>1372</v>
      </c>
      <c r="V1279" t="s">
        <v>1365</v>
      </c>
      <c r="W1279" t="s">
        <v>235</v>
      </c>
      <c r="AE1279" t="s">
        <v>478</v>
      </c>
      <c r="AF1279" t="s">
        <v>479</v>
      </c>
      <c r="AL1279" t="s">
        <v>919</v>
      </c>
      <c r="AM1279" t="s">
        <v>919</v>
      </c>
      <c r="AO1279" t="s">
        <v>480</v>
      </c>
      <c r="AP1279" t="s">
        <v>481</v>
      </c>
      <c r="AQ1279" t="s">
        <v>713</v>
      </c>
      <c r="AR1279" t="s">
        <v>482</v>
      </c>
      <c r="BF1279" s="1"/>
      <c r="BH1279" t="s">
        <v>1366</v>
      </c>
      <c r="BP1279" t="s">
        <v>1489</v>
      </c>
    </row>
    <row r="1280" spans="1:68" x14ac:dyDescent="0.25">
      <c r="A1280" t="s">
        <v>5713</v>
      </c>
      <c r="B1280" t="s">
        <v>474</v>
      </c>
      <c r="C1280" t="s">
        <v>2259</v>
      </c>
      <c r="E1280" t="s">
        <v>480</v>
      </c>
      <c r="G1280" s="1" t="s">
        <v>4267</v>
      </c>
      <c r="H1280" t="s">
        <v>476</v>
      </c>
      <c r="J1280">
        <v>500000</v>
      </c>
      <c r="M1280" t="s">
        <v>1425</v>
      </c>
      <c r="P1280" t="s">
        <v>92</v>
      </c>
      <c r="R1280" t="s">
        <v>1805</v>
      </c>
      <c r="S1280" t="s">
        <v>4268</v>
      </c>
      <c r="T1280" t="s">
        <v>4269</v>
      </c>
      <c r="V1280" t="s">
        <v>1365</v>
      </c>
      <c r="W1280" t="s">
        <v>235</v>
      </c>
      <c r="AE1280" t="s">
        <v>478</v>
      </c>
      <c r="AF1280" t="s">
        <v>479</v>
      </c>
      <c r="AL1280" t="s">
        <v>919</v>
      </c>
      <c r="AM1280" t="s">
        <v>919</v>
      </c>
      <c r="AO1280" t="s">
        <v>480</v>
      </c>
      <c r="AP1280" t="s">
        <v>481</v>
      </c>
      <c r="AQ1280" t="s">
        <v>713</v>
      </c>
      <c r="AR1280" t="s">
        <v>482</v>
      </c>
      <c r="BF1280" s="1"/>
      <c r="BH1280" t="s">
        <v>1366</v>
      </c>
      <c r="BP1280" t="s">
        <v>1489</v>
      </c>
    </row>
    <row r="1281" spans="1:68" x14ac:dyDescent="0.25">
      <c r="A1281" t="s">
        <v>5713</v>
      </c>
      <c r="B1281" t="s">
        <v>474</v>
      </c>
      <c r="C1281" t="s">
        <v>2259</v>
      </c>
      <c r="E1281" t="s">
        <v>480</v>
      </c>
      <c r="G1281" s="1" t="s">
        <v>4270</v>
      </c>
      <c r="H1281" t="s">
        <v>476</v>
      </c>
      <c r="J1281">
        <v>500000</v>
      </c>
      <c r="M1281" t="s">
        <v>1414</v>
      </c>
      <c r="P1281" t="s">
        <v>117</v>
      </c>
      <c r="R1281" t="s">
        <v>715</v>
      </c>
      <c r="S1281" t="s">
        <v>1373</v>
      </c>
      <c r="T1281" t="s">
        <v>1374</v>
      </c>
      <c r="V1281" t="s">
        <v>1365</v>
      </c>
      <c r="W1281" t="s">
        <v>235</v>
      </c>
      <c r="AE1281" t="s">
        <v>478</v>
      </c>
      <c r="AF1281" t="s">
        <v>479</v>
      </c>
      <c r="AL1281" t="s">
        <v>919</v>
      </c>
      <c r="AM1281" t="s">
        <v>919</v>
      </c>
      <c r="AO1281" t="s">
        <v>480</v>
      </c>
      <c r="AP1281" t="s">
        <v>481</v>
      </c>
      <c r="AQ1281" t="s">
        <v>718</v>
      </c>
      <c r="AR1281" t="s">
        <v>482</v>
      </c>
      <c r="BF1281" s="1"/>
      <c r="BH1281" t="s">
        <v>1366</v>
      </c>
      <c r="BP1281" t="s">
        <v>1489</v>
      </c>
    </row>
    <row r="1282" spans="1:68" x14ac:dyDescent="0.25">
      <c r="A1282" t="s">
        <v>5713</v>
      </c>
      <c r="B1282" t="s">
        <v>474</v>
      </c>
      <c r="C1282" t="s">
        <v>2259</v>
      </c>
      <c r="E1282" t="s">
        <v>480</v>
      </c>
      <c r="G1282" s="1" t="s">
        <v>4271</v>
      </c>
      <c r="H1282" t="s">
        <v>476</v>
      </c>
      <c r="J1282">
        <v>500000</v>
      </c>
      <c r="M1282" t="s">
        <v>1414</v>
      </c>
      <c r="P1282" t="s">
        <v>117</v>
      </c>
      <c r="R1282" t="s">
        <v>734</v>
      </c>
      <c r="S1282" t="s">
        <v>4272</v>
      </c>
      <c r="T1282" t="s">
        <v>4273</v>
      </c>
      <c r="V1282" t="s">
        <v>1365</v>
      </c>
      <c r="W1282" t="s">
        <v>235</v>
      </c>
      <c r="AE1282" t="s">
        <v>478</v>
      </c>
      <c r="AF1282" t="s">
        <v>479</v>
      </c>
      <c r="AL1282" t="s">
        <v>919</v>
      </c>
      <c r="AM1282" t="s">
        <v>919</v>
      </c>
      <c r="AO1282" t="s">
        <v>480</v>
      </c>
      <c r="AP1282" t="s">
        <v>481</v>
      </c>
      <c r="AQ1282" t="s">
        <v>718</v>
      </c>
      <c r="AR1282" t="s">
        <v>482</v>
      </c>
      <c r="BF1282" s="1"/>
      <c r="BH1282" t="s">
        <v>1366</v>
      </c>
      <c r="BP1282" t="s">
        <v>1489</v>
      </c>
    </row>
    <row r="1283" spans="1:68" x14ac:dyDescent="0.25">
      <c r="A1283" t="s">
        <v>5713</v>
      </c>
      <c r="B1283" t="s">
        <v>474</v>
      </c>
      <c r="C1283" t="s">
        <v>2259</v>
      </c>
      <c r="E1283" t="s">
        <v>480</v>
      </c>
      <c r="G1283" s="1" t="s">
        <v>4274</v>
      </c>
      <c r="H1283" t="s">
        <v>476</v>
      </c>
      <c r="J1283">
        <v>500000</v>
      </c>
      <c r="M1283" t="s">
        <v>1424</v>
      </c>
      <c r="P1283" t="s">
        <v>90</v>
      </c>
      <c r="R1283" t="s">
        <v>907</v>
      </c>
      <c r="S1283" t="s">
        <v>4275</v>
      </c>
      <c r="T1283" t="s">
        <v>4276</v>
      </c>
      <c r="V1283" t="s">
        <v>1365</v>
      </c>
      <c r="W1283" t="s">
        <v>235</v>
      </c>
      <c r="AE1283" t="s">
        <v>478</v>
      </c>
      <c r="AF1283" t="s">
        <v>479</v>
      </c>
      <c r="AL1283" t="s">
        <v>919</v>
      </c>
      <c r="AM1283" t="s">
        <v>919</v>
      </c>
      <c r="AO1283" t="s">
        <v>480</v>
      </c>
      <c r="AP1283" t="s">
        <v>481</v>
      </c>
      <c r="AQ1283" t="s">
        <v>740</v>
      </c>
      <c r="AR1283" t="s">
        <v>482</v>
      </c>
      <c r="BF1283" s="1"/>
      <c r="BH1283" t="s">
        <v>1366</v>
      </c>
      <c r="BP1283" t="s">
        <v>1489</v>
      </c>
    </row>
    <row r="1284" spans="1:68" x14ac:dyDescent="0.25">
      <c r="A1284" t="s">
        <v>5713</v>
      </c>
      <c r="B1284" t="s">
        <v>474</v>
      </c>
      <c r="C1284" t="s">
        <v>2018</v>
      </c>
      <c r="E1284" t="s">
        <v>480</v>
      </c>
      <c r="G1284" s="1" t="s">
        <v>4277</v>
      </c>
      <c r="H1284" t="s">
        <v>476</v>
      </c>
      <c r="J1284">
        <v>500000</v>
      </c>
      <c r="M1284" t="s">
        <v>1425</v>
      </c>
      <c r="P1284" t="s">
        <v>170</v>
      </c>
      <c r="R1284" t="s">
        <v>1805</v>
      </c>
      <c r="S1284" t="s">
        <v>4278</v>
      </c>
      <c r="T1284" t="s">
        <v>4279</v>
      </c>
      <c r="V1284" t="s">
        <v>1365</v>
      </c>
      <c r="W1284" t="s">
        <v>73</v>
      </c>
      <c r="AE1284" t="s">
        <v>478</v>
      </c>
      <c r="AF1284" t="s">
        <v>479</v>
      </c>
      <c r="AL1284" t="s">
        <v>919</v>
      </c>
      <c r="AM1284" t="s">
        <v>919</v>
      </c>
      <c r="AO1284" t="s">
        <v>480</v>
      </c>
      <c r="AP1284" t="s">
        <v>481</v>
      </c>
      <c r="AQ1284" t="s">
        <v>854</v>
      </c>
      <c r="AR1284" t="s">
        <v>482</v>
      </c>
      <c r="BF1284" s="1"/>
      <c r="BH1284" t="s">
        <v>1366</v>
      </c>
      <c r="BP1284" t="s">
        <v>1489</v>
      </c>
    </row>
    <row r="1285" spans="1:68" x14ac:dyDescent="0.25">
      <c r="A1285" t="s">
        <v>5713</v>
      </c>
      <c r="B1285" t="s">
        <v>474</v>
      </c>
      <c r="C1285" t="s">
        <v>2018</v>
      </c>
      <c r="E1285" t="s">
        <v>480</v>
      </c>
      <c r="G1285" s="1" t="s">
        <v>4280</v>
      </c>
      <c r="H1285" t="s">
        <v>476</v>
      </c>
      <c r="J1285">
        <v>500000</v>
      </c>
      <c r="M1285" t="s">
        <v>1420</v>
      </c>
      <c r="P1285" t="s">
        <v>95</v>
      </c>
      <c r="R1285" t="s">
        <v>753</v>
      </c>
      <c r="S1285" t="s">
        <v>1440</v>
      </c>
      <c r="T1285" t="s">
        <v>1441</v>
      </c>
      <c r="V1285" t="s">
        <v>1365</v>
      </c>
      <c r="W1285" t="s">
        <v>73</v>
      </c>
      <c r="AE1285" t="s">
        <v>478</v>
      </c>
      <c r="AF1285" t="s">
        <v>479</v>
      </c>
      <c r="AL1285" t="s">
        <v>919</v>
      </c>
      <c r="AM1285" t="s">
        <v>919</v>
      </c>
      <c r="AO1285" t="s">
        <v>480</v>
      </c>
      <c r="AP1285" t="s">
        <v>481</v>
      </c>
      <c r="AQ1285" t="s">
        <v>563</v>
      </c>
      <c r="AR1285" t="s">
        <v>482</v>
      </c>
      <c r="BF1285" s="1"/>
      <c r="BH1285" t="s">
        <v>1366</v>
      </c>
      <c r="BP1285" t="s">
        <v>1489</v>
      </c>
    </row>
    <row r="1286" spans="1:68" x14ac:dyDescent="0.25">
      <c r="A1286" t="s">
        <v>5713</v>
      </c>
      <c r="B1286" t="s">
        <v>474</v>
      </c>
      <c r="C1286" t="s">
        <v>2018</v>
      </c>
      <c r="E1286" t="s">
        <v>480</v>
      </c>
      <c r="G1286" s="1" t="s">
        <v>4280</v>
      </c>
      <c r="H1286" t="s">
        <v>498</v>
      </c>
      <c r="J1286">
        <v>500000</v>
      </c>
      <c r="M1286" t="s">
        <v>1420</v>
      </c>
      <c r="P1286" t="s">
        <v>119</v>
      </c>
      <c r="R1286" t="s">
        <v>543</v>
      </c>
      <c r="S1286" t="s">
        <v>4281</v>
      </c>
      <c r="T1286" t="s">
        <v>4282</v>
      </c>
      <c r="V1286" t="s">
        <v>1365</v>
      </c>
      <c r="W1286" t="s">
        <v>73</v>
      </c>
      <c r="AE1286" t="s">
        <v>478</v>
      </c>
      <c r="AF1286" t="s">
        <v>479</v>
      </c>
      <c r="AL1286" t="s">
        <v>919</v>
      </c>
      <c r="AM1286" t="s">
        <v>919</v>
      </c>
      <c r="AO1286" t="s">
        <v>480</v>
      </c>
      <c r="AP1286" t="s">
        <v>481</v>
      </c>
      <c r="AQ1286" t="s">
        <v>756</v>
      </c>
      <c r="AR1286" t="s">
        <v>482</v>
      </c>
      <c r="BF1286" s="1"/>
      <c r="BH1286" t="s">
        <v>1366</v>
      </c>
      <c r="BP1286" t="s">
        <v>1489</v>
      </c>
    </row>
    <row r="1287" spans="1:68" x14ac:dyDescent="0.25">
      <c r="A1287" t="s">
        <v>5713</v>
      </c>
      <c r="B1287" t="s">
        <v>474</v>
      </c>
      <c r="C1287" t="s">
        <v>2018</v>
      </c>
      <c r="E1287" t="s">
        <v>480</v>
      </c>
      <c r="G1287" s="1" t="s">
        <v>4280</v>
      </c>
      <c r="H1287" t="s">
        <v>517</v>
      </c>
      <c r="J1287">
        <v>500000</v>
      </c>
      <c r="M1287" t="s">
        <v>1425</v>
      </c>
      <c r="P1287" t="s">
        <v>116</v>
      </c>
      <c r="R1287" t="s">
        <v>1811</v>
      </c>
      <c r="S1287" t="s">
        <v>4283</v>
      </c>
      <c r="T1287" t="s">
        <v>4284</v>
      </c>
      <c r="V1287" t="s">
        <v>1365</v>
      </c>
      <c r="W1287" t="s">
        <v>73</v>
      </c>
      <c r="AE1287" t="s">
        <v>478</v>
      </c>
      <c r="AF1287" t="s">
        <v>479</v>
      </c>
      <c r="AL1287" t="s">
        <v>919</v>
      </c>
      <c r="AM1287" t="s">
        <v>919</v>
      </c>
      <c r="AO1287" t="s">
        <v>480</v>
      </c>
      <c r="AP1287" t="s">
        <v>481</v>
      </c>
      <c r="AQ1287" t="s">
        <v>645</v>
      </c>
      <c r="AR1287" t="s">
        <v>482</v>
      </c>
      <c r="BF1287" s="1"/>
      <c r="BH1287" t="s">
        <v>1366</v>
      </c>
      <c r="BP1287" t="s">
        <v>1489</v>
      </c>
    </row>
    <row r="1288" spans="1:68" x14ac:dyDescent="0.25">
      <c r="A1288" t="s">
        <v>5713</v>
      </c>
      <c r="B1288" t="s">
        <v>474</v>
      </c>
      <c r="C1288" t="s">
        <v>2018</v>
      </c>
      <c r="E1288" t="s">
        <v>480</v>
      </c>
      <c r="G1288" s="1" t="s">
        <v>4280</v>
      </c>
      <c r="H1288" t="s">
        <v>542</v>
      </c>
      <c r="J1288">
        <v>500000</v>
      </c>
      <c r="M1288" t="s">
        <v>1425</v>
      </c>
      <c r="P1288" t="s">
        <v>110</v>
      </c>
      <c r="R1288" t="s">
        <v>532</v>
      </c>
      <c r="S1288" t="s">
        <v>4285</v>
      </c>
      <c r="T1288" t="s">
        <v>4286</v>
      </c>
      <c r="V1288" t="s">
        <v>1365</v>
      </c>
      <c r="W1288" t="s">
        <v>73</v>
      </c>
      <c r="AE1288" t="s">
        <v>478</v>
      </c>
      <c r="AF1288" t="s">
        <v>479</v>
      </c>
      <c r="AL1288" t="s">
        <v>919</v>
      </c>
      <c r="AM1288" t="s">
        <v>919</v>
      </c>
      <c r="AO1288" t="s">
        <v>480</v>
      </c>
      <c r="AP1288" t="s">
        <v>481</v>
      </c>
      <c r="AQ1288" t="s">
        <v>624</v>
      </c>
      <c r="AR1288" t="s">
        <v>482</v>
      </c>
      <c r="BF1288" s="1"/>
      <c r="BH1288" t="s">
        <v>1366</v>
      </c>
      <c r="BP1288" t="s">
        <v>1489</v>
      </c>
    </row>
    <row r="1289" spans="1:68" x14ac:dyDescent="0.25">
      <c r="A1289" t="s">
        <v>5713</v>
      </c>
      <c r="B1289" t="s">
        <v>474</v>
      </c>
      <c r="C1289" t="s">
        <v>2018</v>
      </c>
      <c r="E1289" t="s">
        <v>480</v>
      </c>
      <c r="G1289" s="1" t="s">
        <v>4280</v>
      </c>
      <c r="H1289" t="s">
        <v>549</v>
      </c>
      <c r="J1289">
        <v>500000</v>
      </c>
      <c r="M1289" t="s">
        <v>1420</v>
      </c>
      <c r="P1289" t="s">
        <v>105</v>
      </c>
      <c r="R1289" t="s">
        <v>635</v>
      </c>
      <c r="S1289" t="s">
        <v>4287</v>
      </c>
      <c r="T1289" t="s">
        <v>4288</v>
      </c>
      <c r="V1289" t="s">
        <v>1365</v>
      </c>
      <c r="W1289" t="s">
        <v>73</v>
      </c>
      <c r="AE1289" t="s">
        <v>478</v>
      </c>
      <c r="AF1289" t="s">
        <v>479</v>
      </c>
      <c r="AL1289" t="s">
        <v>919</v>
      </c>
      <c r="AM1289" t="s">
        <v>919</v>
      </c>
      <c r="AO1289" t="s">
        <v>480</v>
      </c>
      <c r="AP1289" t="s">
        <v>481</v>
      </c>
      <c r="AQ1289" t="s">
        <v>607</v>
      </c>
      <c r="AR1289" t="s">
        <v>482</v>
      </c>
      <c r="BF1289" s="1"/>
      <c r="BH1289" t="s">
        <v>1366</v>
      </c>
      <c r="BP1289" t="s">
        <v>1489</v>
      </c>
    </row>
    <row r="1290" spans="1:68" x14ac:dyDescent="0.25">
      <c r="A1290" t="s">
        <v>5713</v>
      </c>
      <c r="B1290" t="s">
        <v>474</v>
      </c>
      <c r="C1290" t="s">
        <v>2018</v>
      </c>
      <c r="E1290" t="s">
        <v>480</v>
      </c>
      <c r="G1290" s="1" t="s">
        <v>4280</v>
      </c>
      <c r="H1290" t="s">
        <v>556</v>
      </c>
      <c r="J1290">
        <v>500000</v>
      </c>
      <c r="M1290" t="s">
        <v>1416</v>
      </c>
      <c r="P1290" t="s">
        <v>128</v>
      </c>
      <c r="R1290" t="s">
        <v>524</v>
      </c>
      <c r="S1290" t="s">
        <v>4289</v>
      </c>
      <c r="T1290" t="s">
        <v>4290</v>
      </c>
      <c r="V1290" t="s">
        <v>1365</v>
      </c>
      <c r="W1290" t="s">
        <v>73</v>
      </c>
      <c r="AE1290" t="s">
        <v>478</v>
      </c>
      <c r="AF1290" t="s">
        <v>479</v>
      </c>
      <c r="AL1290" t="s">
        <v>919</v>
      </c>
      <c r="AM1290" t="s">
        <v>919</v>
      </c>
      <c r="AO1290" t="s">
        <v>480</v>
      </c>
      <c r="AP1290" t="s">
        <v>481</v>
      </c>
      <c r="AQ1290" t="s">
        <v>528</v>
      </c>
      <c r="AR1290" t="s">
        <v>482</v>
      </c>
      <c r="BF1290" s="1"/>
      <c r="BH1290" t="s">
        <v>1366</v>
      </c>
      <c r="BP1290" t="s">
        <v>1489</v>
      </c>
    </row>
    <row r="1291" spans="1:68" x14ac:dyDescent="0.25">
      <c r="A1291" t="s">
        <v>5713</v>
      </c>
      <c r="B1291" t="s">
        <v>474</v>
      </c>
      <c r="C1291" t="s">
        <v>2018</v>
      </c>
      <c r="E1291" t="s">
        <v>480</v>
      </c>
      <c r="G1291" s="1" t="s">
        <v>4280</v>
      </c>
      <c r="H1291" t="s">
        <v>562</v>
      </c>
      <c r="J1291">
        <v>500000</v>
      </c>
      <c r="M1291" t="s">
        <v>1423</v>
      </c>
      <c r="P1291" t="s">
        <v>111</v>
      </c>
      <c r="R1291" t="s">
        <v>568</v>
      </c>
      <c r="S1291" t="s">
        <v>4291</v>
      </c>
      <c r="T1291" t="s">
        <v>4292</v>
      </c>
      <c r="V1291" t="s">
        <v>1365</v>
      </c>
      <c r="W1291" t="s">
        <v>73</v>
      </c>
      <c r="AE1291" t="s">
        <v>478</v>
      </c>
      <c r="AF1291" t="s">
        <v>479</v>
      </c>
      <c r="AL1291" t="s">
        <v>919</v>
      </c>
      <c r="AM1291" t="s">
        <v>919</v>
      </c>
      <c r="AO1291" t="s">
        <v>480</v>
      </c>
      <c r="AP1291" t="s">
        <v>481</v>
      </c>
      <c r="AQ1291" t="s">
        <v>548</v>
      </c>
      <c r="AR1291" t="s">
        <v>482</v>
      </c>
      <c r="BF1291" s="1"/>
      <c r="BH1291" t="s">
        <v>1366</v>
      </c>
      <c r="BP1291" t="s">
        <v>1489</v>
      </c>
    </row>
    <row r="1292" spans="1:68" x14ac:dyDescent="0.25">
      <c r="A1292" t="s">
        <v>5713</v>
      </c>
      <c r="B1292" t="s">
        <v>474</v>
      </c>
      <c r="C1292" t="s">
        <v>2018</v>
      </c>
      <c r="E1292" t="s">
        <v>480</v>
      </c>
      <c r="G1292" s="1" t="s">
        <v>4280</v>
      </c>
      <c r="H1292" t="s">
        <v>567</v>
      </c>
      <c r="J1292">
        <v>500000</v>
      </c>
      <c r="M1292" t="s">
        <v>1423</v>
      </c>
      <c r="P1292" t="s">
        <v>140</v>
      </c>
      <c r="R1292" t="s">
        <v>1820</v>
      </c>
      <c r="S1292" t="s">
        <v>4293</v>
      </c>
      <c r="T1292" t="s">
        <v>4294</v>
      </c>
      <c r="V1292" t="s">
        <v>1365</v>
      </c>
      <c r="W1292" t="s">
        <v>73</v>
      </c>
      <c r="AE1292" t="s">
        <v>478</v>
      </c>
      <c r="AF1292" t="s">
        <v>479</v>
      </c>
      <c r="AL1292" t="s">
        <v>919</v>
      </c>
      <c r="AM1292" t="s">
        <v>919</v>
      </c>
      <c r="AO1292" t="s">
        <v>480</v>
      </c>
      <c r="AP1292" t="s">
        <v>481</v>
      </c>
      <c r="AQ1292" t="s">
        <v>681</v>
      </c>
      <c r="AR1292" t="s">
        <v>482</v>
      </c>
      <c r="BF1292" s="1"/>
      <c r="BH1292" t="s">
        <v>1366</v>
      </c>
      <c r="BP1292" t="s">
        <v>1489</v>
      </c>
    </row>
    <row r="1293" spans="1:68" x14ac:dyDescent="0.25">
      <c r="A1293" t="s">
        <v>5713</v>
      </c>
      <c r="B1293" t="s">
        <v>474</v>
      </c>
      <c r="C1293" t="s">
        <v>2018</v>
      </c>
      <c r="E1293" t="s">
        <v>480</v>
      </c>
      <c r="G1293" s="1" t="s">
        <v>4280</v>
      </c>
      <c r="H1293" t="s">
        <v>575</v>
      </c>
      <c r="J1293">
        <v>500000</v>
      </c>
      <c r="M1293" t="s">
        <v>1422</v>
      </c>
      <c r="P1293" t="s">
        <v>120</v>
      </c>
      <c r="R1293" t="s">
        <v>876</v>
      </c>
      <c r="S1293" t="s">
        <v>4295</v>
      </c>
      <c r="T1293" t="s">
        <v>4296</v>
      </c>
      <c r="V1293" t="s">
        <v>1365</v>
      </c>
      <c r="W1293" t="s">
        <v>73</v>
      </c>
      <c r="AE1293" t="s">
        <v>478</v>
      </c>
      <c r="AF1293" t="s">
        <v>479</v>
      </c>
      <c r="AL1293" t="s">
        <v>919</v>
      </c>
      <c r="AM1293" t="s">
        <v>919</v>
      </c>
      <c r="AO1293" t="s">
        <v>480</v>
      </c>
      <c r="AP1293" t="s">
        <v>481</v>
      </c>
      <c r="AQ1293" t="s">
        <v>632</v>
      </c>
      <c r="AR1293" t="s">
        <v>482</v>
      </c>
      <c r="BF1293" s="1"/>
      <c r="BH1293" t="s">
        <v>1366</v>
      </c>
      <c r="BP1293" t="s">
        <v>1489</v>
      </c>
    </row>
    <row r="1294" spans="1:68" x14ac:dyDescent="0.25">
      <c r="A1294" t="s">
        <v>5713</v>
      </c>
      <c r="B1294" t="s">
        <v>474</v>
      </c>
      <c r="C1294" t="s">
        <v>2018</v>
      </c>
      <c r="E1294" t="s">
        <v>480</v>
      </c>
      <c r="G1294" s="1" t="s">
        <v>4280</v>
      </c>
      <c r="H1294" t="s">
        <v>581</v>
      </c>
      <c r="J1294">
        <v>500000</v>
      </c>
      <c r="M1294" t="s">
        <v>1420</v>
      </c>
      <c r="P1294" t="s">
        <v>109</v>
      </c>
      <c r="R1294" t="s">
        <v>753</v>
      </c>
      <c r="S1294" t="s">
        <v>4297</v>
      </c>
      <c r="T1294" t="s">
        <v>4298</v>
      </c>
      <c r="V1294" t="s">
        <v>1365</v>
      </c>
      <c r="W1294" t="s">
        <v>73</v>
      </c>
      <c r="AE1294" t="s">
        <v>478</v>
      </c>
      <c r="AF1294" t="s">
        <v>479</v>
      </c>
      <c r="AL1294" t="s">
        <v>919</v>
      </c>
      <c r="AM1294" t="s">
        <v>919</v>
      </c>
      <c r="AO1294" t="s">
        <v>480</v>
      </c>
      <c r="AP1294" t="s">
        <v>481</v>
      </c>
      <c r="AQ1294" t="s">
        <v>536</v>
      </c>
      <c r="AR1294" t="s">
        <v>482</v>
      </c>
      <c r="BF1294" s="1"/>
      <c r="BH1294" t="s">
        <v>1366</v>
      </c>
      <c r="BP1294" t="s">
        <v>1489</v>
      </c>
    </row>
    <row r="1295" spans="1:68" x14ac:dyDescent="0.25">
      <c r="A1295" t="s">
        <v>5713</v>
      </c>
      <c r="B1295" t="s">
        <v>474</v>
      </c>
      <c r="C1295" t="s">
        <v>2018</v>
      </c>
      <c r="E1295" t="s">
        <v>480</v>
      </c>
      <c r="G1295" s="1" t="s">
        <v>4280</v>
      </c>
      <c r="H1295" t="s">
        <v>589</v>
      </c>
      <c r="J1295">
        <v>500000</v>
      </c>
      <c r="M1295" t="s">
        <v>1423</v>
      </c>
      <c r="P1295" t="s">
        <v>124</v>
      </c>
      <c r="R1295" t="s">
        <v>739</v>
      </c>
      <c r="S1295" t="s">
        <v>4299</v>
      </c>
      <c r="T1295" t="s">
        <v>4300</v>
      </c>
      <c r="V1295" t="s">
        <v>1365</v>
      </c>
      <c r="W1295" t="s">
        <v>73</v>
      </c>
      <c r="AE1295" t="s">
        <v>478</v>
      </c>
      <c r="AF1295" t="s">
        <v>479</v>
      </c>
      <c r="AL1295" t="s">
        <v>919</v>
      </c>
      <c r="AM1295" t="s">
        <v>919</v>
      </c>
      <c r="AO1295" t="s">
        <v>480</v>
      </c>
      <c r="AP1295" t="s">
        <v>481</v>
      </c>
      <c r="AQ1295" t="s">
        <v>588</v>
      </c>
      <c r="AR1295" t="s">
        <v>482</v>
      </c>
      <c r="BF1295" s="1"/>
      <c r="BH1295" t="s">
        <v>1366</v>
      </c>
      <c r="BP1295" t="s">
        <v>1489</v>
      </c>
    </row>
    <row r="1296" spans="1:68" x14ac:dyDescent="0.25">
      <c r="A1296" t="s">
        <v>5713</v>
      </c>
      <c r="B1296" t="s">
        <v>474</v>
      </c>
      <c r="C1296" t="s">
        <v>2018</v>
      </c>
      <c r="E1296" t="s">
        <v>480</v>
      </c>
      <c r="G1296" s="1" t="s">
        <v>4301</v>
      </c>
      <c r="H1296" t="s">
        <v>476</v>
      </c>
      <c r="J1296">
        <v>500000</v>
      </c>
      <c r="M1296" t="s">
        <v>1425</v>
      </c>
      <c r="P1296" t="s">
        <v>170</v>
      </c>
      <c r="R1296" t="s">
        <v>821</v>
      </c>
      <c r="S1296" t="s">
        <v>4302</v>
      </c>
      <c r="T1296" t="s">
        <v>4303</v>
      </c>
      <c r="V1296" t="s">
        <v>1365</v>
      </c>
      <c r="W1296" t="s">
        <v>73</v>
      </c>
      <c r="AE1296" t="s">
        <v>478</v>
      </c>
      <c r="AF1296" t="s">
        <v>479</v>
      </c>
      <c r="AL1296" t="s">
        <v>919</v>
      </c>
      <c r="AM1296" t="s">
        <v>919</v>
      </c>
      <c r="AO1296" t="s">
        <v>480</v>
      </c>
      <c r="AP1296" t="s">
        <v>481</v>
      </c>
      <c r="AQ1296" t="s">
        <v>854</v>
      </c>
      <c r="AR1296" t="s">
        <v>482</v>
      </c>
      <c r="BF1296" s="1"/>
      <c r="BH1296" t="s">
        <v>1366</v>
      </c>
      <c r="BP1296" t="s">
        <v>1489</v>
      </c>
    </row>
    <row r="1297" spans="1:68" x14ac:dyDescent="0.25">
      <c r="A1297" t="s">
        <v>5713</v>
      </c>
      <c r="B1297" t="s">
        <v>474</v>
      </c>
      <c r="C1297" t="s">
        <v>2018</v>
      </c>
      <c r="E1297" t="s">
        <v>480</v>
      </c>
      <c r="G1297" s="1" t="s">
        <v>4301</v>
      </c>
      <c r="H1297" t="s">
        <v>498</v>
      </c>
      <c r="J1297">
        <v>500000</v>
      </c>
      <c r="M1297" t="s">
        <v>1427</v>
      </c>
      <c r="P1297" t="s">
        <v>104</v>
      </c>
      <c r="R1297" t="s">
        <v>859</v>
      </c>
      <c r="S1297" t="s">
        <v>4304</v>
      </c>
      <c r="T1297" t="s">
        <v>4305</v>
      </c>
      <c r="V1297" t="s">
        <v>1365</v>
      </c>
      <c r="W1297" t="s">
        <v>73</v>
      </c>
      <c r="AE1297" t="s">
        <v>478</v>
      </c>
      <c r="AF1297" t="s">
        <v>479</v>
      </c>
      <c r="AL1297" t="s">
        <v>919</v>
      </c>
      <c r="AM1297" t="s">
        <v>919</v>
      </c>
      <c r="AO1297" t="s">
        <v>480</v>
      </c>
      <c r="AP1297" t="s">
        <v>481</v>
      </c>
      <c r="AQ1297" t="s">
        <v>637</v>
      </c>
      <c r="AR1297" t="s">
        <v>482</v>
      </c>
      <c r="BF1297" s="1"/>
      <c r="BH1297" t="s">
        <v>1366</v>
      </c>
      <c r="BP1297" t="s">
        <v>1489</v>
      </c>
    </row>
    <row r="1298" spans="1:68" x14ac:dyDescent="0.25">
      <c r="A1298" t="s">
        <v>5713</v>
      </c>
      <c r="B1298" t="s">
        <v>474</v>
      </c>
      <c r="C1298" t="s">
        <v>2018</v>
      </c>
      <c r="E1298" t="s">
        <v>480</v>
      </c>
      <c r="G1298" s="1" t="s">
        <v>4301</v>
      </c>
      <c r="H1298" t="s">
        <v>517</v>
      </c>
      <c r="J1298">
        <v>500000</v>
      </c>
      <c r="M1298" t="s">
        <v>1426</v>
      </c>
      <c r="P1298" t="s">
        <v>155</v>
      </c>
      <c r="R1298" t="s">
        <v>557</v>
      </c>
      <c r="S1298" t="s">
        <v>4306</v>
      </c>
      <c r="T1298" t="s">
        <v>4307</v>
      </c>
      <c r="V1298" t="s">
        <v>1365</v>
      </c>
      <c r="W1298" t="s">
        <v>73</v>
      </c>
      <c r="AE1298" t="s">
        <v>478</v>
      </c>
      <c r="AF1298" t="s">
        <v>479</v>
      </c>
      <c r="AL1298" t="s">
        <v>919</v>
      </c>
      <c r="AM1298" t="s">
        <v>919</v>
      </c>
      <c r="AO1298" t="s">
        <v>480</v>
      </c>
      <c r="AP1298" t="s">
        <v>481</v>
      </c>
      <c r="AQ1298" t="s">
        <v>610</v>
      </c>
      <c r="AR1298" t="s">
        <v>482</v>
      </c>
      <c r="BF1298" s="1"/>
      <c r="BH1298" t="s">
        <v>1366</v>
      </c>
      <c r="BP1298" t="s">
        <v>1489</v>
      </c>
    </row>
    <row r="1299" spans="1:68" x14ac:dyDescent="0.25">
      <c r="A1299" t="s">
        <v>5713</v>
      </c>
      <c r="B1299" t="s">
        <v>474</v>
      </c>
      <c r="C1299" t="s">
        <v>2018</v>
      </c>
      <c r="E1299" t="s">
        <v>480</v>
      </c>
      <c r="G1299" s="1" t="s">
        <v>4301</v>
      </c>
      <c r="H1299" t="s">
        <v>542</v>
      </c>
      <c r="J1299">
        <v>500000</v>
      </c>
      <c r="M1299" t="s">
        <v>1416</v>
      </c>
      <c r="P1299" t="s">
        <v>135</v>
      </c>
      <c r="R1299" t="s">
        <v>601</v>
      </c>
      <c r="S1299" t="s">
        <v>1410</v>
      </c>
      <c r="T1299" t="s">
        <v>1411</v>
      </c>
      <c r="V1299" t="s">
        <v>1365</v>
      </c>
      <c r="W1299" t="s">
        <v>73</v>
      </c>
      <c r="AE1299" t="s">
        <v>478</v>
      </c>
      <c r="AF1299" t="s">
        <v>479</v>
      </c>
      <c r="AL1299" t="s">
        <v>919</v>
      </c>
      <c r="AM1299" t="s">
        <v>919</v>
      </c>
      <c r="AO1299" t="s">
        <v>480</v>
      </c>
      <c r="AP1299" t="s">
        <v>481</v>
      </c>
      <c r="AQ1299" t="s">
        <v>574</v>
      </c>
      <c r="AR1299" t="s">
        <v>482</v>
      </c>
      <c r="BF1299" s="1"/>
      <c r="BH1299" t="s">
        <v>1366</v>
      </c>
      <c r="BP1299" t="s">
        <v>1489</v>
      </c>
    </row>
    <row r="1300" spans="1:68" x14ac:dyDescent="0.25">
      <c r="A1300" t="s">
        <v>5713</v>
      </c>
      <c r="B1300" t="s">
        <v>474</v>
      </c>
      <c r="C1300" t="s">
        <v>2018</v>
      </c>
      <c r="E1300" t="s">
        <v>480</v>
      </c>
      <c r="G1300" s="1" t="s">
        <v>4308</v>
      </c>
      <c r="H1300" t="s">
        <v>476</v>
      </c>
      <c r="J1300">
        <v>500000</v>
      </c>
      <c r="M1300" t="s">
        <v>1420</v>
      </c>
      <c r="P1300" t="s">
        <v>109</v>
      </c>
      <c r="R1300" t="s">
        <v>613</v>
      </c>
      <c r="S1300" t="s">
        <v>4309</v>
      </c>
      <c r="T1300" t="s">
        <v>4310</v>
      </c>
      <c r="V1300" t="s">
        <v>1365</v>
      </c>
      <c r="W1300" t="s">
        <v>73</v>
      </c>
      <c r="AE1300" t="s">
        <v>478</v>
      </c>
      <c r="AF1300" t="s">
        <v>479</v>
      </c>
      <c r="AL1300" t="s">
        <v>919</v>
      </c>
      <c r="AM1300" t="s">
        <v>919</v>
      </c>
      <c r="AO1300" t="s">
        <v>480</v>
      </c>
      <c r="AP1300" t="s">
        <v>481</v>
      </c>
      <c r="AQ1300" t="s">
        <v>536</v>
      </c>
      <c r="AR1300" t="s">
        <v>482</v>
      </c>
      <c r="BF1300" s="1"/>
      <c r="BH1300" t="s">
        <v>1366</v>
      </c>
      <c r="BP1300" t="s">
        <v>1489</v>
      </c>
    </row>
    <row r="1301" spans="1:68" x14ac:dyDescent="0.25">
      <c r="A1301" t="s">
        <v>5713</v>
      </c>
      <c r="B1301" t="s">
        <v>474</v>
      </c>
      <c r="C1301" t="s">
        <v>2018</v>
      </c>
      <c r="E1301" t="s">
        <v>480</v>
      </c>
      <c r="G1301" s="1" t="s">
        <v>4311</v>
      </c>
      <c r="H1301" t="s">
        <v>476</v>
      </c>
      <c r="J1301">
        <v>500000</v>
      </c>
      <c r="M1301" t="s">
        <v>1421</v>
      </c>
      <c r="P1301" t="s">
        <v>126</v>
      </c>
      <c r="R1301" t="s">
        <v>858</v>
      </c>
      <c r="S1301" t="s">
        <v>4312</v>
      </c>
      <c r="T1301" t="s">
        <v>4313</v>
      </c>
      <c r="V1301" t="s">
        <v>1365</v>
      </c>
      <c r="W1301" t="s">
        <v>73</v>
      </c>
      <c r="AE1301" t="s">
        <v>478</v>
      </c>
      <c r="AF1301" t="s">
        <v>479</v>
      </c>
      <c r="AL1301" t="s">
        <v>919</v>
      </c>
      <c r="AM1301" t="s">
        <v>919</v>
      </c>
      <c r="AO1301" t="s">
        <v>480</v>
      </c>
      <c r="AP1301" t="s">
        <v>481</v>
      </c>
      <c r="AQ1301" t="s">
        <v>639</v>
      </c>
      <c r="AR1301" t="s">
        <v>482</v>
      </c>
      <c r="BF1301" s="1"/>
      <c r="BH1301" t="s">
        <v>1366</v>
      </c>
      <c r="BP1301" t="s">
        <v>1489</v>
      </c>
    </row>
    <row r="1302" spans="1:68" x14ac:dyDescent="0.25">
      <c r="A1302" t="s">
        <v>5713</v>
      </c>
      <c r="B1302" t="s">
        <v>474</v>
      </c>
      <c r="C1302" t="s">
        <v>2018</v>
      </c>
      <c r="E1302" t="s">
        <v>480</v>
      </c>
      <c r="G1302" s="1" t="s">
        <v>4314</v>
      </c>
      <c r="H1302" t="s">
        <v>476</v>
      </c>
      <c r="J1302">
        <v>500000</v>
      </c>
      <c r="M1302" t="s">
        <v>1428</v>
      </c>
      <c r="P1302" t="s">
        <v>113</v>
      </c>
      <c r="R1302" t="s">
        <v>807</v>
      </c>
      <c r="S1302" t="s">
        <v>4315</v>
      </c>
      <c r="T1302" t="s">
        <v>4316</v>
      </c>
      <c r="V1302" t="s">
        <v>1365</v>
      </c>
      <c r="W1302" t="s">
        <v>73</v>
      </c>
      <c r="AE1302" t="s">
        <v>478</v>
      </c>
      <c r="AF1302" t="s">
        <v>479</v>
      </c>
      <c r="AL1302" t="s">
        <v>919</v>
      </c>
      <c r="AM1302" t="s">
        <v>919</v>
      </c>
      <c r="AO1302" t="s">
        <v>480</v>
      </c>
      <c r="AP1302" t="s">
        <v>481</v>
      </c>
      <c r="AQ1302" t="s">
        <v>657</v>
      </c>
      <c r="AR1302" t="s">
        <v>482</v>
      </c>
      <c r="BF1302" s="1"/>
      <c r="BH1302" t="s">
        <v>1366</v>
      </c>
      <c r="BP1302" t="s">
        <v>1489</v>
      </c>
    </row>
    <row r="1303" spans="1:68" x14ac:dyDescent="0.25">
      <c r="A1303" t="s">
        <v>5713</v>
      </c>
      <c r="B1303" t="s">
        <v>474</v>
      </c>
      <c r="C1303" t="s">
        <v>2018</v>
      </c>
      <c r="E1303" t="s">
        <v>480</v>
      </c>
      <c r="G1303" s="1" t="s">
        <v>4314</v>
      </c>
      <c r="H1303" t="s">
        <v>498</v>
      </c>
      <c r="J1303">
        <v>500000</v>
      </c>
      <c r="M1303" t="s">
        <v>1424</v>
      </c>
      <c r="P1303" t="s">
        <v>76</v>
      </c>
      <c r="R1303" t="s">
        <v>1890</v>
      </c>
      <c r="S1303" t="s">
        <v>4317</v>
      </c>
      <c r="T1303" t="s">
        <v>4318</v>
      </c>
      <c r="V1303" t="s">
        <v>1365</v>
      </c>
      <c r="W1303" t="s">
        <v>73</v>
      </c>
      <c r="AE1303" t="s">
        <v>478</v>
      </c>
      <c r="AF1303" t="s">
        <v>479</v>
      </c>
      <c r="AL1303" t="s">
        <v>919</v>
      </c>
      <c r="AM1303" t="s">
        <v>919</v>
      </c>
      <c r="AO1303" t="s">
        <v>480</v>
      </c>
      <c r="AP1303" t="s">
        <v>481</v>
      </c>
      <c r="AQ1303" t="s">
        <v>558</v>
      </c>
      <c r="AR1303" t="s">
        <v>482</v>
      </c>
      <c r="BF1303" s="1"/>
      <c r="BH1303" t="s">
        <v>1366</v>
      </c>
      <c r="BP1303" t="s">
        <v>1489</v>
      </c>
    </row>
    <row r="1304" spans="1:68" x14ac:dyDescent="0.25">
      <c r="A1304" t="s">
        <v>5713</v>
      </c>
      <c r="B1304" t="s">
        <v>474</v>
      </c>
      <c r="C1304" t="s">
        <v>2018</v>
      </c>
      <c r="E1304" t="s">
        <v>480</v>
      </c>
      <c r="G1304" s="1" t="s">
        <v>4314</v>
      </c>
      <c r="H1304" t="s">
        <v>517</v>
      </c>
      <c r="J1304">
        <v>500000</v>
      </c>
      <c r="M1304" t="s">
        <v>1424</v>
      </c>
      <c r="P1304" t="s">
        <v>157</v>
      </c>
      <c r="R1304" t="s">
        <v>743</v>
      </c>
      <c r="S1304" t="s">
        <v>4319</v>
      </c>
      <c r="T1304" t="s">
        <v>4320</v>
      </c>
      <c r="V1304" t="s">
        <v>1365</v>
      </c>
      <c r="W1304" t="s">
        <v>73</v>
      </c>
      <c r="AE1304" t="s">
        <v>478</v>
      </c>
      <c r="AF1304" t="s">
        <v>479</v>
      </c>
      <c r="AL1304" t="s">
        <v>919</v>
      </c>
      <c r="AM1304" t="s">
        <v>919</v>
      </c>
      <c r="AO1304" t="s">
        <v>480</v>
      </c>
      <c r="AP1304" t="s">
        <v>481</v>
      </c>
      <c r="AQ1304" t="s">
        <v>667</v>
      </c>
      <c r="AR1304" t="s">
        <v>482</v>
      </c>
      <c r="BF1304" s="1"/>
      <c r="BH1304" t="s">
        <v>1366</v>
      </c>
      <c r="BP1304" t="s">
        <v>1489</v>
      </c>
    </row>
    <row r="1305" spans="1:68" x14ac:dyDescent="0.25">
      <c r="A1305" t="s">
        <v>5713</v>
      </c>
      <c r="B1305" t="s">
        <v>474</v>
      </c>
      <c r="C1305" t="s">
        <v>2018</v>
      </c>
      <c r="E1305" t="s">
        <v>480</v>
      </c>
      <c r="G1305" s="1" t="s">
        <v>4314</v>
      </c>
      <c r="H1305" t="s">
        <v>542</v>
      </c>
      <c r="J1305">
        <v>500000</v>
      </c>
      <c r="M1305" t="s">
        <v>1420</v>
      </c>
      <c r="P1305" t="s">
        <v>109</v>
      </c>
      <c r="R1305" t="s">
        <v>848</v>
      </c>
      <c r="S1305" t="s">
        <v>4321</v>
      </c>
      <c r="T1305" t="s">
        <v>4322</v>
      </c>
      <c r="V1305" t="s">
        <v>1365</v>
      </c>
      <c r="W1305" t="s">
        <v>73</v>
      </c>
      <c r="AE1305" t="s">
        <v>478</v>
      </c>
      <c r="AF1305" t="s">
        <v>479</v>
      </c>
      <c r="AL1305" t="s">
        <v>919</v>
      </c>
      <c r="AM1305" t="s">
        <v>919</v>
      </c>
      <c r="AO1305" t="s">
        <v>480</v>
      </c>
      <c r="AP1305" t="s">
        <v>481</v>
      </c>
      <c r="AQ1305" t="s">
        <v>536</v>
      </c>
      <c r="AR1305" t="s">
        <v>482</v>
      </c>
      <c r="BF1305" s="1"/>
      <c r="BH1305" t="s">
        <v>1366</v>
      </c>
      <c r="BP1305" t="s">
        <v>1489</v>
      </c>
    </row>
    <row r="1306" spans="1:68" x14ac:dyDescent="0.25">
      <c r="A1306" t="s">
        <v>5713</v>
      </c>
      <c r="B1306" t="s">
        <v>474</v>
      </c>
      <c r="C1306" t="s">
        <v>2018</v>
      </c>
      <c r="E1306" t="s">
        <v>480</v>
      </c>
      <c r="G1306" s="1" t="s">
        <v>4314</v>
      </c>
      <c r="H1306" t="s">
        <v>549</v>
      </c>
      <c r="J1306">
        <v>500000</v>
      </c>
      <c r="M1306" t="s">
        <v>1416</v>
      </c>
      <c r="P1306" t="s">
        <v>98</v>
      </c>
      <c r="R1306" t="s">
        <v>586</v>
      </c>
      <c r="S1306" t="s">
        <v>4245</v>
      </c>
      <c r="T1306" t="s">
        <v>4246</v>
      </c>
      <c r="V1306" t="s">
        <v>1365</v>
      </c>
      <c r="W1306" t="s">
        <v>73</v>
      </c>
      <c r="AE1306" t="s">
        <v>478</v>
      </c>
      <c r="AF1306" t="s">
        <v>479</v>
      </c>
      <c r="AL1306" t="s">
        <v>919</v>
      </c>
      <c r="AM1306" t="s">
        <v>919</v>
      </c>
      <c r="AO1306" t="s">
        <v>480</v>
      </c>
      <c r="AP1306" t="s">
        <v>481</v>
      </c>
      <c r="AQ1306" t="s">
        <v>580</v>
      </c>
      <c r="AR1306" t="s">
        <v>482</v>
      </c>
      <c r="BF1306" s="1"/>
      <c r="BH1306" t="s">
        <v>1366</v>
      </c>
      <c r="BP1306" t="s">
        <v>1489</v>
      </c>
    </row>
    <row r="1307" spans="1:68" x14ac:dyDescent="0.25">
      <c r="A1307" t="s">
        <v>5713</v>
      </c>
      <c r="B1307" t="s">
        <v>474</v>
      </c>
      <c r="C1307" t="s">
        <v>2018</v>
      </c>
      <c r="E1307" t="s">
        <v>480</v>
      </c>
      <c r="G1307" s="1" t="s">
        <v>4314</v>
      </c>
      <c r="H1307" t="s">
        <v>556</v>
      </c>
      <c r="J1307">
        <v>500000</v>
      </c>
      <c r="M1307" t="s">
        <v>1415</v>
      </c>
      <c r="P1307" t="s">
        <v>87</v>
      </c>
      <c r="R1307" t="s">
        <v>670</v>
      </c>
      <c r="S1307" t="s">
        <v>4323</v>
      </c>
      <c r="T1307" t="s">
        <v>4324</v>
      </c>
      <c r="V1307" t="s">
        <v>1365</v>
      </c>
      <c r="W1307" t="s">
        <v>73</v>
      </c>
      <c r="AE1307" t="s">
        <v>478</v>
      </c>
      <c r="AF1307" t="s">
        <v>479</v>
      </c>
      <c r="AL1307" t="s">
        <v>919</v>
      </c>
      <c r="AM1307" t="s">
        <v>919</v>
      </c>
      <c r="AO1307" t="s">
        <v>480</v>
      </c>
      <c r="AP1307" t="s">
        <v>481</v>
      </c>
      <c r="AQ1307" t="s">
        <v>552</v>
      </c>
      <c r="AR1307" t="s">
        <v>482</v>
      </c>
      <c r="BF1307" s="1"/>
      <c r="BH1307" t="s">
        <v>1366</v>
      </c>
      <c r="BP1307" t="s">
        <v>1489</v>
      </c>
    </row>
    <row r="1308" spans="1:68" x14ac:dyDescent="0.25">
      <c r="A1308" t="s">
        <v>5713</v>
      </c>
      <c r="B1308" t="s">
        <v>474</v>
      </c>
      <c r="C1308" t="s">
        <v>2018</v>
      </c>
      <c r="E1308" t="s">
        <v>480</v>
      </c>
      <c r="G1308" s="1" t="s">
        <v>4314</v>
      </c>
      <c r="H1308" t="s">
        <v>562</v>
      </c>
      <c r="J1308">
        <v>500000</v>
      </c>
      <c r="M1308" t="s">
        <v>1420</v>
      </c>
      <c r="P1308" t="s">
        <v>105</v>
      </c>
      <c r="R1308" t="s">
        <v>550</v>
      </c>
      <c r="S1308" t="s">
        <v>4325</v>
      </c>
      <c r="T1308" t="s">
        <v>4326</v>
      </c>
      <c r="V1308" t="s">
        <v>1365</v>
      </c>
      <c r="W1308" t="s">
        <v>73</v>
      </c>
      <c r="AE1308" t="s">
        <v>478</v>
      </c>
      <c r="AF1308" t="s">
        <v>479</v>
      </c>
      <c r="AL1308" t="s">
        <v>919</v>
      </c>
      <c r="AM1308" t="s">
        <v>919</v>
      </c>
      <c r="AO1308" t="s">
        <v>480</v>
      </c>
      <c r="AP1308" t="s">
        <v>481</v>
      </c>
      <c r="AQ1308" t="s">
        <v>607</v>
      </c>
      <c r="AR1308" t="s">
        <v>482</v>
      </c>
      <c r="BF1308" s="1"/>
      <c r="BH1308" t="s">
        <v>1366</v>
      </c>
      <c r="BP1308" t="s">
        <v>1489</v>
      </c>
    </row>
    <row r="1309" spans="1:68" x14ac:dyDescent="0.25">
      <c r="A1309" t="s">
        <v>5713</v>
      </c>
      <c r="B1309" t="s">
        <v>474</v>
      </c>
      <c r="C1309" t="s">
        <v>2018</v>
      </c>
      <c r="E1309" t="s">
        <v>480</v>
      </c>
      <c r="G1309" s="1" t="s">
        <v>4314</v>
      </c>
      <c r="H1309" t="s">
        <v>567</v>
      </c>
      <c r="J1309">
        <v>500000</v>
      </c>
      <c r="M1309" t="s">
        <v>1425</v>
      </c>
      <c r="P1309" t="s">
        <v>110</v>
      </c>
      <c r="R1309" t="s">
        <v>848</v>
      </c>
      <c r="S1309" t="s">
        <v>4327</v>
      </c>
      <c r="T1309" t="s">
        <v>4328</v>
      </c>
      <c r="V1309" t="s">
        <v>1365</v>
      </c>
      <c r="W1309" t="s">
        <v>73</v>
      </c>
      <c r="AE1309" t="s">
        <v>478</v>
      </c>
      <c r="AF1309" t="s">
        <v>479</v>
      </c>
      <c r="AL1309" t="s">
        <v>919</v>
      </c>
      <c r="AM1309" t="s">
        <v>919</v>
      </c>
      <c r="AO1309" t="s">
        <v>480</v>
      </c>
      <c r="AP1309" t="s">
        <v>481</v>
      </c>
      <c r="AQ1309" t="s">
        <v>624</v>
      </c>
      <c r="AR1309" t="s">
        <v>482</v>
      </c>
      <c r="BF1309" s="1"/>
      <c r="BH1309" t="s">
        <v>1366</v>
      </c>
      <c r="BP1309" t="s">
        <v>1489</v>
      </c>
    </row>
    <row r="1310" spans="1:68" x14ac:dyDescent="0.25">
      <c r="A1310" t="s">
        <v>5713</v>
      </c>
      <c r="B1310" t="s">
        <v>474</v>
      </c>
      <c r="C1310" t="s">
        <v>2018</v>
      </c>
      <c r="E1310" t="s">
        <v>480</v>
      </c>
      <c r="G1310" s="1" t="s">
        <v>4314</v>
      </c>
      <c r="H1310" t="s">
        <v>575</v>
      </c>
      <c r="J1310">
        <v>500000</v>
      </c>
      <c r="M1310" t="s">
        <v>1426</v>
      </c>
      <c r="P1310" t="s">
        <v>114</v>
      </c>
      <c r="R1310" t="s">
        <v>635</v>
      </c>
      <c r="S1310" t="s">
        <v>1377</v>
      </c>
      <c r="T1310" t="s">
        <v>1378</v>
      </c>
      <c r="V1310" t="s">
        <v>1365</v>
      </c>
      <c r="W1310" t="s">
        <v>73</v>
      </c>
      <c r="AE1310" t="s">
        <v>478</v>
      </c>
      <c r="AF1310" t="s">
        <v>479</v>
      </c>
      <c r="AL1310" t="s">
        <v>919</v>
      </c>
      <c r="AM1310" t="s">
        <v>919</v>
      </c>
      <c r="AO1310" t="s">
        <v>480</v>
      </c>
      <c r="AP1310" t="s">
        <v>481</v>
      </c>
      <c r="AQ1310" t="s">
        <v>584</v>
      </c>
      <c r="AR1310" t="s">
        <v>482</v>
      </c>
      <c r="BF1310" s="1"/>
      <c r="BH1310" t="s">
        <v>1366</v>
      </c>
      <c r="BP1310" t="s">
        <v>1489</v>
      </c>
    </row>
    <row r="1311" spans="1:68" x14ac:dyDescent="0.25">
      <c r="A1311" t="s">
        <v>5713</v>
      </c>
      <c r="B1311" t="s">
        <v>474</v>
      </c>
      <c r="C1311" t="s">
        <v>2018</v>
      </c>
      <c r="E1311" t="s">
        <v>480</v>
      </c>
      <c r="G1311" s="1" t="s">
        <v>4314</v>
      </c>
      <c r="H1311" t="s">
        <v>581</v>
      </c>
      <c r="J1311">
        <v>500000</v>
      </c>
      <c r="M1311" t="s">
        <v>1427</v>
      </c>
      <c r="P1311" t="s">
        <v>104</v>
      </c>
      <c r="R1311" t="s">
        <v>529</v>
      </c>
      <c r="S1311" t="s">
        <v>4329</v>
      </c>
      <c r="T1311" t="s">
        <v>4330</v>
      </c>
      <c r="V1311" t="s">
        <v>1365</v>
      </c>
      <c r="W1311" t="s">
        <v>73</v>
      </c>
      <c r="AE1311" t="s">
        <v>478</v>
      </c>
      <c r="AF1311" t="s">
        <v>479</v>
      </c>
      <c r="AL1311" t="s">
        <v>919</v>
      </c>
      <c r="AM1311" t="s">
        <v>919</v>
      </c>
      <c r="AO1311" t="s">
        <v>480</v>
      </c>
      <c r="AP1311" t="s">
        <v>481</v>
      </c>
      <c r="AQ1311" t="s">
        <v>637</v>
      </c>
      <c r="AR1311" t="s">
        <v>482</v>
      </c>
      <c r="BF1311" s="1"/>
      <c r="BH1311" t="s">
        <v>1366</v>
      </c>
      <c r="BP1311" t="s">
        <v>1489</v>
      </c>
    </row>
    <row r="1312" spans="1:68" x14ac:dyDescent="0.25">
      <c r="A1312" t="s">
        <v>5713</v>
      </c>
      <c r="B1312" t="s">
        <v>474</v>
      </c>
      <c r="C1312" t="s">
        <v>2018</v>
      </c>
      <c r="E1312" t="s">
        <v>480</v>
      </c>
      <c r="G1312" s="1" t="s">
        <v>4314</v>
      </c>
      <c r="H1312" t="s">
        <v>589</v>
      </c>
      <c r="J1312">
        <v>500000</v>
      </c>
      <c r="M1312" t="s">
        <v>1420</v>
      </c>
      <c r="P1312" t="s">
        <v>88</v>
      </c>
      <c r="R1312" t="s">
        <v>848</v>
      </c>
      <c r="S1312" t="s">
        <v>4331</v>
      </c>
      <c r="T1312" t="s">
        <v>4332</v>
      </c>
      <c r="V1312" t="s">
        <v>1365</v>
      </c>
      <c r="W1312" t="s">
        <v>73</v>
      </c>
      <c r="AE1312" t="s">
        <v>478</v>
      </c>
      <c r="AF1312" t="s">
        <v>479</v>
      </c>
      <c r="AL1312" t="s">
        <v>919</v>
      </c>
      <c r="AM1312" t="s">
        <v>919</v>
      </c>
      <c r="AO1312" t="s">
        <v>480</v>
      </c>
      <c r="AP1312" t="s">
        <v>481</v>
      </c>
      <c r="AQ1312" t="s">
        <v>597</v>
      </c>
      <c r="AR1312" t="s">
        <v>482</v>
      </c>
      <c r="BF1312" s="1"/>
      <c r="BH1312" t="s">
        <v>1366</v>
      </c>
      <c r="BP1312" t="s">
        <v>1489</v>
      </c>
    </row>
    <row r="1313" spans="1:68" x14ac:dyDescent="0.25">
      <c r="A1313" t="s">
        <v>5713</v>
      </c>
      <c r="B1313" t="s">
        <v>474</v>
      </c>
      <c r="C1313" t="s">
        <v>2018</v>
      </c>
      <c r="E1313" t="s">
        <v>480</v>
      </c>
      <c r="G1313" s="1" t="s">
        <v>4314</v>
      </c>
      <c r="H1313" t="s">
        <v>598</v>
      </c>
      <c r="J1313">
        <v>500000</v>
      </c>
      <c r="M1313" t="s">
        <v>1416</v>
      </c>
      <c r="P1313" t="s">
        <v>94</v>
      </c>
      <c r="R1313" t="s">
        <v>1912</v>
      </c>
      <c r="S1313" t="s">
        <v>4333</v>
      </c>
      <c r="T1313" t="s">
        <v>4334</v>
      </c>
      <c r="V1313" t="s">
        <v>1365</v>
      </c>
      <c r="W1313" t="s">
        <v>73</v>
      </c>
      <c r="AE1313" t="s">
        <v>478</v>
      </c>
      <c r="AF1313" t="s">
        <v>479</v>
      </c>
      <c r="AL1313" t="s">
        <v>919</v>
      </c>
      <c r="AM1313" t="s">
        <v>919</v>
      </c>
      <c r="AO1313" t="s">
        <v>480</v>
      </c>
      <c r="AP1313" t="s">
        <v>481</v>
      </c>
      <c r="AQ1313" t="s">
        <v>555</v>
      </c>
      <c r="AR1313" t="s">
        <v>482</v>
      </c>
      <c r="BF1313" s="1"/>
      <c r="BH1313" t="s">
        <v>1366</v>
      </c>
      <c r="BP1313" t="s">
        <v>1489</v>
      </c>
    </row>
    <row r="1314" spans="1:68" x14ac:dyDescent="0.25">
      <c r="A1314" t="s">
        <v>5713</v>
      </c>
      <c r="B1314" t="s">
        <v>474</v>
      </c>
      <c r="C1314" t="s">
        <v>2259</v>
      </c>
      <c r="E1314" t="s">
        <v>480</v>
      </c>
      <c r="G1314" s="1" t="s">
        <v>4335</v>
      </c>
      <c r="H1314" t="s">
        <v>476</v>
      </c>
      <c r="J1314">
        <v>500000</v>
      </c>
      <c r="M1314" t="s">
        <v>1429</v>
      </c>
      <c r="P1314" t="s">
        <v>144</v>
      </c>
      <c r="R1314" t="s">
        <v>722</v>
      </c>
      <c r="S1314" t="s">
        <v>1381</v>
      </c>
      <c r="T1314" t="s">
        <v>1382</v>
      </c>
      <c r="V1314" t="s">
        <v>1365</v>
      </c>
      <c r="W1314" t="s">
        <v>70</v>
      </c>
      <c r="AE1314" t="s">
        <v>478</v>
      </c>
      <c r="AF1314" t="s">
        <v>479</v>
      </c>
      <c r="AL1314" t="s">
        <v>919</v>
      </c>
      <c r="AM1314" t="s">
        <v>919</v>
      </c>
      <c r="AO1314" t="s">
        <v>480</v>
      </c>
      <c r="AP1314" t="s">
        <v>481</v>
      </c>
      <c r="AQ1314" t="s">
        <v>726</v>
      </c>
      <c r="AR1314" t="s">
        <v>482</v>
      </c>
      <c r="BF1314" s="1"/>
      <c r="BH1314" t="s">
        <v>1366</v>
      </c>
      <c r="BP1314" t="s">
        <v>1489</v>
      </c>
    </row>
    <row r="1315" spans="1:68" x14ac:dyDescent="0.25">
      <c r="A1315" t="s">
        <v>5713</v>
      </c>
      <c r="B1315" t="s">
        <v>474</v>
      </c>
      <c r="C1315" t="s">
        <v>2259</v>
      </c>
      <c r="E1315" t="s">
        <v>480</v>
      </c>
      <c r="G1315" s="1" t="s">
        <v>4336</v>
      </c>
      <c r="H1315" t="s">
        <v>476</v>
      </c>
      <c r="J1315">
        <v>500000</v>
      </c>
      <c r="M1315" t="s">
        <v>1418</v>
      </c>
      <c r="P1315" t="s">
        <v>165</v>
      </c>
      <c r="R1315" t="s">
        <v>748</v>
      </c>
      <c r="S1315" t="s">
        <v>1387</v>
      </c>
      <c r="T1315" t="s">
        <v>1388</v>
      </c>
      <c r="V1315" t="s">
        <v>1365</v>
      </c>
      <c r="W1315" t="s">
        <v>70</v>
      </c>
      <c r="AE1315" t="s">
        <v>478</v>
      </c>
      <c r="AF1315" t="s">
        <v>479</v>
      </c>
      <c r="AL1315" t="s">
        <v>919</v>
      </c>
      <c r="AM1315" t="s">
        <v>919</v>
      </c>
      <c r="AO1315" t="s">
        <v>480</v>
      </c>
      <c r="AP1315" t="s">
        <v>481</v>
      </c>
      <c r="AQ1315" t="s">
        <v>752</v>
      </c>
      <c r="AR1315" t="s">
        <v>482</v>
      </c>
      <c r="BF1315" s="1"/>
      <c r="BH1315" t="s">
        <v>1366</v>
      </c>
      <c r="BP1315" t="s">
        <v>1489</v>
      </c>
    </row>
    <row r="1316" spans="1:68" x14ac:dyDescent="0.25">
      <c r="A1316" t="s">
        <v>5713</v>
      </c>
      <c r="B1316" t="s">
        <v>474</v>
      </c>
      <c r="C1316" t="s">
        <v>2259</v>
      </c>
      <c r="E1316" t="s">
        <v>480</v>
      </c>
      <c r="G1316" s="1" t="s">
        <v>4337</v>
      </c>
      <c r="H1316" t="s">
        <v>476</v>
      </c>
      <c r="J1316">
        <v>500000</v>
      </c>
      <c r="M1316" t="s">
        <v>1418</v>
      </c>
      <c r="P1316" t="s">
        <v>149</v>
      </c>
      <c r="R1316" t="s">
        <v>506</v>
      </c>
      <c r="S1316" t="s">
        <v>1385</v>
      </c>
      <c r="T1316" t="s">
        <v>1386</v>
      </c>
      <c r="V1316" t="s">
        <v>1365</v>
      </c>
      <c r="W1316" t="s">
        <v>70</v>
      </c>
      <c r="AE1316" t="s">
        <v>478</v>
      </c>
      <c r="AF1316" t="s">
        <v>479</v>
      </c>
      <c r="AL1316" t="s">
        <v>919</v>
      </c>
      <c r="AM1316" t="s">
        <v>919</v>
      </c>
      <c r="AO1316" t="s">
        <v>480</v>
      </c>
      <c r="AP1316" t="s">
        <v>481</v>
      </c>
      <c r="AQ1316" t="s">
        <v>510</v>
      </c>
      <c r="AR1316" t="s">
        <v>482</v>
      </c>
      <c r="BF1316" s="1"/>
      <c r="BH1316" t="s">
        <v>1366</v>
      </c>
      <c r="BP1316" t="s">
        <v>1489</v>
      </c>
    </row>
    <row r="1317" spans="1:68" x14ac:dyDescent="0.25">
      <c r="A1317" t="s">
        <v>5713</v>
      </c>
      <c r="B1317" t="s">
        <v>474</v>
      </c>
      <c r="C1317" t="s">
        <v>2259</v>
      </c>
      <c r="E1317" t="s">
        <v>480</v>
      </c>
      <c r="G1317" s="1" t="s">
        <v>4338</v>
      </c>
      <c r="H1317" t="s">
        <v>476</v>
      </c>
      <c r="J1317">
        <v>500000</v>
      </c>
      <c r="M1317" t="s">
        <v>1419</v>
      </c>
      <c r="P1317" t="s">
        <v>131</v>
      </c>
      <c r="R1317" t="s">
        <v>512</v>
      </c>
      <c r="S1317" t="s">
        <v>1379</v>
      </c>
      <c r="T1317" t="s">
        <v>1380</v>
      </c>
      <c r="V1317" t="s">
        <v>1365</v>
      </c>
      <c r="W1317" t="s">
        <v>70</v>
      </c>
      <c r="AE1317" t="s">
        <v>478</v>
      </c>
      <c r="AF1317" t="s">
        <v>479</v>
      </c>
      <c r="AL1317" t="s">
        <v>919</v>
      </c>
      <c r="AM1317" t="s">
        <v>919</v>
      </c>
      <c r="AO1317" t="s">
        <v>480</v>
      </c>
      <c r="AP1317" t="s">
        <v>481</v>
      </c>
      <c r="AQ1317" t="s">
        <v>516</v>
      </c>
      <c r="AR1317" t="s">
        <v>482</v>
      </c>
      <c r="BF1317" s="1"/>
      <c r="BH1317" t="s">
        <v>1366</v>
      </c>
      <c r="BP1317" t="s">
        <v>1489</v>
      </c>
    </row>
    <row r="1318" spans="1:68" x14ac:dyDescent="0.25">
      <c r="A1318" t="s">
        <v>5713</v>
      </c>
      <c r="B1318" t="s">
        <v>474</v>
      </c>
      <c r="C1318" t="s">
        <v>2780</v>
      </c>
      <c r="E1318" t="s">
        <v>480</v>
      </c>
      <c r="G1318" s="1" t="s">
        <v>4339</v>
      </c>
      <c r="H1318" t="s">
        <v>476</v>
      </c>
      <c r="J1318">
        <v>500000</v>
      </c>
      <c r="M1318" t="s">
        <v>1417</v>
      </c>
      <c r="P1318" t="s">
        <v>143</v>
      </c>
      <c r="R1318" t="s">
        <v>848</v>
      </c>
      <c r="S1318" t="s">
        <v>4340</v>
      </c>
      <c r="T1318" t="s">
        <v>4341</v>
      </c>
      <c r="V1318" t="s">
        <v>1365</v>
      </c>
      <c r="W1318" t="s">
        <v>235</v>
      </c>
      <c r="AE1318" t="s">
        <v>478</v>
      </c>
      <c r="AF1318" t="s">
        <v>479</v>
      </c>
      <c r="AL1318" t="s">
        <v>919</v>
      </c>
      <c r="AM1318" t="s">
        <v>919</v>
      </c>
      <c r="AO1318" t="s">
        <v>480</v>
      </c>
      <c r="AP1318" t="s">
        <v>481</v>
      </c>
      <c r="AQ1318" t="s">
        <v>785</v>
      </c>
      <c r="AR1318" t="s">
        <v>482</v>
      </c>
      <c r="BF1318" s="1"/>
      <c r="BH1318" t="s">
        <v>1366</v>
      </c>
      <c r="BP1318" t="s">
        <v>1489</v>
      </c>
    </row>
    <row r="1319" spans="1:68" x14ac:dyDescent="0.25">
      <c r="A1319" t="s">
        <v>5713</v>
      </c>
      <c r="B1319" t="s">
        <v>474</v>
      </c>
      <c r="C1319" t="s">
        <v>2780</v>
      </c>
      <c r="E1319" t="s">
        <v>480</v>
      </c>
      <c r="G1319" s="1" t="s">
        <v>4339</v>
      </c>
      <c r="H1319" t="s">
        <v>498</v>
      </c>
      <c r="J1319">
        <v>500000</v>
      </c>
      <c r="M1319" t="s">
        <v>1414</v>
      </c>
      <c r="P1319" t="s">
        <v>91</v>
      </c>
      <c r="R1319" t="s">
        <v>2092</v>
      </c>
      <c r="S1319" t="s">
        <v>4342</v>
      </c>
      <c r="T1319" t="s">
        <v>4343</v>
      </c>
      <c r="V1319" t="s">
        <v>1365</v>
      </c>
      <c r="W1319" t="s">
        <v>235</v>
      </c>
      <c r="AE1319" t="s">
        <v>478</v>
      </c>
      <c r="AF1319" t="s">
        <v>479</v>
      </c>
      <c r="AL1319" t="s">
        <v>919</v>
      </c>
      <c r="AM1319" t="s">
        <v>919</v>
      </c>
      <c r="AO1319" t="s">
        <v>480</v>
      </c>
      <c r="AP1319" t="s">
        <v>481</v>
      </c>
      <c r="AQ1319" t="s">
        <v>738</v>
      </c>
      <c r="AR1319" t="s">
        <v>482</v>
      </c>
      <c r="BF1319" s="1"/>
      <c r="BH1319" t="s">
        <v>1366</v>
      </c>
      <c r="BP1319" t="s">
        <v>1489</v>
      </c>
    </row>
    <row r="1320" spans="1:68" x14ac:dyDescent="0.25">
      <c r="A1320" t="s">
        <v>5713</v>
      </c>
      <c r="B1320" t="s">
        <v>474</v>
      </c>
      <c r="C1320" t="s">
        <v>2780</v>
      </c>
      <c r="E1320" t="s">
        <v>480</v>
      </c>
      <c r="G1320" s="1" t="s">
        <v>4344</v>
      </c>
      <c r="H1320" t="s">
        <v>476</v>
      </c>
      <c r="J1320">
        <v>500000</v>
      </c>
      <c r="M1320" t="s">
        <v>1417</v>
      </c>
      <c r="P1320" t="s">
        <v>143</v>
      </c>
      <c r="R1320" t="s">
        <v>670</v>
      </c>
      <c r="S1320" t="s">
        <v>1454</v>
      </c>
      <c r="T1320" t="s">
        <v>1455</v>
      </c>
      <c r="V1320" t="s">
        <v>1365</v>
      </c>
      <c r="W1320" t="s">
        <v>235</v>
      </c>
      <c r="AE1320" t="s">
        <v>478</v>
      </c>
      <c r="AF1320" t="s">
        <v>479</v>
      </c>
      <c r="AL1320" t="s">
        <v>919</v>
      </c>
      <c r="AM1320" t="s">
        <v>919</v>
      </c>
      <c r="AO1320" t="s">
        <v>480</v>
      </c>
      <c r="AP1320" t="s">
        <v>481</v>
      </c>
      <c r="AQ1320" t="s">
        <v>785</v>
      </c>
      <c r="AR1320" t="s">
        <v>482</v>
      </c>
      <c r="BF1320" s="1"/>
      <c r="BH1320" t="s">
        <v>1366</v>
      </c>
      <c r="BP1320" t="s">
        <v>1489</v>
      </c>
    </row>
    <row r="1321" spans="1:68" x14ac:dyDescent="0.25">
      <c r="A1321" t="s">
        <v>5713</v>
      </c>
      <c r="B1321" t="s">
        <v>474</v>
      </c>
      <c r="C1321" t="s">
        <v>2780</v>
      </c>
      <c r="E1321" t="s">
        <v>480</v>
      </c>
      <c r="G1321" s="1" t="s">
        <v>4344</v>
      </c>
      <c r="H1321" t="s">
        <v>498</v>
      </c>
      <c r="J1321">
        <v>500000</v>
      </c>
      <c r="M1321" t="s">
        <v>1425</v>
      </c>
      <c r="P1321" t="s">
        <v>92</v>
      </c>
      <c r="R1321" t="s">
        <v>1811</v>
      </c>
      <c r="S1321" t="s">
        <v>4345</v>
      </c>
      <c r="T1321" t="s">
        <v>4346</v>
      </c>
      <c r="V1321" t="s">
        <v>1365</v>
      </c>
      <c r="W1321" t="s">
        <v>235</v>
      </c>
      <c r="AE1321" t="s">
        <v>478</v>
      </c>
      <c r="AF1321" t="s">
        <v>479</v>
      </c>
      <c r="AL1321" t="s">
        <v>919</v>
      </c>
      <c r="AM1321" t="s">
        <v>919</v>
      </c>
      <c r="AO1321" t="s">
        <v>480</v>
      </c>
      <c r="AP1321" t="s">
        <v>481</v>
      </c>
      <c r="AQ1321" t="s">
        <v>713</v>
      </c>
      <c r="AR1321" t="s">
        <v>482</v>
      </c>
      <c r="BF1321" s="1"/>
      <c r="BH1321" t="s">
        <v>1366</v>
      </c>
      <c r="BP1321" t="s">
        <v>1489</v>
      </c>
    </row>
    <row r="1322" spans="1:68" x14ac:dyDescent="0.25">
      <c r="A1322" t="s">
        <v>5713</v>
      </c>
      <c r="B1322" t="s">
        <v>474</v>
      </c>
      <c r="C1322" t="s">
        <v>2780</v>
      </c>
      <c r="E1322" t="s">
        <v>480</v>
      </c>
      <c r="G1322" s="1" t="s">
        <v>4344</v>
      </c>
      <c r="H1322" t="s">
        <v>517</v>
      </c>
      <c r="J1322">
        <v>500000</v>
      </c>
      <c r="M1322" t="s">
        <v>1414</v>
      </c>
      <c r="P1322" t="s">
        <v>91</v>
      </c>
      <c r="R1322" t="s">
        <v>2100</v>
      </c>
      <c r="S1322" t="s">
        <v>4347</v>
      </c>
      <c r="T1322" t="s">
        <v>4348</v>
      </c>
      <c r="V1322" t="s">
        <v>1365</v>
      </c>
      <c r="W1322" t="s">
        <v>235</v>
      </c>
      <c r="AE1322" t="s">
        <v>478</v>
      </c>
      <c r="AF1322" t="s">
        <v>479</v>
      </c>
      <c r="AL1322" t="s">
        <v>919</v>
      </c>
      <c r="AM1322" t="s">
        <v>919</v>
      </c>
      <c r="AO1322" t="s">
        <v>480</v>
      </c>
      <c r="AP1322" t="s">
        <v>481</v>
      </c>
      <c r="AQ1322" t="s">
        <v>738</v>
      </c>
      <c r="AR1322" t="s">
        <v>482</v>
      </c>
      <c r="BF1322" s="1"/>
      <c r="BH1322" t="s">
        <v>1366</v>
      </c>
      <c r="BP1322" t="s">
        <v>1489</v>
      </c>
    </row>
    <row r="1323" spans="1:68" x14ac:dyDescent="0.25">
      <c r="A1323" t="s">
        <v>5713</v>
      </c>
      <c r="B1323" t="s">
        <v>474</v>
      </c>
      <c r="C1323" t="s">
        <v>2780</v>
      </c>
      <c r="E1323" t="s">
        <v>480</v>
      </c>
      <c r="G1323" s="1" t="s">
        <v>4344</v>
      </c>
      <c r="H1323" t="s">
        <v>542</v>
      </c>
      <c r="J1323">
        <v>500000</v>
      </c>
      <c r="M1323" t="s">
        <v>1414</v>
      </c>
      <c r="P1323" t="s">
        <v>117</v>
      </c>
      <c r="R1323" t="s">
        <v>532</v>
      </c>
      <c r="S1323" t="s">
        <v>4349</v>
      </c>
      <c r="T1323" t="s">
        <v>4350</v>
      </c>
      <c r="V1323" t="s">
        <v>1365</v>
      </c>
      <c r="W1323" t="s">
        <v>235</v>
      </c>
      <c r="AE1323" t="s">
        <v>478</v>
      </c>
      <c r="AF1323" t="s">
        <v>479</v>
      </c>
      <c r="AL1323" t="s">
        <v>919</v>
      </c>
      <c r="AM1323" t="s">
        <v>919</v>
      </c>
      <c r="AO1323" t="s">
        <v>480</v>
      </c>
      <c r="AP1323" t="s">
        <v>481</v>
      </c>
      <c r="AQ1323" t="s">
        <v>718</v>
      </c>
      <c r="AR1323" t="s">
        <v>482</v>
      </c>
      <c r="BF1323" s="1"/>
      <c r="BH1323" t="s">
        <v>1366</v>
      </c>
      <c r="BP1323" t="s">
        <v>1489</v>
      </c>
    </row>
    <row r="1324" spans="1:68" x14ac:dyDescent="0.25">
      <c r="A1324" t="s">
        <v>5713</v>
      </c>
      <c r="B1324" t="s">
        <v>474</v>
      </c>
      <c r="C1324" t="s">
        <v>2066</v>
      </c>
      <c r="E1324" t="s">
        <v>480</v>
      </c>
      <c r="G1324" s="1" t="s">
        <v>4351</v>
      </c>
      <c r="H1324" t="s">
        <v>476</v>
      </c>
      <c r="J1324">
        <v>500000</v>
      </c>
      <c r="M1324" t="s">
        <v>1427</v>
      </c>
      <c r="P1324" t="s">
        <v>104</v>
      </c>
      <c r="R1324" t="s">
        <v>586</v>
      </c>
      <c r="S1324" t="s">
        <v>4352</v>
      </c>
      <c r="T1324" t="s">
        <v>4353</v>
      </c>
      <c r="V1324" t="s">
        <v>1365</v>
      </c>
      <c r="W1324" t="s">
        <v>73</v>
      </c>
      <c r="AE1324" t="s">
        <v>478</v>
      </c>
      <c r="AF1324" t="s">
        <v>479</v>
      </c>
      <c r="AL1324" t="s">
        <v>919</v>
      </c>
      <c r="AM1324" t="s">
        <v>919</v>
      </c>
      <c r="AO1324" t="s">
        <v>480</v>
      </c>
      <c r="AP1324" t="s">
        <v>481</v>
      </c>
      <c r="AQ1324" t="s">
        <v>637</v>
      </c>
      <c r="AR1324" t="s">
        <v>482</v>
      </c>
      <c r="BF1324" s="1"/>
      <c r="BH1324" t="s">
        <v>1366</v>
      </c>
      <c r="BP1324" t="s">
        <v>1489</v>
      </c>
    </row>
    <row r="1325" spans="1:68" x14ac:dyDescent="0.25">
      <c r="A1325" t="s">
        <v>5713</v>
      </c>
      <c r="B1325" t="s">
        <v>474</v>
      </c>
      <c r="C1325" t="s">
        <v>2066</v>
      </c>
      <c r="E1325" t="s">
        <v>480</v>
      </c>
      <c r="G1325" s="1" t="s">
        <v>4351</v>
      </c>
      <c r="H1325" t="s">
        <v>498</v>
      </c>
      <c r="J1325">
        <v>500000</v>
      </c>
      <c r="M1325" t="s">
        <v>1425</v>
      </c>
      <c r="P1325" t="s">
        <v>116</v>
      </c>
      <c r="R1325" t="s">
        <v>739</v>
      </c>
      <c r="S1325" t="s">
        <v>4354</v>
      </c>
      <c r="T1325" t="s">
        <v>4355</v>
      </c>
      <c r="V1325" t="s">
        <v>1365</v>
      </c>
      <c r="W1325" t="s">
        <v>73</v>
      </c>
      <c r="AE1325" t="s">
        <v>478</v>
      </c>
      <c r="AF1325" t="s">
        <v>479</v>
      </c>
      <c r="AL1325" t="s">
        <v>919</v>
      </c>
      <c r="AM1325" t="s">
        <v>919</v>
      </c>
      <c r="AO1325" t="s">
        <v>480</v>
      </c>
      <c r="AP1325" t="s">
        <v>481</v>
      </c>
      <c r="AQ1325" t="s">
        <v>645</v>
      </c>
      <c r="AR1325" t="s">
        <v>482</v>
      </c>
      <c r="BF1325" s="1"/>
      <c r="BH1325" t="s">
        <v>1366</v>
      </c>
      <c r="BP1325" t="s">
        <v>1489</v>
      </c>
    </row>
    <row r="1326" spans="1:68" x14ac:dyDescent="0.25">
      <c r="A1326" t="s">
        <v>5713</v>
      </c>
      <c r="B1326" t="s">
        <v>474</v>
      </c>
      <c r="C1326" t="s">
        <v>2066</v>
      </c>
      <c r="E1326" t="s">
        <v>480</v>
      </c>
      <c r="G1326" s="1" t="s">
        <v>4356</v>
      </c>
      <c r="H1326" t="s">
        <v>476</v>
      </c>
      <c r="J1326">
        <v>500000</v>
      </c>
      <c r="M1326" t="s">
        <v>1427</v>
      </c>
      <c r="P1326" t="s">
        <v>104</v>
      </c>
      <c r="R1326" t="s">
        <v>550</v>
      </c>
      <c r="S1326" t="s">
        <v>4357</v>
      </c>
      <c r="T1326" t="s">
        <v>4358</v>
      </c>
      <c r="V1326" t="s">
        <v>1365</v>
      </c>
      <c r="W1326" t="s">
        <v>73</v>
      </c>
      <c r="AE1326" t="s">
        <v>478</v>
      </c>
      <c r="AF1326" t="s">
        <v>479</v>
      </c>
      <c r="AL1326" t="s">
        <v>919</v>
      </c>
      <c r="AM1326" t="s">
        <v>919</v>
      </c>
      <c r="AO1326" t="s">
        <v>480</v>
      </c>
      <c r="AP1326" t="s">
        <v>481</v>
      </c>
      <c r="AQ1326" t="s">
        <v>637</v>
      </c>
      <c r="AR1326" t="s">
        <v>482</v>
      </c>
      <c r="BF1326" s="1"/>
      <c r="BH1326" t="s">
        <v>1366</v>
      </c>
      <c r="BP1326" t="s">
        <v>1489</v>
      </c>
    </row>
    <row r="1327" spans="1:68" x14ac:dyDescent="0.25">
      <c r="A1327" t="s">
        <v>5713</v>
      </c>
      <c r="B1327" t="s">
        <v>474</v>
      </c>
      <c r="C1327" t="s">
        <v>2066</v>
      </c>
      <c r="E1327" t="s">
        <v>480</v>
      </c>
      <c r="G1327" s="1" t="s">
        <v>4356</v>
      </c>
      <c r="H1327" t="s">
        <v>498</v>
      </c>
      <c r="J1327">
        <v>500000</v>
      </c>
      <c r="M1327" t="s">
        <v>1414</v>
      </c>
      <c r="P1327" t="s">
        <v>148</v>
      </c>
      <c r="R1327" t="s">
        <v>640</v>
      </c>
      <c r="S1327" t="s">
        <v>4359</v>
      </c>
      <c r="T1327" t="s">
        <v>4360</v>
      </c>
      <c r="V1327" t="s">
        <v>1365</v>
      </c>
      <c r="W1327" t="s">
        <v>73</v>
      </c>
      <c r="AE1327" t="s">
        <v>478</v>
      </c>
      <c r="AF1327" t="s">
        <v>479</v>
      </c>
      <c r="AL1327" t="s">
        <v>919</v>
      </c>
      <c r="AM1327" t="s">
        <v>919</v>
      </c>
      <c r="AO1327" t="s">
        <v>480</v>
      </c>
      <c r="AP1327" t="s">
        <v>481</v>
      </c>
      <c r="AQ1327" t="s">
        <v>591</v>
      </c>
      <c r="AR1327" t="s">
        <v>482</v>
      </c>
      <c r="BF1327" s="1"/>
      <c r="BH1327" t="s">
        <v>1366</v>
      </c>
      <c r="BP1327" t="s">
        <v>1489</v>
      </c>
    </row>
    <row r="1328" spans="1:68" x14ac:dyDescent="0.25">
      <c r="A1328" t="s">
        <v>5713</v>
      </c>
      <c r="B1328" t="s">
        <v>474</v>
      </c>
      <c r="C1328" t="s">
        <v>2066</v>
      </c>
      <c r="E1328" t="s">
        <v>480</v>
      </c>
      <c r="G1328" s="1" t="s">
        <v>4356</v>
      </c>
      <c r="H1328" t="s">
        <v>517</v>
      </c>
      <c r="J1328">
        <v>500000</v>
      </c>
      <c r="M1328" t="s">
        <v>1425</v>
      </c>
      <c r="P1328" t="s">
        <v>110</v>
      </c>
      <c r="R1328" t="s">
        <v>755</v>
      </c>
      <c r="S1328" t="s">
        <v>4361</v>
      </c>
      <c r="T1328" t="s">
        <v>4362</v>
      </c>
      <c r="V1328" t="s">
        <v>1365</v>
      </c>
      <c r="W1328" t="s">
        <v>73</v>
      </c>
      <c r="AE1328" t="s">
        <v>478</v>
      </c>
      <c r="AF1328" t="s">
        <v>479</v>
      </c>
      <c r="AL1328" t="s">
        <v>919</v>
      </c>
      <c r="AM1328" t="s">
        <v>919</v>
      </c>
      <c r="AO1328" t="s">
        <v>480</v>
      </c>
      <c r="AP1328" t="s">
        <v>481</v>
      </c>
      <c r="AQ1328" t="s">
        <v>624</v>
      </c>
      <c r="AR1328" t="s">
        <v>482</v>
      </c>
      <c r="BF1328" s="1"/>
      <c r="BH1328" t="s">
        <v>1366</v>
      </c>
      <c r="BP1328" t="s">
        <v>1489</v>
      </c>
    </row>
    <row r="1329" spans="1:68" x14ac:dyDescent="0.25">
      <c r="A1329" t="s">
        <v>5713</v>
      </c>
      <c r="B1329" t="s">
        <v>474</v>
      </c>
      <c r="C1329" t="s">
        <v>2066</v>
      </c>
      <c r="E1329" t="s">
        <v>480</v>
      </c>
      <c r="G1329" s="1" t="s">
        <v>4356</v>
      </c>
      <c r="H1329" t="s">
        <v>542</v>
      </c>
      <c r="J1329">
        <v>500000</v>
      </c>
      <c r="M1329" t="s">
        <v>1425</v>
      </c>
      <c r="P1329" t="s">
        <v>170</v>
      </c>
      <c r="R1329" t="s">
        <v>878</v>
      </c>
      <c r="S1329" t="s">
        <v>4363</v>
      </c>
      <c r="T1329" t="s">
        <v>4364</v>
      </c>
      <c r="V1329" t="s">
        <v>1365</v>
      </c>
      <c r="W1329" t="s">
        <v>73</v>
      </c>
      <c r="AE1329" t="s">
        <v>478</v>
      </c>
      <c r="AF1329" t="s">
        <v>479</v>
      </c>
      <c r="AL1329" t="s">
        <v>919</v>
      </c>
      <c r="AM1329" t="s">
        <v>919</v>
      </c>
      <c r="AO1329" t="s">
        <v>480</v>
      </c>
      <c r="AP1329" t="s">
        <v>481</v>
      </c>
      <c r="AQ1329" t="s">
        <v>854</v>
      </c>
      <c r="AR1329" t="s">
        <v>482</v>
      </c>
      <c r="BF1329" s="1"/>
      <c r="BH1329" t="s">
        <v>1366</v>
      </c>
      <c r="BP1329" t="s">
        <v>1489</v>
      </c>
    </row>
    <row r="1330" spans="1:68" x14ac:dyDescent="0.25">
      <c r="A1330" t="s">
        <v>5713</v>
      </c>
      <c r="B1330" t="s">
        <v>474</v>
      </c>
      <c r="C1330" t="s">
        <v>2066</v>
      </c>
      <c r="E1330" t="s">
        <v>480</v>
      </c>
      <c r="G1330" s="1" t="s">
        <v>4356</v>
      </c>
      <c r="H1330" t="s">
        <v>549</v>
      </c>
      <c r="J1330">
        <v>500000</v>
      </c>
      <c r="M1330" t="s">
        <v>1425</v>
      </c>
      <c r="P1330" t="s">
        <v>85</v>
      </c>
      <c r="R1330" t="s">
        <v>1756</v>
      </c>
      <c r="S1330" t="s">
        <v>4365</v>
      </c>
      <c r="T1330" t="s">
        <v>4366</v>
      </c>
      <c r="V1330" t="s">
        <v>1365</v>
      </c>
      <c r="W1330" t="s">
        <v>73</v>
      </c>
      <c r="AE1330" t="s">
        <v>478</v>
      </c>
      <c r="AF1330" t="s">
        <v>479</v>
      </c>
      <c r="AL1330" t="s">
        <v>919</v>
      </c>
      <c r="AM1330" t="s">
        <v>919</v>
      </c>
      <c r="AO1330" t="s">
        <v>480</v>
      </c>
      <c r="AP1330" t="s">
        <v>481</v>
      </c>
      <c r="AQ1330" t="s">
        <v>630</v>
      </c>
      <c r="AR1330" t="s">
        <v>482</v>
      </c>
      <c r="BF1330" s="1"/>
      <c r="BH1330" t="s">
        <v>1366</v>
      </c>
      <c r="BP1330" t="s">
        <v>1489</v>
      </c>
    </row>
    <row r="1331" spans="1:68" x14ac:dyDescent="0.25">
      <c r="A1331" t="s">
        <v>5713</v>
      </c>
      <c r="B1331" t="s">
        <v>474</v>
      </c>
      <c r="C1331" t="s">
        <v>2066</v>
      </c>
      <c r="E1331" t="s">
        <v>480</v>
      </c>
      <c r="G1331" s="1" t="s">
        <v>4356</v>
      </c>
      <c r="H1331" t="s">
        <v>556</v>
      </c>
      <c r="J1331">
        <v>500000</v>
      </c>
      <c r="M1331" t="s">
        <v>1420</v>
      </c>
      <c r="P1331" t="s">
        <v>156</v>
      </c>
      <c r="R1331" t="s">
        <v>565</v>
      </c>
      <c r="S1331" t="s">
        <v>1446</v>
      </c>
      <c r="T1331" t="s">
        <v>1447</v>
      </c>
      <c r="V1331" t="s">
        <v>1365</v>
      </c>
      <c r="W1331" t="s">
        <v>73</v>
      </c>
      <c r="AE1331" t="s">
        <v>478</v>
      </c>
      <c r="AF1331" t="s">
        <v>479</v>
      </c>
      <c r="AL1331" t="s">
        <v>919</v>
      </c>
      <c r="AM1331" t="s">
        <v>919</v>
      </c>
      <c r="AO1331" t="s">
        <v>480</v>
      </c>
      <c r="AP1331" t="s">
        <v>481</v>
      </c>
      <c r="AQ1331" t="s">
        <v>615</v>
      </c>
      <c r="AR1331" t="s">
        <v>482</v>
      </c>
      <c r="BF1331" s="1"/>
      <c r="BH1331" t="s">
        <v>1366</v>
      </c>
      <c r="BP1331" t="s">
        <v>1489</v>
      </c>
    </row>
    <row r="1332" spans="1:68" x14ac:dyDescent="0.25">
      <c r="A1332" t="s">
        <v>5713</v>
      </c>
      <c r="B1332" t="s">
        <v>474</v>
      </c>
      <c r="C1332" t="s">
        <v>2066</v>
      </c>
      <c r="E1332" t="s">
        <v>480</v>
      </c>
      <c r="G1332" s="1" t="s">
        <v>4356</v>
      </c>
      <c r="H1332" t="s">
        <v>562</v>
      </c>
      <c r="J1332">
        <v>500000</v>
      </c>
      <c r="M1332" t="s">
        <v>1420</v>
      </c>
      <c r="P1332" t="s">
        <v>88</v>
      </c>
      <c r="R1332" t="s">
        <v>827</v>
      </c>
      <c r="S1332" t="s">
        <v>4367</v>
      </c>
      <c r="T1332" t="s">
        <v>4368</v>
      </c>
      <c r="V1332" t="s">
        <v>1365</v>
      </c>
      <c r="W1332" t="s">
        <v>73</v>
      </c>
      <c r="AE1332" t="s">
        <v>478</v>
      </c>
      <c r="AF1332" t="s">
        <v>479</v>
      </c>
      <c r="AL1332" t="s">
        <v>919</v>
      </c>
      <c r="AM1332" t="s">
        <v>919</v>
      </c>
      <c r="AO1332" t="s">
        <v>480</v>
      </c>
      <c r="AP1332" t="s">
        <v>481</v>
      </c>
      <c r="AQ1332" t="s">
        <v>597</v>
      </c>
      <c r="AR1332" t="s">
        <v>482</v>
      </c>
      <c r="BF1332" s="1"/>
      <c r="BH1332" t="s">
        <v>1366</v>
      </c>
      <c r="BP1332" t="s">
        <v>1489</v>
      </c>
    </row>
    <row r="1333" spans="1:68" x14ac:dyDescent="0.25">
      <c r="A1333" t="s">
        <v>5713</v>
      </c>
      <c r="B1333" t="s">
        <v>474</v>
      </c>
      <c r="C1333" t="s">
        <v>2066</v>
      </c>
      <c r="E1333" t="s">
        <v>480</v>
      </c>
      <c r="G1333" s="1" t="s">
        <v>4356</v>
      </c>
      <c r="H1333" t="s">
        <v>567</v>
      </c>
      <c r="J1333">
        <v>500000</v>
      </c>
      <c r="M1333" t="s">
        <v>1425</v>
      </c>
      <c r="P1333" t="s">
        <v>116</v>
      </c>
      <c r="R1333" t="s">
        <v>753</v>
      </c>
      <c r="S1333" t="s">
        <v>4369</v>
      </c>
      <c r="T1333" t="s">
        <v>4370</v>
      </c>
      <c r="V1333" t="s">
        <v>1365</v>
      </c>
      <c r="W1333" t="s">
        <v>73</v>
      </c>
      <c r="AE1333" t="s">
        <v>478</v>
      </c>
      <c r="AF1333" t="s">
        <v>479</v>
      </c>
      <c r="AL1333" t="s">
        <v>919</v>
      </c>
      <c r="AM1333" t="s">
        <v>919</v>
      </c>
      <c r="AO1333" t="s">
        <v>480</v>
      </c>
      <c r="AP1333" t="s">
        <v>481</v>
      </c>
      <c r="AQ1333" t="s">
        <v>645</v>
      </c>
      <c r="AR1333" t="s">
        <v>482</v>
      </c>
      <c r="BF1333" s="1"/>
      <c r="BH1333" t="s">
        <v>1366</v>
      </c>
      <c r="BP1333" t="s">
        <v>1489</v>
      </c>
    </row>
    <row r="1334" spans="1:68" x14ac:dyDescent="0.25">
      <c r="A1334" t="s">
        <v>5713</v>
      </c>
      <c r="B1334" t="s">
        <v>474</v>
      </c>
      <c r="C1334" t="s">
        <v>2066</v>
      </c>
      <c r="E1334" t="s">
        <v>480</v>
      </c>
      <c r="G1334" s="1" t="s">
        <v>4356</v>
      </c>
      <c r="H1334" t="s">
        <v>575</v>
      </c>
      <c r="J1334">
        <v>500000</v>
      </c>
      <c r="M1334" t="s">
        <v>1423</v>
      </c>
      <c r="P1334" t="s">
        <v>80</v>
      </c>
      <c r="R1334" t="s">
        <v>764</v>
      </c>
      <c r="S1334" t="s">
        <v>4371</v>
      </c>
      <c r="T1334" t="s">
        <v>4372</v>
      </c>
      <c r="V1334" t="s">
        <v>1365</v>
      </c>
      <c r="W1334" t="s">
        <v>73</v>
      </c>
      <c r="AE1334" t="s">
        <v>478</v>
      </c>
      <c r="AF1334" t="s">
        <v>479</v>
      </c>
      <c r="AL1334" t="s">
        <v>919</v>
      </c>
      <c r="AM1334" t="s">
        <v>919</v>
      </c>
      <c r="AO1334" t="s">
        <v>480</v>
      </c>
      <c r="AP1334" t="s">
        <v>481</v>
      </c>
      <c r="AQ1334" t="s">
        <v>603</v>
      </c>
      <c r="AR1334" t="s">
        <v>482</v>
      </c>
      <c r="BF1334" s="1"/>
      <c r="BH1334" t="s">
        <v>1366</v>
      </c>
      <c r="BP1334" t="s">
        <v>1489</v>
      </c>
    </row>
    <row r="1335" spans="1:68" x14ac:dyDescent="0.25">
      <c r="A1335" t="s">
        <v>5713</v>
      </c>
      <c r="B1335" t="s">
        <v>474</v>
      </c>
      <c r="C1335" t="s">
        <v>2066</v>
      </c>
      <c r="E1335" t="s">
        <v>480</v>
      </c>
      <c r="G1335" s="1" t="s">
        <v>4356</v>
      </c>
      <c r="H1335" t="s">
        <v>581</v>
      </c>
      <c r="J1335">
        <v>500000</v>
      </c>
      <c r="M1335" t="s">
        <v>1422</v>
      </c>
      <c r="P1335" t="s">
        <v>77</v>
      </c>
      <c r="R1335" t="s">
        <v>1766</v>
      </c>
      <c r="S1335" t="s">
        <v>4373</v>
      </c>
      <c r="T1335" t="s">
        <v>4374</v>
      </c>
      <c r="V1335" t="s">
        <v>1365</v>
      </c>
      <c r="W1335" t="s">
        <v>73</v>
      </c>
      <c r="AE1335" t="s">
        <v>478</v>
      </c>
      <c r="AF1335" t="s">
        <v>479</v>
      </c>
      <c r="AL1335" t="s">
        <v>919</v>
      </c>
      <c r="AM1335" t="s">
        <v>919</v>
      </c>
      <c r="AO1335" t="s">
        <v>480</v>
      </c>
      <c r="AP1335" t="s">
        <v>481</v>
      </c>
      <c r="AQ1335" t="s">
        <v>533</v>
      </c>
      <c r="AR1335" t="s">
        <v>482</v>
      </c>
      <c r="BF1335" s="1"/>
      <c r="BH1335" t="s">
        <v>1366</v>
      </c>
      <c r="BP1335" t="s">
        <v>1489</v>
      </c>
    </row>
    <row r="1336" spans="1:68" x14ac:dyDescent="0.25">
      <c r="A1336" t="s">
        <v>5713</v>
      </c>
      <c r="B1336" t="s">
        <v>474</v>
      </c>
      <c r="C1336" t="s">
        <v>2066</v>
      </c>
      <c r="E1336" t="s">
        <v>480</v>
      </c>
      <c r="G1336" s="1" t="s">
        <v>4356</v>
      </c>
      <c r="H1336" t="s">
        <v>589</v>
      </c>
      <c r="J1336">
        <v>500000</v>
      </c>
      <c r="M1336" t="s">
        <v>1415</v>
      </c>
      <c r="P1336" t="s">
        <v>87</v>
      </c>
      <c r="R1336" t="s">
        <v>565</v>
      </c>
      <c r="S1336" t="s">
        <v>4375</v>
      </c>
      <c r="T1336" t="s">
        <v>4376</v>
      </c>
      <c r="V1336" t="s">
        <v>1365</v>
      </c>
      <c r="W1336" t="s">
        <v>73</v>
      </c>
      <c r="AE1336" t="s">
        <v>478</v>
      </c>
      <c r="AF1336" t="s">
        <v>479</v>
      </c>
      <c r="AL1336" t="s">
        <v>919</v>
      </c>
      <c r="AM1336" t="s">
        <v>919</v>
      </c>
      <c r="AO1336" t="s">
        <v>480</v>
      </c>
      <c r="AP1336" t="s">
        <v>481</v>
      </c>
      <c r="AQ1336" t="s">
        <v>552</v>
      </c>
      <c r="AR1336" t="s">
        <v>482</v>
      </c>
      <c r="BF1336" s="1"/>
      <c r="BH1336" t="s">
        <v>1366</v>
      </c>
      <c r="BP1336" t="s">
        <v>1489</v>
      </c>
    </row>
    <row r="1337" spans="1:68" x14ac:dyDescent="0.25">
      <c r="A1337" t="s">
        <v>5713</v>
      </c>
      <c r="B1337" t="s">
        <v>474</v>
      </c>
      <c r="C1337" t="s">
        <v>2066</v>
      </c>
      <c r="E1337" t="s">
        <v>480</v>
      </c>
      <c r="G1337" s="1" t="s">
        <v>4377</v>
      </c>
      <c r="H1337" t="s">
        <v>476</v>
      </c>
      <c r="J1337">
        <v>500000</v>
      </c>
      <c r="M1337" t="s">
        <v>1423</v>
      </c>
      <c r="P1337" t="s">
        <v>124</v>
      </c>
      <c r="R1337" t="s">
        <v>1770</v>
      </c>
      <c r="S1337" t="s">
        <v>4378</v>
      </c>
      <c r="T1337" t="s">
        <v>4379</v>
      </c>
      <c r="V1337" t="s">
        <v>1365</v>
      </c>
      <c r="W1337" t="s">
        <v>73</v>
      </c>
      <c r="AE1337" t="s">
        <v>478</v>
      </c>
      <c r="AF1337" t="s">
        <v>479</v>
      </c>
      <c r="AL1337" t="s">
        <v>919</v>
      </c>
      <c r="AM1337" t="s">
        <v>919</v>
      </c>
      <c r="AO1337" t="s">
        <v>480</v>
      </c>
      <c r="AP1337" t="s">
        <v>481</v>
      </c>
      <c r="AQ1337" t="s">
        <v>588</v>
      </c>
      <c r="AR1337" t="s">
        <v>482</v>
      </c>
      <c r="BF1337" s="1"/>
      <c r="BH1337" t="s">
        <v>1366</v>
      </c>
      <c r="BP1337" t="s">
        <v>1489</v>
      </c>
    </row>
    <row r="1338" spans="1:68" x14ac:dyDescent="0.25">
      <c r="A1338" t="s">
        <v>5713</v>
      </c>
      <c r="B1338" t="s">
        <v>474</v>
      </c>
      <c r="C1338" t="s">
        <v>2066</v>
      </c>
      <c r="E1338" t="s">
        <v>480</v>
      </c>
      <c r="G1338" s="1" t="s">
        <v>4377</v>
      </c>
      <c r="H1338" t="s">
        <v>498</v>
      </c>
      <c r="J1338">
        <v>500000</v>
      </c>
      <c r="M1338" t="s">
        <v>1428</v>
      </c>
      <c r="P1338" t="s">
        <v>113</v>
      </c>
      <c r="R1338" t="s">
        <v>915</v>
      </c>
      <c r="S1338" t="s">
        <v>4380</v>
      </c>
      <c r="T1338" t="s">
        <v>4381</v>
      </c>
      <c r="V1338" t="s">
        <v>1365</v>
      </c>
      <c r="W1338" t="s">
        <v>73</v>
      </c>
      <c r="AE1338" t="s">
        <v>478</v>
      </c>
      <c r="AF1338" t="s">
        <v>479</v>
      </c>
      <c r="AL1338" t="s">
        <v>919</v>
      </c>
      <c r="AM1338" t="s">
        <v>919</v>
      </c>
      <c r="AO1338" t="s">
        <v>480</v>
      </c>
      <c r="AP1338" t="s">
        <v>481</v>
      </c>
      <c r="AQ1338" t="s">
        <v>657</v>
      </c>
      <c r="AR1338" t="s">
        <v>482</v>
      </c>
      <c r="BF1338" s="1"/>
      <c r="BH1338" t="s">
        <v>1366</v>
      </c>
      <c r="BP1338" t="s">
        <v>1489</v>
      </c>
    </row>
    <row r="1339" spans="1:68" x14ac:dyDescent="0.25">
      <c r="A1339" t="s">
        <v>5713</v>
      </c>
      <c r="B1339" t="s">
        <v>474</v>
      </c>
      <c r="C1339" t="s">
        <v>2066</v>
      </c>
      <c r="E1339" t="s">
        <v>480</v>
      </c>
      <c r="G1339" s="1" t="s">
        <v>4377</v>
      </c>
      <c r="H1339" t="s">
        <v>517</v>
      </c>
      <c r="J1339">
        <v>500000</v>
      </c>
      <c r="M1339" t="s">
        <v>1420</v>
      </c>
      <c r="P1339" t="s">
        <v>105</v>
      </c>
      <c r="R1339" t="s">
        <v>605</v>
      </c>
      <c r="S1339" t="s">
        <v>4382</v>
      </c>
      <c r="T1339" t="s">
        <v>4383</v>
      </c>
      <c r="V1339" t="s">
        <v>1365</v>
      </c>
      <c r="W1339" t="s">
        <v>73</v>
      </c>
      <c r="AE1339" t="s">
        <v>478</v>
      </c>
      <c r="AF1339" t="s">
        <v>479</v>
      </c>
      <c r="AL1339" t="s">
        <v>919</v>
      </c>
      <c r="AM1339" t="s">
        <v>919</v>
      </c>
      <c r="AO1339" t="s">
        <v>480</v>
      </c>
      <c r="AP1339" t="s">
        <v>481</v>
      </c>
      <c r="AQ1339" t="s">
        <v>607</v>
      </c>
      <c r="AR1339" t="s">
        <v>482</v>
      </c>
      <c r="BF1339" s="1"/>
      <c r="BH1339" t="s">
        <v>1366</v>
      </c>
      <c r="BP1339" t="s">
        <v>1489</v>
      </c>
    </row>
    <row r="1340" spans="1:68" x14ac:dyDescent="0.25">
      <c r="A1340" t="s">
        <v>5713</v>
      </c>
      <c r="B1340" t="s">
        <v>474</v>
      </c>
      <c r="C1340" t="s">
        <v>2066</v>
      </c>
      <c r="E1340" t="s">
        <v>480</v>
      </c>
      <c r="G1340" s="1" t="s">
        <v>4377</v>
      </c>
      <c r="H1340" t="s">
        <v>542</v>
      </c>
      <c r="J1340">
        <v>500000</v>
      </c>
      <c r="M1340" t="s">
        <v>1423</v>
      </c>
      <c r="P1340" t="s">
        <v>111</v>
      </c>
      <c r="R1340" t="s">
        <v>914</v>
      </c>
      <c r="S1340" t="s">
        <v>4384</v>
      </c>
      <c r="T1340" t="s">
        <v>4385</v>
      </c>
      <c r="V1340" t="s">
        <v>1365</v>
      </c>
      <c r="W1340" t="s">
        <v>73</v>
      </c>
      <c r="AE1340" t="s">
        <v>478</v>
      </c>
      <c r="AF1340" t="s">
        <v>479</v>
      </c>
      <c r="AL1340" t="s">
        <v>919</v>
      </c>
      <c r="AM1340" t="s">
        <v>919</v>
      </c>
      <c r="AO1340" t="s">
        <v>480</v>
      </c>
      <c r="AP1340" t="s">
        <v>481</v>
      </c>
      <c r="AQ1340" t="s">
        <v>548</v>
      </c>
      <c r="AR1340" t="s">
        <v>482</v>
      </c>
      <c r="BF1340" s="1"/>
      <c r="BH1340" t="s">
        <v>1366</v>
      </c>
      <c r="BP1340" t="s">
        <v>1489</v>
      </c>
    </row>
    <row r="1341" spans="1:68" x14ac:dyDescent="0.25">
      <c r="A1341" t="s">
        <v>5713</v>
      </c>
      <c r="B1341" t="s">
        <v>474</v>
      </c>
      <c r="C1341" t="s">
        <v>2066</v>
      </c>
      <c r="E1341" t="s">
        <v>480</v>
      </c>
      <c r="G1341" s="1" t="s">
        <v>4377</v>
      </c>
      <c r="H1341" t="s">
        <v>549</v>
      </c>
      <c r="J1341">
        <v>500000</v>
      </c>
      <c r="M1341" t="s">
        <v>1420</v>
      </c>
      <c r="P1341" t="s">
        <v>103</v>
      </c>
      <c r="R1341" t="s">
        <v>653</v>
      </c>
      <c r="S1341" t="s">
        <v>4386</v>
      </c>
      <c r="T1341" t="s">
        <v>4387</v>
      </c>
      <c r="V1341" t="s">
        <v>1365</v>
      </c>
      <c r="W1341" t="s">
        <v>73</v>
      </c>
      <c r="AE1341" t="s">
        <v>478</v>
      </c>
      <c r="AF1341" t="s">
        <v>479</v>
      </c>
      <c r="AL1341" t="s">
        <v>919</v>
      </c>
      <c r="AM1341" t="s">
        <v>919</v>
      </c>
      <c r="AO1341" t="s">
        <v>480</v>
      </c>
      <c r="AP1341" t="s">
        <v>481</v>
      </c>
      <c r="AQ1341" t="s">
        <v>545</v>
      </c>
      <c r="AR1341" t="s">
        <v>482</v>
      </c>
      <c r="BF1341" s="1"/>
      <c r="BH1341" t="s">
        <v>1366</v>
      </c>
      <c r="BP1341" t="s">
        <v>1489</v>
      </c>
    </row>
    <row r="1342" spans="1:68" x14ac:dyDescent="0.25">
      <c r="A1342" t="s">
        <v>5713</v>
      </c>
      <c r="B1342" t="s">
        <v>474</v>
      </c>
      <c r="C1342" t="s">
        <v>2066</v>
      </c>
      <c r="E1342" t="s">
        <v>480</v>
      </c>
      <c r="G1342" s="1" t="s">
        <v>4377</v>
      </c>
      <c r="H1342" t="s">
        <v>556</v>
      </c>
      <c r="J1342">
        <v>500000</v>
      </c>
      <c r="M1342" t="s">
        <v>1415</v>
      </c>
      <c r="P1342" t="s">
        <v>129</v>
      </c>
      <c r="R1342" t="s">
        <v>1770</v>
      </c>
      <c r="S1342" t="s">
        <v>4388</v>
      </c>
      <c r="T1342" t="s">
        <v>4389</v>
      </c>
      <c r="V1342" t="s">
        <v>1365</v>
      </c>
      <c r="W1342" t="s">
        <v>73</v>
      </c>
      <c r="AE1342" t="s">
        <v>478</v>
      </c>
      <c r="AF1342" t="s">
        <v>479</v>
      </c>
      <c r="AL1342" t="s">
        <v>919</v>
      </c>
      <c r="AM1342" t="s">
        <v>919</v>
      </c>
      <c r="AO1342" t="s">
        <v>480</v>
      </c>
      <c r="AP1342" t="s">
        <v>481</v>
      </c>
      <c r="AQ1342" t="s">
        <v>691</v>
      </c>
      <c r="AR1342" t="s">
        <v>482</v>
      </c>
      <c r="BF1342" s="1"/>
      <c r="BH1342" t="s">
        <v>1366</v>
      </c>
      <c r="BP1342" t="s">
        <v>1489</v>
      </c>
    </row>
    <row r="1343" spans="1:68" x14ac:dyDescent="0.25">
      <c r="A1343" t="s">
        <v>5713</v>
      </c>
      <c r="B1343" t="s">
        <v>474</v>
      </c>
      <c r="C1343" t="s">
        <v>2066</v>
      </c>
      <c r="E1343" t="s">
        <v>480</v>
      </c>
      <c r="G1343" s="1" t="s">
        <v>4377</v>
      </c>
      <c r="H1343" t="s">
        <v>562</v>
      </c>
      <c r="J1343">
        <v>500000</v>
      </c>
      <c r="M1343" t="s">
        <v>1422</v>
      </c>
      <c r="P1343" t="s">
        <v>112</v>
      </c>
      <c r="R1343" t="s">
        <v>909</v>
      </c>
      <c r="S1343" t="s">
        <v>4390</v>
      </c>
      <c r="T1343" t="s">
        <v>4391</v>
      </c>
      <c r="V1343" t="s">
        <v>1365</v>
      </c>
      <c r="W1343" t="s">
        <v>73</v>
      </c>
      <c r="AE1343" t="s">
        <v>478</v>
      </c>
      <c r="AF1343" t="s">
        <v>479</v>
      </c>
      <c r="AL1343" t="s">
        <v>919</v>
      </c>
      <c r="AM1343" t="s">
        <v>919</v>
      </c>
      <c r="AO1343" t="s">
        <v>480</v>
      </c>
      <c r="AP1343" t="s">
        <v>481</v>
      </c>
      <c r="AQ1343" t="s">
        <v>577</v>
      </c>
      <c r="AR1343" t="s">
        <v>482</v>
      </c>
      <c r="BF1343" s="1"/>
      <c r="BH1343" t="s">
        <v>1366</v>
      </c>
      <c r="BP1343" t="s">
        <v>1489</v>
      </c>
    </row>
    <row r="1344" spans="1:68" x14ac:dyDescent="0.25">
      <c r="A1344" t="s">
        <v>5713</v>
      </c>
      <c r="B1344" t="s">
        <v>474</v>
      </c>
      <c r="C1344" t="s">
        <v>2066</v>
      </c>
      <c r="E1344" t="s">
        <v>480</v>
      </c>
      <c r="G1344" s="1" t="s">
        <v>4377</v>
      </c>
      <c r="H1344" t="s">
        <v>567</v>
      </c>
      <c r="J1344">
        <v>500000</v>
      </c>
      <c r="M1344" t="s">
        <v>1420</v>
      </c>
      <c r="P1344" t="s">
        <v>109</v>
      </c>
      <c r="R1344" t="s">
        <v>665</v>
      </c>
      <c r="S1344" t="s">
        <v>4392</v>
      </c>
      <c r="T1344" t="s">
        <v>4393</v>
      </c>
      <c r="V1344" t="s">
        <v>1365</v>
      </c>
      <c r="W1344" t="s">
        <v>73</v>
      </c>
      <c r="AE1344" t="s">
        <v>478</v>
      </c>
      <c r="AF1344" t="s">
        <v>479</v>
      </c>
      <c r="AL1344" t="s">
        <v>919</v>
      </c>
      <c r="AM1344" t="s">
        <v>919</v>
      </c>
      <c r="AO1344" t="s">
        <v>480</v>
      </c>
      <c r="AP1344" t="s">
        <v>481</v>
      </c>
      <c r="AQ1344" t="s">
        <v>536</v>
      </c>
      <c r="AR1344" t="s">
        <v>482</v>
      </c>
      <c r="BF1344" s="1"/>
      <c r="BH1344" t="s">
        <v>1366</v>
      </c>
      <c r="BP1344" t="s">
        <v>1489</v>
      </c>
    </row>
    <row r="1345" spans="1:68" x14ac:dyDescent="0.25">
      <c r="A1345" t="s">
        <v>5713</v>
      </c>
      <c r="B1345" t="s">
        <v>474</v>
      </c>
      <c r="C1345" t="s">
        <v>2066</v>
      </c>
      <c r="E1345" t="s">
        <v>480</v>
      </c>
      <c r="G1345" s="1" t="s">
        <v>4394</v>
      </c>
      <c r="H1345" t="s">
        <v>476</v>
      </c>
      <c r="J1345">
        <v>500000</v>
      </c>
      <c r="M1345" t="s">
        <v>1414</v>
      </c>
      <c r="P1345" t="s">
        <v>79</v>
      </c>
      <c r="R1345" t="s">
        <v>1792</v>
      </c>
      <c r="S1345" t="s">
        <v>4395</v>
      </c>
      <c r="T1345" t="s">
        <v>4396</v>
      </c>
      <c r="V1345" t="s">
        <v>1365</v>
      </c>
      <c r="W1345" t="s">
        <v>73</v>
      </c>
      <c r="AE1345" t="s">
        <v>478</v>
      </c>
      <c r="AF1345" t="s">
        <v>479</v>
      </c>
      <c r="AL1345" t="s">
        <v>919</v>
      </c>
      <c r="AM1345" t="s">
        <v>919</v>
      </c>
      <c r="AO1345" t="s">
        <v>480</v>
      </c>
      <c r="AP1345" t="s">
        <v>481</v>
      </c>
      <c r="AQ1345" t="s">
        <v>932</v>
      </c>
      <c r="AR1345" t="s">
        <v>482</v>
      </c>
      <c r="BF1345" s="1"/>
      <c r="BH1345" t="s">
        <v>1366</v>
      </c>
      <c r="BP1345" t="s">
        <v>1489</v>
      </c>
    </row>
    <row r="1346" spans="1:68" x14ac:dyDescent="0.25">
      <c r="A1346" t="s">
        <v>5713</v>
      </c>
      <c r="B1346" t="s">
        <v>474</v>
      </c>
      <c r="C1346" t="s">
        <v>4397</v>
      </c>
      <c r="E1346" t="s">
        <v>480</v>
      </c>
      <c r="G1346" s="1" t="s">
        <v>4398</v>
      </c>
      <c r="H1346" t="s">
        <v>476</v>
      </c>
      <c r="J1346">
        <v>500000</v>
      </c>
      <c r="M1346" t="s">
        <v>1429</v>
      </c>
      <c r="P1346" t="s">
        <v>144</v>
      </c>
      <c r="R1346" t="s">
        <v>722</v>
      </c>
      <c r="S1346" t="s">
        <v>1381</v>
      </c>
      <c r="T1346" t="s">
        <v>1382</v>
      </c>
      <c r="V1346" t="s">
        <v>1365</v>
      </c>
      <c r="W1346" t="s">
        <v>70</v>
      </c>
      <c r="AE1346" t="s">
        <v>478</v>
      </c>
      <c r="AF1346" t="s">
        <v>479</v>
      </c>
      <c r="AL1346" t="s">
        <v>919</v>
      </c>
      <c r="AM1346" t="s">
        <v>919</v>
      </c>
      <c r="AO1346" t="s">
        <v>480</v>
      </c>
      <c r="AP1346" t="s">
        <v>481</v>
      </c>
      <c r="AQ1346" t="s">
        <v>726</v>
      </c>
      <c r="AR1346" t="s">
        <v>482</v>
      </c>
      <c r="BF1346" s="1"/>
      <c r="BH1346" t="s">
        <v>1366</v>
      </c>
      <c r="BP1346" t="s">
        <v>1489</v>
      </c>
    </row>
    <row r="1347" spans="1:68" x14ac:dyDescent="0.25">
      <c r="A1347" t="s">
        <v>5713</v>
      </c>
      <c r="B1347" t="s">
        <v>474</v>
      </c>
      <c r="C1347" t="s">
        <v>4397</v>
      </c>
      <c r="E1347" t="s">
        <v>480</v>
      </c>
      <c r="G1347" s="1" t="s">
        <v>4399</v>
      </c>
      <c r="H1347" t="s">
        <v>476</v>
      </c>
      <c r="J1347">
        <v>500000</v>
      </c>
      <c r="M1347" t="s">
        <v>1429</v>
      </c>
      <c r="P1347" t="s">
        <v>144</v>
      </c>
      <c r="R1347" t="s">
        <v>722</v>
      </c>
      <c r="S1347" t="s">
        <v>1381</v>
      </c>
      <c r="T1347" t="s">
        <v>1382</v>
      </c>
      <c r="V1347" t="s">
        <v>1365</v>
      </c>
      <c r="W1347" t="s">
        <v>70</v>
      </c>
      <c r="AE1347" t="s">
        <v>478</v>
      </c>
      <c r="AF1347" t="s">
        <v>479</v>
      </c>
      <c r="AL1347" t="s">
        <v>919</v>
      </c>
      <c r="AM1347" t="s">
        <v>919</v>
      </c>
      <c r="AO1347" t="s">
        <v>480</v>
      </c>
      <c r="AP1347" t="s">
        <v>481</v>
      </c>
      <c r="AQ1347" t="s">
        <v>726</v>
      </c>
      <c r="AR1347" t="s">
        <v>482</v>
      </c>
      <c r="BF1347" s="1"/>
      <c r="BH1347" t="s">
        <v>1366</v>
      </c>
      <c r="BP1347" t="s">
        <v>1489</v>
      </c>
    </row>
    <row r="1348" spans="1:68" x14ac:dyDescent="0.25">
      <c r="A1348" t="s">
        <v>5713</v>
      </c>
      <c r="B1348" t="s">
        <v>474</v>
      </c>
      <c r="C1348" t="s">
        <v>4397</v>
      </c>
      <c r="E1348" t="s">
        <v>480</v>
      </c>
      <c r="G1348" s="1" t="s">
        <v>4400</v>
      </c>
      <c r="H1348" t="s">
        <v>476</v>
      </c>
      <c r="J1348">
        <v>500000</v>
      </c>
      <c r="M1348" t="s">
        <v>1418</v>
      </c>
      <c r="P1348" t="s">
        <v>165</v>
      </c>
      <c r="R1348" t="s">
        <v>748</v>
      </c>
      <c r="S1348" t="s">
        <v>1387</v>
      </c>
      <c r="T1348" t="s">
        <v>1388</v>
      </c>
      <c r="V1348" t="s">
        <v>1365</v>
      </c>
      <c r="W1348" t="s">
        <v>70</v>
      </c>
      <c r="AE1348" t="s">
        <v>478</v>
      </c>
      <c r="AF1348" t="s">
        <v>479</v>
      </c>
      <c r="AL1348" t="s">
        <v>919</v>
      </c>
      <c r="AM1348" t="s">
        <v>919</v>
      </c>
      <c r="AO1348" t="s">
        <v>480</v>
      </c>
      <c r="AP1348" t="s">
        <v>481</v>
      </c>
      <c r="AQ1348" t="s">
        <v>752</v>
      </c>
      <c r="AR1348" t="s">
        <v>482</v>
      </c>
      <c r="BF1348" s="1"/>
      <c r="BH1348" t="s">
        <v>1366</v>
      </c>
      <c r="BP1348" t="s">
        <v>1489</v>
      </c>
    </row>
    <row r="1349" spans="1:68" x14ac:dyDescent="0.25">
      <c r="A1349" t="s">
        <v>5713</v>
      </c>
      <c r="B1349" t="s">
        <v>474</v>
      </c>
      <c r="C1349" t="s">
        <v>4397</v>
      </c>
      <c r="E1349" t="s">
        <v>480</v>
      </c>
      <c r="G1349" s="1" t="s">
        <v>4401</v>
      </c>
      <c r="H1349" t="s">
        <v>476</v>
      </c>
      <c r="J1349">
        <v>500000</v>
      </c>
      <c r="M1349" t="s">
        <v>1418</v>
      </c>
      <c r="P1349" t="s">
        <v>149</v>
      </c>
      <c r="R1349" t="s">
        <v>506</v>
      </c>
      <c r="S1349" t="s">
        <v>1385</v>
      </c>
      <c r="T1349" t="s">
        <v>1386</v>
      </c>
      <c r="V1349" t="s">
        <v>1365</v>
      </c>
      <c r="W1349" t="s">
        <v>70</v>
      </c>
      <c r="AE1349" t="s">
        <v>478</v>
      </c>
      <c r="AF1349" t="s">
        <v>479</v>
      </c>
      <c r="AL1349" t="s">
        <v>919</v>
      </c>
      <c r="AM1349" t="s">
        <v>919</v>
      </c>
      <c r="AO1349" t="s">
        <v>480</v>
      </c>
      <c r="AP1349" t="s">
        <v>481</v>
      </c>
      <c r="AQ1349" t="s">
        <v>510</v>
      </c>
      <c r="AR1349" t="s">
        <v>482</v>
      </c>
      <c r="BF1349" s="1"/>
      <c r="BH1349" t="s">
        <v>1366</v>
      </c>
      <c r="BP1349" t="s">
        <v>1489</v>
      </c>
    </row>
    <row r="1350" spans="1:68" x14ac:dyDescent="0.25">
      <c r="A1350" t="s">
        <v>5713</v>
      </c>
      <c r="B1350" t="s">
        <v>474</v>
      </c>
      <c r="C1350" t="s">
        <v>4397</v>
      </c>
      <c r="E1350" t="s">
        <v>480</v>
      </c>
      <c r="G1350" s="1" t="s">
        <v>4402</v>
      </c>
      <c r="H1350" t="s">
        <v>476</v>
      </c>
      <c r="J1350">
        <v>500000</v>
      </c>
      <c r="M1350" t="s">
        <v>1418</v>
      </c>
      <c r="P1350" t="s">
        <v>149</v>
      </c>
      <c r="R1350" t="s">
        <v>506</v>
      </c>
      <c r="S1350" t="s">
        <v>1385</v>
      </c>
      <c r="T1350" t="s">
        <v>1386</v>
      </c>
      <c r="V1350" t="s">
        <v>1365</v>
      </c>
      <c r="W1350" t="s">
        <v>70</v>
      </c>
      <c r="AE1350" t="s">
        <v>478</v>
      </c>
      <c r="AF1350" t="s">
        <v>479</v>
      </c>
      <c r="AL1350" t="s">
        <v>919</v>
      </c>
      <c r="AM1350" t="s">
        <v>919</v>
      </c>
      <c r="AO1350" t="s">
        <v>480</v>
      </c>
      <c r="AP1350" t="s">
        <v>481</v>
      </c>
      <c r="AQ1350" t="s">
        <v>510</v>
      </c>
      <c r="AR1350" t="s">
        <v>482</v>
      </c>
      <c r="BF1350" s="1"/>
      <c r="BH1350" t="s">
        <v>1366</v>
      </c>
      <c r="BP1350" t="s">
        <v>1489</v>
      </c>
    </row>
    <row r="1351" spans="1:68" x14ac:dyDescent="0.25">
      <c r="A1351" t="s">
        <v>5713</v>
      </c>
      <c r="B1351" t="s">
        <v>474</v>
      </c>
      <c r="C1351" t="s">
        <v>4397</v>
      </c>
      <c r="E1351" t="s">
        <v>480</v>
      </c>
      <c r="G1351" s="1" t="s">
        <v>4403</v>
      </c>
      <c r="H1351" t="s">
        <v>476</v>
      </c>
      <c r="J1351">
        <v>500000</v>
      </c>
      <c r="M1351" t="s">
        <v>1419</v>
      </c>
      <c r="P1351" t="s">
        <v>131</v>
      </c>
      <c r="R1351" t="s">
        <v>512</v>
      </c>
      <c r="S1351" t="s">
        <v>1379</v>
      </c>
      <c r="T1351" t="s">
        <v>1380</v>
      </c>
      <c r="V1351" t="s">
        <v>1365</v>
      </c>
      <c r="W1351" t="s">
        <v>70</v>
      </c>
      <c r="AE1351" t="s">
        <v>478</v>
      </c>
      <c r="AF1351" t="s">
        <v>479</v>
      </c>
      <c r="AL1351" t="s">
        <v>919</v>
      </c>
      <c r="AM1351" t="s">
        <v>919</v>
      </c>
      <c r="AO1351" t="s">
        <v>480</v>
      </c>
      <c r="AP1351" t="s">
        <v>481</v>
      </c>
      <c r="AQ1351" t="s">
        <v>516</v>
      </c>
      <c r="AR1351" t="s">
        <v>482</v>
      </c>
      <c r="BF1351" s="1"/>
      <c r="BH1351" t="s">
        <v>1366</v>
      </c>
      <c r="BP1351" t="s">
        <v>1489</v>
      </c>
    </row>
    <row r="1352" spans="1:68" x14ac:dyDescent="0.25">
      <c r="A1352" t="s">
        <v>5713</v>
      </c>
      <c r="B1352" t="s">
        <v>474</v>
      </c>
      <c r="C1352" t="s">
        <v>2088</v>
      </c>
      <c r="E1352" t="s">
        <v>480</v>
      </c>
      <c r="G1352" s="1" t="s">
        <v>4404</v>
      </c>
      <c r="H1352" t="s">
        <v>476</v>
      </c>
      <c r="J1352">
        <v>500000</v>
      </c>
      <c r="M1352" t="s">
        <v>1429</v>
      </c>
      <c r="P1352" t="s">
        <v>144</v>
      </c>
      <c r="R1352" t="s">
        <v>722</v>
      </c>
      <c r="S1352" t="s">
        <v>1381</v>
      </c>
      <c r="T1352" t="s">
        <v>1382</v>
      </c>
      <c r="V1352" t="s">
        <v>1365</v>
      </c>
      <c r="W1352" t="s">
        <v>70</v>
      </c>
      <c r="AE1352" t="s">
        <v>478</v>
      </c>
      <c r="AF1352" t="s">
        <v>479</v>
      </c>
      <c r="AL1352" t="s">
        <v>919</v>
      </c>
      <c r="AM1352" t="s">
        <v>919</v>
      </c>
      <c r="AO1352" t="s">
        <v>480</v>
      </c>
      <c r="AP1352" t="s">
        <v>481</v>
      </c>
      <c r="AQ1352" t="s">
        <v>726</v>
      </c>
      <c r="AR1352" t="s">
        <v>482</v>
      </c>
      <c r="BF1352" s="1"/>
      <c r="BH1352" t="s">
        <v>1366</v>
      </c>
      <c r="BP1352" t="s">
        <v>1489</v>
      </c>
    </row>
    <row r="1353" spans="1:68" x14ac:dyDescent="0.25">
      <c r="A1353" t="s">
        <v>5713</v>
      </c>
      <c r="B1353" t="s">
        <v>474</v>
      </c>
      <c r="C1353" t="s">
        <v>2066</v>
      </c>
      <c r="E1353" t="s">
        <v>480</v>
      </c>
      <c r="G1353" s="1" t="s">
        <v>4405</v>
      </c>
      <c r="H1353" t="s">
        <v>476</v>
      </c>
      <c r="J1353">
        <v>500000</v>
      </c>
      <c r="M1353" t="s">
        <v>1429</v>
      </c>
      <c r="P1353" t="s">
        <v>144</v>
      </c>
      <c r="R1353" t="s">
        <v>722</v>
      </c>
      <c r="S1353" t="s">
        <v>1381</v>
      </c>
      <c r="T1353" t="s">
        <v>1382</v>
      </c>
      <c r="V1353" t="s">
        <v>1365</v>
      </c>
      <c r="W1353" t="s">
        <v>70</v>
      </c>
      <c r="AE1353" t="s">
        <v>478</v>
      </c>
      <c r="AF1353" t="s">
        <v>479</v>
      </c>
      <c r="AL1353" t="s">
        <v>919</v>
      </c>
      <c r="AM1353" t="s">
        <v>919</v>
      </c>
      <c r="AO1353" t="s">
        <v>480</v>
      </c>
      <c r="AP1353" t="s">
        <v>481</v>
      </c>
      <c r="AQ1353" t="s">
        <v>726</v>
      </c>
      <c r="AR1353" t="s">
        <v>482</v>
      </c>
      <c r="BF1353" s="1"/>
      <c r="BH1353" t="s">
        <v>1366</v>
      </c>
      <c r="BP1353" t="s">
        <v>1489</v>
      </c>
    </row>
    <row r="1354" spans="1:68" x14ac:dyDescent="0.25">
      <c r="A1354" t="s">
        <v>5713</v>
      </c>
      <c r="B1354" t="s">
        <v>474</v>
      </c>
      <c r="C1354" t="s">
        <v>2066</v>
      </c>
      <c r="E1354" t="s">
        <v>480</v>
      </c>
      <c r="G1354" s="1" t="s">
        <v>4406</v>
      </c>
      <c r="H1354" t="s">
        <v>476</v>
      </c>
      <c r="J1354">
        <v>500000</v>
      </c>
      <c r="M1354" t="s">
        <v>1418</v>
      </c>
      <c r="P1354" t="s">
        <v>165</v>
      </c>
      <c r="R1354" t="s">
        <v>748</v>
      </c>
      <c r="S1354" t="s">
        <v>1387</v>
      </c>
      <c r="T1354" t="s">
        <v>1388</v>
      </c>
      <c r="V1354" t="s">
        <v>1365</v>
      </c>
      <c r="W1354" t="s">
        <v>70</v>
      </c>
      <c r="AE1354" t="s">
        <v>478</v>
      </c>
      <c r="AF1354" t="s">
        <v>479</v>
      </c>
      <c r="AL1354" t="s">
        <v>919</v>
      </c>
      <c r="AM1354" t="s">
        <v>919</v>
      </c>
      <c r="AO1354" t="s">
        <v>480</v>
      </c>
      <c r="AP1354" t="s">
        <v>481</v>
      </c>
      <c r="AQ1354" t="s">
        <v>752</v>
      </c>
      <c r="AR1354" t="s">
        <v>482</v>
      </c>
      <c r="BF1354" s="1"/>
      <c r="BH1354" t="s">
        <v>1366</v>
      </c>
      <c r="BP1354" t="s">
        <v>1489</v>
      </c>
    </row>
    <row r="1355" spans="1:68" x14ac:dyDescent="0.25">
      <c r="A1355" t="s">
        <v>5713</v>
      </c>
      <c r="B1355" t="s">
        <v>474</v>
      </c>
      <c r="C1355" t="s">
        <v>2088</v>
      </c>
      <c r="E1355" t="s">
        <v>480</v>
      </c>
      <c r="G1355" s="1" t="s">
        <v>4407</v>
      </c>
      <c r="H1355" t="s">
        <v>476</v>
      </c>
      <c r="J1355">
        <v>500000</v>
      </c>
      <c r="M1355" t="s">
        <v>1419</v>
      </c>
      <c r="P1355" t="s">
        <v>131</v>
      </c>
      <c r="R1355" t="s">
        <v>2331</v>
      </c>
      <c r="S1355" t="s">
        <v>4408</v>
      </c>
      <c r="T1355" t="s">
        <v>4409</v>
      </c>
      <c r="V1355" t="s">
        <v>1365</v>
      </c>
      <c r="W1355" t="s">
        <v>70</v>
      </c>
      <c r="AE1355" t="s">
        <v>478</v>
      </c>
      <c r="AF1355" t="s">
        <v>479</v>
      </c>
      <c r="AL1355" t="s">
        <v>919</v>
      </c>
      <c r="AM1355" t="s">
        <v>919</v>
      </c>
      <c r="AO1355" t="s">
        <v>480</v>
      </c>
      <c r="AP1355" t="s">
        <v>481</v>
      </c>
      <c r="AQ1355" t="s">
        <v>516</v>
      </c>
      <c r="AR1355" t="s">
        <v>482</v>
      </c>
      <c r="BF1355" s="1"/>
      <c r="BH1355" t="s">
        <v>1366</v>
      </c>
      <c r="BP1355" t="s">
        <v>1489</v>
      </c>
    </row>
    <row r="1356" spans="1:68" x14ac:dyDescent="0.25">
      <c r="A1356" t="s">
        <v>5713</v>
      </c>
      <c r="B1356" t="s">
        <v>474</v>
      </c>
      <c r="C1356" t="s">
        <v>2088</v>
      </c>
      <c r="E1356" t="s">
        <v>480</v>
      </c>
      <c r="G1356" s="1" t="s">
        <v>4410</v>
      </c>
      <c r="H1356" t="s">
        <v>476</v>
      </c>
      <c r="J1356">
        <v>500000</v>
      </c>
      <c r="M1356" t="s">
        <v>1418</v>
      </c>
      <c r="P1356" t="s">
        <v>149</v>
      </c>
      <c r="R1356" t="s">
        <v>506</v>
      </c>
      <c r="S1356" t="s">
        <v>1385</v>
      </c>
      <c r="T1356" t="s">
        <v>1386</v>
      </c>
      <c r="V1356" t="s">
        <v>1365</v>
      </c>
      <c r="W1356" t="s">
        <v>70</v>
      </c>
      <c r="AE1356" t="s">
        <v>478</v>
      </c>
      <c r="AF1356" t="s">
        <v>479</v>
      </c>
      <c r="AL1356" t="s">
        <v>919</v>
      </c>
      <c r="AM1356" t="s">
        <v>919</v>
      </c>
      <c r="AO1356" t="s">
        <v>480</v>
      </c>
      <c r="AP1356" t="s">
        <v>481</v>
      </c>
      <c r="AQ1356" t="s">
        <v>510</v>
      </c>
      <c r="AR1356" t="s">
        <v>482</v>
      </c>
      <c r="BF1356" s="1"/>
      <c r="BH1356" t="s">
        <v>1366</v>
      </c>
      <c r="BP1356" t="s">
        <v>1489</v>
      </c>
    </row>
    <row r="1357" spans="1:68" x14ac:dyDescent="0.25">
      <c r="A1357" t="s">
        <v>5713</v>
      </c>
      <c r="B1357" t="s">
        <v>474</v>
      </c>
      <c r="C1357" t="s">
        <v>2066</v>
      </c>
      <c r="E1357" t="s">
        <v>480</v>
      </c>
      <c r="G1357" s="1" t="s">
        <v>4411</v>
      </c>
      <c r="H1357" t="s">
        <v>476</v>
      </c>
      <c r="J1357">
        <v>500000</v>
      </c>
      <c r="M1357" t="s">
        <v>1423</v>
      </c>
      <c r="P1357" t="s">
        <v>118</v>
      </c>
      <c r="R1357" t="s">
        <v>702</v>
      </c>
      <c r="S1357" t="s">
        <v>1367</v>
      </c>
      <c r="T1357" t="s">
        <v>1368</v>
      </c>
      <c r="V1357" t="s">
        <v>1365</v>
      </c>
      <c r="W1357" t="s">
        <v>235</v>
      </c>
      <c r="AE1357" t="s">
        <v>478</v>
      </c>
      <c r="AF1357" t="s">
        <v>479</v>
      </c>
      <c r="AL1357" t="s">
        <v>919</v>
      </c>
      <c r="AM1357" t="s">
        <v>919</v>
      </c>
      <c r="AO1357" t="s">
        <v>480</v>
      </c>
      <c r="AP1357" t="s">
        <v>481</v>
      </c>
      <c r="AQ1357" t="s">
        <v>705</v>
      </c>
      <c r="AR1357" t="s">
        <v>482</v>
      </c>
      <c r="BF1357" s="1"/>
      <c r="BH1357" t="s">
        <v>1366</v>
      </c>
      <c r="BP1357" t="s">
        <v>1489</v>
      </c>
    </row>
    <row r="1358" spans="1:68" x14ac:dyDescent="0.25">
      <c r="A1358" t="s">
        <v>5713</v>
      </c>
      <c r="B1358" t="s">
        <v>474</v>
      </c>
      <c r="C1358" t="s">
        <v>2088</v>
      </c>
      <c r="E1358" t="s">
        <v>480</v>
      </c>
      <c r="G1358" s="1" t="s">
        <v>4412</v>
      </c>
      <c r="H1358" t="s">
        <v>476</v>
      </c>
      <c r="J1358">
        <v>500000</v>
      </c>
      <c r="M1358" t="s">
        <v>1425</v>
      </c>
      <c r="P1358" t="s">
        <v>172</v>
      </c>
      <c r="R1358" t="s">
        <v>543</v>
      </c>
      <c r="S1358" t="s">
        <v>4413</v>
      </c>
      <c r="T1358" t="s">
        <v>4414</v>
      </c>
      <c r="V1358" t="s">
        <v>1365</v>
      </c>
      <c r="W1358" t="s">
        <v>70</v>
      </c>
      <c r="AE1358" t="s">
        <v>478</v>
      </c>
      <c r="AF1358" t="s">
        <v>479</v>
      </c>
      <c r="AL1358" t="s">
        <v>919</v>
      </c>
      <c r="AM1358" t="s">
        <v>919</v>
      </c>
      <c r="AO1358" t="s">
        <v>480</v>
      </c>
      <c r="AP1358" t="s">
        <v>481</v>
      </c>
      <c r="AQ1358" t="s">
        <v>889</v>
      </c>
      <c r="AR1358" t="s">
        <v>482</v>
      </c>
      <c r="BF1358" s="1"/>
      <c r="BH1358" t="s">
        <v>1366</v>
      </c>
      <c r="BP1358" t="s">
        <v>1489</v>
      </c>
    </row>
    <row r="1359" spans="1:68" x14ac:dyDescent="0.25">
      <c r="A1359" t="s">
        <v>5713</v>
      </c>
      <c r="B1359" t="s">
        <v>474</v>
      </c>
      <c r="C1359" t="s">
        <v>2088</v>
      </c>
      <c r="E1359" t="s">
        <v>480</v>
      </c>
      <c r="G1359" s="1" t="s">
        <v>4415</v>
      </c>
      <c r="H1359" t="s">
        <v>476</v>
      </c>
      <c r="J1359">
        <v>500000</v>
      </c>
      <c r="M1359" t="s">
        <v>1429</v>
      </c>
      <c r="P1359" t="s">
        <v>144</v>
      </c>
      <c r="R1359" t="s">
        <v>722</v>
      </c>
      <c r="S1359" t="s">
        <v>1381</v>
      </c>
      <c r="T1359" t="s">
        <v>1382</v>
      </c>
      <c r="V1359" t="s">
        <v>1365</v>
      </c>
      <c r="W1359" t="s">
        <v>70</v>
      </c>
      <c r="AE1359" t="s">
        <v>478</v>
      </c>
      <c r="AF1359" t="s">
        <v>479</v>
      </c>
      <c r="AL1359" t="s">
        <v>919</v>
      </c>
      <c r="AM1359" t="s">
        <v>919</v>
      </c>
      <c r="AO1359" t="s">
        <v>480</v>
      </c>
      <c r="AP1359" t="s">
        <v>481</v>
      </c>
      <c r="AQ1359" t="s">
        <v>726</v>
      </c>
      <c r="AR1359" t="s">
        <v>482</v>
      </c>
      <c r="BF1359" s="1"/>
      <c r="BH1359" t="s">
        <v>1366</v>
      </c>
      <c r="BP1359" t="s">
        <v>1489</v>
      </c>
    </row>
    <row r="1360" spans="1:68" x14ac:dyDescent="0.25">
      <c r="A1360" t="s">
        <v>5713</v>
      </c>
      <c r="B1360" t="s">
        <v>474</v>
      </c>
      <c r="C1360" t="s">
        <v>2088</v>
      </c>
      <c r="E1360" t="s">
        <v>480</v>
      </c>
      <c r="G1360" s="1" t="s">
        <v>4416</v>
      </c>
      <c r="H1360" t="s">
        <v>476</v>
      </c>
      <c r="J1360">
        <v>500000</v>
      </c>
      <c r="M1360" t="s">
        <v>1418</v>
      </c>
      <c r="P1360" t="s">
        <v>165</v>
      </c>
      <c r="R1360" t="s">
        <v>748</v>
      </c>
      <c r="S1360" t="s">
        <v>1387</v>
      </c>
      <c r="T1360" t="s">
        <v>1388</v>
      </c>
      <c r="V1360" t="s">
        <v>1365</v>
      </c>
      <c r="W1360" t="s">
        <v>70</v>
      </c>
      <c r="AE1360" t="s">
        <v>478</v>
      </c>
      <c r="AF1360" t="s">
        <v>479</v>
      </c>
      <c r="AL1360" t="s">
        <v>919</v>
      </c>
      <c r="AM1360" t="s">
        <v>919</v>
      </c>
      <c r="AO1360" t="s">
        <v>480</v>
      </c>
      <c r="AP1360" t="s">
        <v>481</v>
      </c>
      <c r="AQ1360" t="s">
        <v>752</v>
      </c>
      <c r="AR1360" t="s">
        <v>482</v>
      </c>
      <c r="BF1360" s="1"/>
      <c r="BH1360" t="s">
        <v>1366</v>
      </c>
      <c r="BP1360" t="s">
        <v>1489</v>
      </c>
    </row>
    <row r="1361" spans="1:68" x14ac:dyDescent="0.25">
      <c r="A1361" t="s">
        <v>5713</v>
      </c>
      <c r="B1361" t="s">
        <v>474</v>
      </c>
      <c r="C1361" t="s">
        <v>2088</v>
      </c>
      <c r="E1361" t="s">
        <v>480</v>
      </c>
      <c r="G1361" s="1" t="s">
        <v>4417</v>
      </c>
      <c r="H1361" t="s">
        <v>476</v>
      </c>
      <c r="J1361">
        <v>500000</v>
      </c>
      <c r="M1361" t="s">
        <v>1418</v>
      </c>
      <c r="P1361" t="s">
        <v>165</v>
      </c>
      <c r="R1361" t="s">
        <v>748</v>
      </c>
      <c r="S1361" t="s">
        <v>1387</v>
      </c>
      <c r="T1361" t="s">
        <v>1388</v>
      </c>
      <c r="V1361" t="s">
        <v>1365</v>
      </c>
      <c r="W1361" t="s">
        <v>70</v>
      </c>
      <c r="AE1361" t="s">
        <v>478</v>
      </c>
      <c r="AF1361" t="s">
        <v>479</v>
      </c>
      <c r="AL1361" t="s">
        <v>919</v>
      </c>
      <c r="AM1361" t="s">
        <v>919</v>
      </c>
      <c r="AO1361" t="s">
        <v>480</v>
      </c>
      <c r="AP1361" t="s">
        <v>481</v>
      </c>
      <c r="AQ1361" t="s">
        <v>752</v>
      </c>
      <c r="AR1361" t="s">
        <v>482</v>
      </c>
      <c r="BF1361" s="1"/>
      <c r="BH1361" t="s">
        <v>1366</v>
      </c>
      <c r="BP1361" t="s">
        <v>1489</v>
      </c>
    </row>
    <row r="1362" spans="1:68" x14ac:dyDescent="0.25">
      <c r="A1362" t="s">
        <v>5713</v>
      </c>
      <c r="B1362" t="s">
        <v>474</v>
      </c>
      <c r="C1362" t="s">
        <v>2088</v>
      </c>
      <c r="E1362" t="s">
        <v>480</v>
      </c>
      <c r="G1362" s="1" t="s">
        <v>4418</v>
      </c>
      <c r="H1362" t="s">
        <v>476</v>
      </c>
      <c r="J1362">
        <v>500000</v>
      </c>
      <c r="M1362" t="s">
        <v>1425</v>
      </c>
      <c r="P1362" t="s">
        <v>160</v>
      </c>
      <c r="R1362" t="s">
        <v>753</v>
      </c>
      <c r="S1362" t="s">
        <v>4419</v>
      </c>
      <c r="T1362" t="s">
        <v>4420</v>
      </c>
      <c r="V1362" t="s">
        <v>1365</v>
      </c>
      <c r="W1362" t="s">
        <v>70</v>
      </c>
      <c r="AE1362" t="s">
        <v>478</v>
      </c>
      <c r="AF1362" t="s">
        <v>479</v>
      </c>
      <c r="AL1362" t="s">
        <v>919</v>
      </c>
      <c r="AM1362" t="s">
        <v>919</v>
      </c>
      <c r="AO1362" t="s">
        <v>480</v>
      </c>
      <c r="AP1362" t="s">
        <v>481</v>
      </c>
      <c r="AQ1362" t="s">
        <v>730</v>
      </c>
      <c r="AR1362" t="s">
        <v>482</v>
      </c>
      <c r="BF1362" s="1"/>
      <c r="BH1362" t="s">
        <v>1366</v>
      </c>
      <c r="BP1362" t="s">
        <v>1489</v>
      </c>
    </row>
    <row r="1363" spans="1:68" x14ac:dyDescent="0.25">
      <c r="A1363" t="s">
        <v>5713</v>
      </c>
      <c r="B1363" t="s">
        <v>474</v>
      </c>
      <c r="C1363" t="s">
        <v>2088</v>
      </c>
      <c r="E1363" t="s">
        <v>480</v>
      </c>
      <c r="G1363" s="1" t="s">
        <v>4418</v>
      </c>
      <c r="H1363" t="s">
        <v>498</v>
      </c>
      <c r="J1363">
        <v>500000</v>
      </c>
      <c r="M1363" t="s">
        <v>1418</v>
      </c>
      <c r="P1363" t="s">
        <v>146</v>
      </c>
      <c r="R1363" t="s">
        <v>590</v>
      </c>
      <c r="S1363" t="s">
        <v>4421</v>
      </c>
      <c r="T1363" t="s">
        <v>4422</v>
      </c>
      <c r="V1363" t="s">
        <v>1365</v>
      </c>
      <c r="W1363" t="s">
        <v>70</v>
      </c>
      <c r="AE1363" t="s">
        <v>478</v>
      </c>
      <c r="AF1363" t="s">
        <v>479</v>
      </c>
      <c r="AL1363" t="s">
        <v>919</v>
      </c>
      <c r="AM1363" t="s">
        <v>919</v>
      </c>
      <c r="AO1363" t="s">
        <v>480</v>
      </c>
      <c r="AP1363" t="s">
        <v>481</v>
      </c>
      <c r="AQ1363" t="s">
        <v>733</v>
      </c>
      <c r="AR1363" t="s">
        <v>482</v>
      </c>
      <c r="BF1363" s="1"/>
      <c r="BH1363" t="s">
        <v>1366</v>
      </c>
      <c r="BP1363" t="s">
        <v>1489</v>
      </c>
    </row>
    <row r="1364" spans="1:68" x14ac:dyDescent="0.25">
      <c r="A1364" t="s">
        <v>5713</v>
      </c>
      <c r="B1364" t="s">
        <v>474</v>
      </c>
      <c r="C1364" t="s">
        <v>2088</v>
      </c>
      <c r="E1364" t="s">
        <v>480</v>
      </c>
      <c r="G1364" s="1" t="s">
        <v>4423</v>
      </c>
      <c r="H1364" t="s">
        <v>476</v>
      </c>
      <c r="J1364">
        <v>500000</v>
      </c>
      <c r="M1364" t="s">
        <v>1419</v>
      </c>
      <c r="P1364" t="s">
        <v>131</v>
      </c>
      <c r="R1364" t="s">
        <v>1675</v>
      </c>
      <c r="S1364" t="s">
        <v>4424</v>
      </c>
      <c r="T1364" t="s">
        <v>4425</v>
      </c>
      <c r="V1364" t="s">
        <v>1365</v>
      </c>
      <c r="W1364" t="s">
        <v>70</v>
      </c>
      <c r="AE1364" t="s">
        <v>478</v>
      </c>
      <c r="AF1364" t="s">
        <v>479</v>
      </c>
      <c r="AL1364" t="s">
        <v>919</v>
      </c>
      <c r="AM1364" t="s">
        <v>919</v>
      </c>
      <c r="AO1364" t="s">
        <v>480</v>
      </c>
      <c r="AP1364" t="s">
        <v>481</v>
      </c>
      <c r="AQ1364" t="s">
        <v>516</v>
      </c>
      <c r="AR1364" t="s">
        <v>482</v>
      </c>
      <c r="BF1364" s="1"/>
      <c r="BH1364" t="s">
        <v>1366</v>
      </c>
      <c r="BP1364" t="s">
        <v>1489</v>
      </c>
    </row>
    <row r="1365" spans="1:68" x14ac:dyDescent="0.25">
      <c r="A1365" t="s">
        <v>5713</v>
      </c>
      <c r="B1365" t="s">
        <v>474</v>
      </c>
      <c r="C1365" t="s">
        <v>2088</v>
      </c>
      <c r="E1365" t="s">
        <v>480</v>
      </c>
      <c r="G1365" s="1" t="s">
        <v>4426</v>
      </c>
      <c r="H1365" t="s">
        <v>476</v>
      </c>
      <c r="J1365">
        <v>500000</v>
      </c>
      <c r="M1365" t="s">
        <v>1418</v>
      </c>
      <c r="P1365" t="s">
        <v>149</v>
      </c>
      <c r="R1365" t="s">
        <v>506</v>
      </c>
      <c r="S1365" t="s">
        <v>1385</v>
      </c>
      <c r="T1365" t="s">
        <v>1386</v>
      </c>
      <c r="V1365" t="s">
        <v>1365</v>
      </c>
      <c r="W1365" t="s">
        <v>70</v>
      </c>
      <c r="AE1365" t="s">
        <v>478</v>
      </c>
      <c r="AF1365" t="s">
        <v>479</v>
      </c>
      <c r="AL1365" t="s">
        <v>919</v>
      </c>
      <c r="AM1365" t="s">
        <v>919</v>
      </c>
      <c r="AO1365" t="s">
        <v>480</v>
      </c>
      <c r="AP1365" t="s">
        <v>481</v>
      </c>
      <c r="AQ1365" t="s">
        <v>510</v>
      </c>
      <c r="AR1365" t="s">
        <v>482</v>
      </c>
      <c r="BF1365" s="1"/>
      <c r="BH1365" t="s">
        <v>1366</v>
      </c>
      <c r="BP1365" t="s">
        <v>1489</v>
      </c>
    </row>
    <row r="1366" spans="1:68" x14ac:dyDescent="0.25">
      <c r="A1366" t="s">
        <v>5713</v>
      </c>
      <c r="B1366" t="s">
        <v>474</v>
      </c>
      <c r="C1366" t="s">
        <v>4427</v>
      </c>
      <c r="E1366" t="s">
        <v>480</v>
      </c>
      <c r="G1366" s="1" t="s">
        <v>4428</v>
      </c>
      <c r="H1366" t="s">
        <v>476</v>
      </c>
      <c r="J1366">
        <v>500000</v>
      </c>
      <c r="M1366" t="s">
        <v>1429</v>
      </c>
      <c r="P1366" t="s">
        <v>144</v>
      </c>
      <c r="R1366" t="s">
        <v>722</v>
      </c>
      <c r="S1366" t="s">
        <v>1381</v>
      </c>
      <c r="T1366" t="s">
        <v>1382</v>
      </c>
      <c r="V1366" t="s">
        <v>1365</v>
      </c>
      <c r="W1366" t="s">
        <v>70</v>
      </c>
      <c r="AE1366" t="s">
        <v>478</v>
      </c>
      <c r="AF1366" t="s">
        <v>479</v>
      </c>
      <c r="AL1366" t="s">
        <v>919</v>
      </c>
      <c r="AM1366" t="s">
        <v>919</v>
      </c>
      <c r="AO1366" t="s">
        <v>480</v>
      </c>
      <c r="AP1366" t="s">
        <v>481</v>
      </c>
      <c r="AQ1366" t="s">
        <v>726</v>
      </c>
      <c r="AR1366" t="s">
        <v>482</v>
      </c>
      <c r="BF1366" s="1"/>
      <c r="BH1366" t="s">
        <v>1366</v>
      </c>
      <c r="BP1366" t="s">
        <v>1489</v>
      </c>
    </row>
    <row r="1367" spans="1:68" x14ac:dyDescent="0.25">
      <c r="A1367" t="s">
        <v>5713</v>
      </c>
      <c r="B1367" t="s">
        <v>474</v>
      </c>
      <c r="C1367" t="s">
        <v>4427</v>
      </c>
      <c r="E1367" t="s">
        <v>480</v>
      </c>
      <c r="G1367" s="1" t="s">
        <v>4429</v>
      </c>
      <c r="H1367" t="s">
        <v>476</v>
      </c>
      <c r="J1367">
        <v>500000</v>
      </c>
      <c r="M1367" t="s">
        <v>1429</v>
      </c>
      <c r="P1367" t="s">
        <v>144</v>
      </c>
      <c r="R1367" t="s">
        <v>722</v>
      </c>
      <c r="S1367" t="s">
        <v>1381</v>
      </c>
      <c r="T1367" t="s">
        <v>1382</v>
      </c>
      <c r="V1367" t="s">
        <v>1365</v>
      </c>
      <c r="W1367" t="s">
        <v>70</v>
      </c>
      <c r="AE1367" t="s">
        <v>478</v>
      </c>
      <c r="AF1367" t="s">
        <v>479</v>
      </c>
      <c r="AL1367" t="s">
        <v>919</v>
      </c>
      <c r="AM1367" t="s">
        <v>919</v>
      </c>
      <c r="AO1367" t="s">
        <v>480</v>
      </c>
      <c r="AP1367" t="s">
        <v>481</v>
      </c>
      <c r="AQ1367" t="s">
        <v>726</v>
      </c>
      <c r="AR1367" t="s">
        <v>482</v>
      </c>
      <c r="BF1367" s="1"/>
      <c r="BH1367" t="s">
        <v>1366</v>
      </c>
      <c r="BP1367" t="s">
        <v>1489</v>
      </c>
    </row>
    <row r="1368" spans="1:68" x14ac:dyDescent="0.25">
      <c r="A1368" t="s">
        <v>5713</v>
      </c>
      <c r="B1368" t="s">
        <v>474</v>
      </c>
      <c r="C1368" t="s">
        <v>4427</v>
      </c>
      <c r="E1368" t="s">
        <v>480</v>
      </c>
      <c r="G1368" s="1" t="s">
        <v>4430</v>
      </c>
      <c r="H1368" t="s">
        <v>476</v>
      </c>
      <c r="J1368">
        <v>500000</v>
      </c>
      <c r="M1368" t="s">
        <v>1429</v>
      </c>
      <c r="P1368" t="s">
        <v>144</v>
      </c>
      <c r="R1368" t="s">
        <v>722</v>
      </c>
      <c r="S1368" t="s">
        <v>1381</v>
      </c>
      <c r="T1368" t="s">
        <v>1382</v>
      </c>
      <c r="V1368" t="s">
        <v>1365</v>
      </c>
      <c r="W1368" t="s">
        <v>70</v>
      </c>
      <c r="AE1368" t="s">
        <v>478</v>
      </c>
      <c r="AF1368" t="s">
        <v>479</v>
      </c>
      <c r="AL1368" t="s">
        <v>919</v>
      </c>
      <c r="AM1368" t="s">
        <v>919</v>
      </c>
      <c r="AO1368" t="s">
        <v>480</v>
      </c>
      <c r="AP1368" t="s">
        <v>481</v>
      </c>
      <c r="AQ1368" t="s">
        <v>726</v>
      </c>
      <c r="AR1368" t="s">
        <v>482</v>
      </c>
      <c r="BF1368" s="1"/>
      <c r="BH1368" t="s">
        <v>1366</v>
      </c>
      <c r="BP1368" t="s">
        <v>1489</v>
      </c>
    </row>
    <row r="1369" spans="1:68" x14ac:dyDescent="0.25">
      <c r="A1369" t="s">
        <v>5713</v>
      </c>
      <c r="B1369" t="s">
        <v>474</v>
      </c>
      <c r="C1369" t="s">
        <v>2066</v>
      </c>
      <c r="E1369" t="s">
        <v>480</v>
      </c>
      <c r="G1369" s="1" t="s">
        <v>4431</v>
      </c>
      <c r="H1369" t="s">
        <v>476</v>
      </c>
      <c r="J1369">
        <v>500000</v>
      </c>
      <c r="M1369" t="s">
        <v>1418</v>
      </c>
      <c r="P1369" t="s">
        <v>149</v>
      </c>
      <c r="R1369" t="s">
        <v>506</v>
      </c>
      <c r="S1369" t="s">
        <v>1385</v>
      </c>
      <c r="T1369" t="s">
        <v>1386</v>
      </c>
      <c r="V1369" t="s">
        <v>1365</v>
      </c>
      <c r="W1369" t="s">
        <v>70</v>
      </c>
      <c r="AE1369" t="s">
        <v>478</v>
      </c>
      <c r="AF1369" t="s">
        <v>479</v>
      </c>
      <c r="AL1369" t="s">
        <v>919</v>
      </c>
      <c r="AM1369" t="s">
        <v>919</v>
      </c>
      <c r="AO1369" t="s">
        <v>480</v>
      </c>
      <c r="AP1369" t="s">
        <v>481</v>
      </c>
      <c r="AQ1369" t="s">
        <v>510</v>
      </c>
      <c r="AR1369" t="s">
        <v>482</v>
      </c>
      <c r="BF1369" s="1"/>
      <c r="BH1369" t="s">
        <v>1366</v>
      </c>
      <c r="BP1369" t="s">
        <v>1489</v>
      </c>
    </row>
    <row r="1370" spans="1:68" x14ac:dyDescent="0.25">
      <c r="A1370" t="s">
        <v>5713</v>
      </c>
      <c r="B1370" t="s">
        <v>474</v>
      </c>
      <c r="C1370" t="s">
        <v>2066</v>
      </c>
      <c r="E1370" t="s">
        <v>480</v>
      </c>
      <c r="G1370" s="1" t="s">
        <v>4432</v>
      </c>
      <c r="H1370" t="s">
        <v>476</v>
      </c>
      <c r="J1370">
        <v>500000</v>
      </c>
      <c r="M1370" t="s">
        <v>1418</v>
      </c>
      <c r="P1370" t="s">
        <v>149</v>
      </c>
      <c r="R1370" t="s">
        <v>506</v>
      </c>
      <c r="S1370" t="s">
        <v>1385</v>
      </c>
      <c r="T1370" t="s">
        <v>1386</v>
      </c>
      <c r="V1370" t="s">
        <v>1365</v>
      </c>
      <c r="W1370" t="s">
        <v>70</v>
      </c>
      <c r="AE1370" t="s">
        <v>478</v>
      </c>
      <c r="AF1370" t="s">
        <v>479</v>
      </c>
      <c r="AL1370" t="s">
        <v>919</v>
      </c>
      <c r="AM1370" t="s">
        <v>919</v>
      </c>
      <c r="AO1370" t="s">
        <v>480</v>
      </c>
      <c r="AP1370" t="s">
        <v>481</v>
      </c>
      <c r="AQ1370" t="s">
        <v>510</v>
      </c>
      <c r="AR1370" t="s">
        <v>482</v>
      </c>
      <c r="BF1370" s="1"/>
      <c r="BH1370" t="s">
        <v>1366</v>
      </c>
      <c r="BP1370" t="s">
        <v>1489</v>
      </c>
    </row>
    <row r="1371" spans="1:68" x14ac:dyDescent="0.25">
      <c r="A1371" t="s">
        <v>5713</v>
      </c>
      <c r="B1371" t="s">
        <v>474</v>
      </c>
      <c r="C1371" t="s">
        <v>4397</v>
      </c>
      <c r="E1371" t="s">
        <v>480</v>
      </c>
      <c r="G1371" s="1" t="s">
        <v>4433</v>
      </c>
      <c r="H1371" t="s">
        <v>476</v>
      </c>
      <c r="J1371">
        <v>500000</v>
      </c>
      <c r="M1371" t="s">
        <v>1416</v>
      </c>
      <c r="P1371" t="s">
        <v>83</v>
      </c>
      <c r="R1371" t="s">
        <v>2020</v>
      </c>
      <c r="S1371" t="s">
        <v>4434</v>
      </c>
      <c r="T1371" t="s">
        <v>4435</v>
      </c>
      <c r="V1371" t="s">
        <v>1365</v>
      </c>
      <c r="W1371" t="s">
        <v>70</v>
      </c>
      <c r="AE1371" t="s">
        <v>478</v>
      </c>
      <c r="AF1371" t="s">
        <v>479</v>
      </c>
      <c r="AL1371" t="s">
        <v>919</v>
      </c>
      <c r="AM1371" t="s">
        <v>919</v>
      </c>
      <c r="AO1371" t="s">
        <v>480</v>
      </c>
      <c r="AP1371" t="s">
        <v>481</v>
      </c>
      <c r="AQ1371" t="s">
        <v>497</v>
      </c>
      <c r="AR1371" t="s">
        <v>482</v>
      </c>
      <c r="BF1371" s="1"/>
      <c r="BH1371" t="s">
        <v>1366</v>
      </c>
      <c r="BP1371" t="s">
        <v>1489</v>
      </c>
    </row>
    <row r="1372" spans="1:68" x14ac:dyDescent="0.25">
      <c r="A1372" t="s">
        <v>5713</v>
      </c>
      <c r="B1372" t="s">
        <v>474</v>
      </c>
      <c r="C1372" t="s">
        <v>4397</v>
      </c>
      <c r="E1372" t="s">
        <v>480</v>
      </c>
      <c r="G1372" s="1" t="s">
        <v>4433</v>
      </c>
      <c r="H1372" t="s">
        <v>498</v>
      </c>
      <c r="J1372">
        <v>500000</v>
      </c>
      <c r="M1372" t="s">
        <v>1430</v>
      </c>
      <c r="P1372" t="s">
        <v>167</v>
      </c>
      <c r="R1372" t="s">
        <v>739</v>
      </c>
      <c r="S1372" t="s">
        <v>4436</v>
      </c>
      <c r="T1372" t="s">
        <v>4437</v>
      </c>
      <c r="V1372" t="s">
        <v>1365</v>
      </c>
      <c r="W1372" t="s">
        <v>70</v>
      </c>
      <c r="AE1372" t="s">
        <v>478</v>
      </c>
      <c r="AF1372" t="s">
        <v>479</v>
      </c>
      <c r="AL1372" t="s">
        <v>919</v>
      </c>
      <c r="AM1372" t="s">
        <v>919</v>
      </c>
      <c r="AO1372" t="s">
        <v>480</v>
      </c>
      <c r="AP1372" t="s">
        <v>481</v>
      </c>
      <c r="AQ1372" t="s">
        <v>759</v>
      </c>
      <c r="AR1372" t="s">
        <v>482</v>
      </c>
      <c r="BF1372" s="1"/>
      <c r="BH1372" t="s">
        <v>1366</v>
      </c>
      <c r="BP1372" t="s">
        <v>1489</v>
      </c>
    </row>
    <row r="1373" spans="1:68" x14ac:dyDescent="0.25">
      <c r="A1373" t="s">
        <v>5713</v>
      </c>
      <c r="B1373" t="s">
        <v>474</v>
      </c>
      <c r="C1373" t="s">
        <v>4397</v>
      </c>
      <c r="E1373" t="s">
        <v>480</v>
      </c>
      <c r="G1373" s="1" t="s">
        <v>4438</v>
      </c>
      <c r="H1373" t="s">
        <v>476</v>
      </c>
      <c r="J1373">
        <v>500000</v>
      </c>
      <c r="M1373" t="s">
        <v>1417</v>
      </c>
      <c r="P1373" t="s">
        <v>121</v>
      </c>
      <c r="R1373" t="s">
        <v>2026</v>
      </c>
      <c r="S1373" t="s">
        <v>4439</v>
      </c>
      <c r="T1373" t="s">
        <v>4440</v>
      </c>
      <c r="V1373" t="s">
        <v>1365</v>
      </c>
      <c r="W1373" t="s">
        <v>70</v>
      </c>
      <c r="AE1373" t="s">
        <v>478</v>
      </c>
      <c r="AF1373" t="s">
        <v>479</v>
      </c>
      <c r="AL1373" t="s">
        <v>919</v>
      </c>
      <c r="AM1373" t="s">
        <v>919</v>
      </c>
      <c r="AO1373" t="s">
        <v>480</v>
      </c>
      <c r="AP1373" t="s">
        <v>481</v>
      </c>
      <c r="AQ1373" t="s">
        <v>499</v>
      </c>
      <c r="AR1373" t="s">
        <v>482</v>
      </c>
      <c r="BF1373" s="1"/>
      <c r="BH1373" t="s">
        <v>1366</v>
      </c>
      <c r="BP1373" t="s">
        <v>1489</v>
      </c>
    </row>
    <row r="1374" spans="1:68" x14ac:dyDescent="0.25">
      <c r="A1374" t="s">
        <v>5713</v>
      </c>
      <c r="B1374" t="s">
        <v>474</v>
      </c>
      <c r="C1374" t="s">
        <v>4397</v>
      </c>
      <c r="E1374" t="s">
        <v>480</v>
      </c>
      <c r="G1374" s="1" t="s">
        <v>4441</v>
      </c>
      <c r="H1374" t="s">
        <v>476</v>
      </c>
      <c r="J1374">
        <v>500000</v>
      </c>
      <c r="M1374" t="s">
        <v>1417</v>
      </c>
      <c r="P1374" t="s">
        <v>121</v>
      </c>
      <c r="R1374" t="s">
        <v>501</v>
      </c>
      <c r="S1374" t="s">
        <v>1404</v>
      </c>
      <c r="T1374" t="s">
        <v>1405</v>
      </c>
      <c r="V1374" t="s">
        <v>1365</v>
      </c>
      <c r="W1374" t="s">
        <v>70</v>
      </c>
      <c r="AE1374" t="s">
        <v>478</v>
      </c>
      <c r="AF1374" t="s">
        <v>479</v>
      </c>
      <c r="AL1374" t="s">
        <v>919</v>
      </c>
      <c r="AM1374" t="s">
        <v>919</v>
      </c>
      <c r="AO1374" t="s">
        <v>480</v>
      </c>
      <c r="AP1374" t="s">
        <v>481</v>
      </c>
      <c r="AQ1374" t="s">
        <v>499</v>
      </c>
      <c r="AR1374" t="s">
        <v>482</v>
      </c>
      <c r="BF1374" s="1"/>
      <c r="BH1374" t="s">
        <v>1366</v>
      </c>
      <c r="BP1374" t="s">
        <v>1489</v>
      </c>
    </row>
    <row r="1375" spans="1:68" x14ac:dyDescent="0.25">
      <c r="A1375" t="s">
        <v>5713</v>
      </c>
      <c r="B1375" t="s">
        <v>474</v>
      </c>
      <c r="C1375" t="s">
        <v>2780</v>
      </c>
      <c r="E1375" t="s">
        <v>480</v>
      </c>
      <c r="G1375" s="1" t="s">
        <v>4442</v>
      </c>
      <c r="H1375" t="s">
        <v>476</v>
      </c>
      <c r="J1375">
        <v>500000</v>
      </c>
      <c r="M1375" t="s">
        <v>1416</v>
      </c>
      <c r="P1375" t="s">
        <v>83</v>
      </c>
      <c r="R1375" t="s">
        <v>493</v>
      </c>
      <c r="S1375" t="s">
        <v>1450</v>
      </c>
      <c r="T1375" t="s">
        <v>1451</v>
      </c>
      <c r="V1375" t="s">
        <v>1365</v>
      </c>
      <c r="W1375" t="s">
        <v>70</v>
      </c>
      <c r="AE1375" t="s">
        <v>478</v>
      </c>
      <c r="AF1375" t="s">
        <v>479</v>
      </c>
      <c r="AL1375" t="s">
        <v>919</v>
      </c>
      <c r="AM1375" t="s">
        <v>919</v>
      </c>
      <c r="AO1375" t="s">
        <v>480</v>
      </c>
      <c r="AP1375" t="s">
        <v>481</v>
      </c>
      <c r="AQ1375" t="s">
        <v>497</v>
      </c>
      <c r="AR1375" t="s">
        <v>482</v>
      </c>
      <c r="BF1375" s="1"/>
      <c r="BH1375" t="s">
        <v>1366</v>
      </c>
      <c r="BP1375" t="s">
        <v>1489</v>
      </c>
    </row>
    <row r="1376" spans="1:68" x14ac:dyDescent="0.25">
      <c r="A1376" t="s">
        <v>5713</v>
      </c>
      <c r="B1376" t="s">
        <v>474</v>
      </c>
      <c r="C1376" t="s">
        <v>2780</v>
      </c>
      <c r="E1376" t="s">
        <v>480</v>
      </c>
      <c r="G1376" s="1" t="s">
        <v>4443</v>
      </c>
      <c r="H1376" t="s">
        <v>476</v>
      </c>
      <c r="J1376">
        <v>500000</v>
      </c>
      <c r="M1376" t="s">
        <v>1415</v>
      </c>
      <c r="P1376" t="s">
        <v>127</v>
      </c>
      <c r="R1376" t="s">
        <v>493</v>
      </c>
      <c r="S1376" t="s">
        <v>1408</v>
      </c>
      <c r="T1376" t="s">
        <v>1409</v>
      </c>
      <c r="V1376" t="s">
        <v>1365</v>
      </c>
      <c r="W1376" t="s">
        <v>70</v>
      </c>
      <c r="AE1376" t="s">
        <v>478</v>
      </c>
      <c r="AF1376" t="s">
        <v>479</v>
      </c>
      <c r="AL1376" t="s">
        <v>919</v>
      </c>
      <c r="AM1376" t="s">
        <v>919</v>
      </c>
      <c r="AO1376" t="s">
        <v>480</v>
      </c>
      <c r="AP1376" t="s">
        <v>481</v>
      </c>
      <c r="AQ1376" t="s">
        <v>489</v>
      </c>
      <c r="AR1376" t="s">
        <v>482</v>
      </c>
      <c r="BF1376" s="1"/>
      <c r="BH1376" t="s">
        <v>1366</v>
      </c>
      <c r="BP1376" t="s">
        <v>1489</v>
      </c>
    </row>
    <row r="1377" spans="1:68" x14ac:dyDescent="0.25">
      <c r="A1377" t="s">
        <v>5713</v>
      </c>
      <c r="B1377" t="s">
        <v>474</v>
      </c>
      <c r="C1377" t="s">
        <v>2780</v>
      </c>
      <c r="E1377" t="s">
        <v>480</v>
      </c>
      <c r="G1377" s="1" t="s">
        <v>4443</v>
      </c>
      <c r="H1377" t="s">
        <v>498</v>
      </c>
      <c r="J1377">
        <v>500000</v>
      </c>
      <c r="M1377" t="s">
        <v>1417</v>
      </c>
      <c r="P1377" t="s">
        <v>133</v>
      </c>
      <c r="R1377" t="s">
        <v>2070</v>
      </c>
      <c r="S1377" t="s">
        <v>4444</v>
      </c>
      <c r="T1377" t="s">
        <v>4445</v>
      </c>
      <c r="V1377" t="s">
        <v>1365</v>
      </c>
      <c r="W1377" t="s">
        <v>70</v>
      </c>
      <c r="AE1377" t="s">
        <v>478</v>
      </c>
      <c r="AF1377" t="s">
        <v>479</v>
      </c>
      <c r="AL1377" t="s">
        <v>919</v>
      </c>
      <c r="AM1377" t="s">
        <v>919</v>
      </c>
      <c r="AO1377" t="s">
        <v>480</v>
      </c>
      <c r="AP1377" t="s">
        <v>481</v>
      </c>
      <c r="AQ1377" t="s">
        <v>505</v>
      </c>
      <c r="AR1377" t="s">
        <v>482</v>
      </c>
      <c r="BF1377" s="1"/>
      <c r="BH1377" t="s">
        <v>1366</v>
      </c>
      <c r="BP1377" t="s">
        <v>1489</v>
      </c>
    </row>
    <row r="1378" spans="1:68" x14ac:dyDescent="0.25">
      <c r="A1378" t="s">
        <v>5713</v>
      </c>
      <c r="B1378" t="s">
        <v>474</v>
      </c>
      <c r="C1378" t="s">
        <v>2780</v>
      </c>
      <c r="E1378" t="s">
        <v>480</v>
      </c>
      <c r="G1378" s="1" t="s">
        <v>4446</v>
      </c>
      <c r="H1378" t="s">
        <v>476</v>
      </c>
      <c r="J1378">
        <v>500000</v>
      </c>
      <c r="M1378" t="s">
        <v>1417</v>
      </c>
      <c r="P1378" t="s">
        <v>121</v>
      </c>
      <c r="R1378" t="s">
        <v>501</v>
      </c>
      <c r="S1378" t="s">
        <v>1404</v>
      </c>
      <c r="T1378" t="s">
        <v>1405</v>
      </c>
      <c r="V1378" t="s">
        <v>1365</v>
      </c>
      <c r="W1378" t="s">
        <v>70</v>
      </c>
      <c r="AE1378" t="s">
        <v>478</v>
      </c>
      <c r="AF1378" t="s">
        <v>479</v>
      </c>
      <c r="AL1378" t="s">
        <v>919</v>
      </c>
      <c r="AM1378" t="s">
        <v>919</v>
      </c>
      <c r="AO1378" t="s">
        <v>480</v>
      </c>
      <c r="AP1378" t="s">
        <v>481</v>
      </c>
      <c r="AQ1378" t="s">
        <v>499</v>
      </c>
      <c r="AR1378" t="s">
        <v>482</v>
      </c>
      <c r="BF1378" s="1"/>
      <c r="BH1378" t="s">
        <v>1366</v>
      </c>
      <c r="BP1378" t="s">
        <v>1489</v>
      </c>
    </row>
    <row r="1379" spans="1:68" x14ac:dyDescent="0.25">
      <c r="A1379" t="s">
        <v>5713</v>
      </c>
      <c r="B1379" t="s">
        <v>474</v>
      </c>
      <c r="C1379" t="s">
        <v>2780</v>
      </c>
      <c r="E1379" t="s">
        <v>480</v>
      </c>
      <c r="G1379" s="1" t="s">
        <v>4447</v>
      </c>
      <c r="H1379" t="s">
        <v>476</v>
      </c>
      <c r="J1379">
        <v>500000</v>
      </c>
      <c r="M1379" t="s">
        <v>1417</v>
      </c>
      <c r="P1379" t="s">
        <v>121</v>
      </c>
      <c r="R1379" t="s">
        <v>2074</v>
      </c>
      <c r="S1379" t="s">
        <v>4448</v>
      </c>
      <c r="T1379" t="s">
        <v>4449</v>
      </c>
      <c r="V1379" t="s">
        <v>1365</v>
      </c>
      <c r="W1379" t="s">
        <v>70</v>
      </c>
      <c r="AE1379" t="s">
        <v>478</v>
      </c>
      <c r="AF1379" t="s">
        <v>479</v>
      </c>
      <c r="AL1379" t="s">
        <v>919</v>
      </c>
      <c r="AM1379" t="s">
        <v>919</v>
      </c>
      <c r="AO1379" t="s">
        <v>480</v>
      </c>
      <c r="AP1379" t="s">
        <v>481</v>
      </c>
      <c r="AQ1379" t="s">
        <v>499</v>
      </c>
      <c r="AR1379" t="s">
        <v>482</v>
      </c>
      <c r="BF1379" s="1"/>
      <c r="BH1379" t="s">
        <v>1366</v>
      </c>
      <c r="BP1379" t="s">
        <v>1489</v>
      </c>
    </row>
    <row r="1380" spans="1:68" x14ac:dyDescent="0.25">
      <c r="A1380" t="s">
        <v>5713</v>
      </c>
      <c r="B1380" t="s">
        <v>474</v>
      </c>
      <c r="C1380" t="s">
        <v>2780</v>
      </c>
      <c r="E1380" t="s">
        <v>480</v>
      </c>
      <c r="G1380" s="1" t="s">
        <v>4447</v>
      </c>
      <c r="H1380" t="s">
        <v>498</v>
      </c>
      <c r="J1380">
        <v>500000</v>
      </c>
      <c r="M1380" t="s">
        <v>1417</v>
      </c>
      <c r="P1380" t="s">
        <v>133</v>
      </c>
      <c r="R1380" t="s">
        <v>2078</v>
      </c>
      <c r="S1380" t="s">
        <v>4450</v>
      </c>
      <c r="T1380" t="s">
        <v>4451</v>
      </c>
      <c r="V1380" t="s">
        <v>1365</v>
      </c>
      <c r="W1380" t="s">
        <v>70</v>
      </c>
      <c r="AE1380" t="s">
        <v>478</v>
      </c>
      <c r="AF1380" t="s">
        <v>479</v>
      </c>
      <c r="AL1380" t="s">
        <v>919</v>
      </c>
      <c r="AM1380" t="s">
        <v>919</v>
      </c>
      <c r="AO1380" t="s">
        <v>480</v>
      </c>
      <c r="AP1380" t="s">
        <v>481</v>
      </c>
      <c r="AQ1380" t="s">
        <v>505</v>
      </c>
      <c r="AR1380" t="s">
        <v>482</v>
      </c>
      <c r="BF1380" s="1"/>
      <c r="BH1380" t="s">
        <v>1366</v>
      </c>
      <c r="BP1380" t="s">
        <v>1489</v>
      </c>
    </row>
    <row r="1381" spans="1:68" x14ac:dyDescent="0.25">
      <c r="A1381" t="s">
        <v>5713</v>
      </c>
      <c r="B1381" t="s">
        <v>474</v>
      </c>
      <c r="C1381" t="s">
        <v>2780</v>
      </c>
      <c r="E1381" t="s">
        <v>480</v>
      </c>
      <c r="G1381" s="1" t="s">
        <v>4452</v>
      </c>
      <c r="H1381" t="s">
        <v>476</v>
      </c>
      <c r="J1381">
        <v>500000</v>
      </c>
      <c r="M1381" t="s">
        <v>1417</v>
      </c>
      <c r="P1381" t="s">
        <v>121</v>
      </c>
      <c r="R1381" t="s">
        <v>501</v>
      </c>
      <c r="S1381" t="s">
        <v>1404</v>
      </c>
      <c r="T1381" t="s">
        <v>1405</v>
      </c>
      <c r="V1381" t="s">
        <v>1365</v>
      </c>
      <c r="W1381" t="s">
        <v>70</v>
      </c>
      <c r="AE1381" t="s">
        <v>478</v>
      </c>
      <c r="AF1381" t="s">
        <v>479</v>
      </c>
      <c r="AL1381" t="s">
        <v>919</v>
      </c>
      <c r="AM1381" t="s">
        <v>919</v>
      </c>
      <c r="AO1381" t="s">
        <v>480</v>
      </c>
      <c r="AP1381" t="s">
        <v>481</v>
      </c>
      <c r="AQ1381" t="s">
        <v>499</v>
      </c>
      <c r="AR1381" t="s">
        <v>482</v>
      </c>
      <c r="BF1381" s="1"/>
      <c r="BH1381" t="s">
        <v>1366</v>
      </c>
      <c r="BP1381" t="s">
        <v>1489</v>
      </c>
    </row>
    <row r="1382" spans="1:68" x14ac:dyDescent="0.25">
      <c r="A1382" t="s">
        <v>5713</v>
      </c>
      <c r="B1382" t="s">
        <v>474</v>
      </c>
      <c r="C1382" t="s">
        <v>2780</v>
      </c>
      <c r="E1382" t="s">
        <v>480</v>
      </c>
      <c r="G1382" s="1" t="s">
        <v>4453</v>
      </c>
      <c r="H1382" t="s">
        <v>476</v>
      </c>
      <c r="J1382">
        <v>500000</v>
      </c>
      <c r="M1382" t="s">
        <v>1425</v>
      </c>
      <c r="P1382" t="s">
        <v>153</v>
      </c>
      <c r="R1382" t="s">
        <v>745</v>
      </c>
      <c r="S1382" t="s">
        <v>1434</v>
      </c>
      <c r="T1382" t="s">
        <v>1435</v>
      </c>
      <c r="V1382" t="s">
        <v>1365</v>
      </c>
      <c r="W1382" t="s">
        <v>70</v>
      </c>
      <c r="AE1382" t="s">
        <v>478</v>
      </c>
      <c r="AF1382" t="s">
        <v>479</v>
      </c>
      <c r="AL1382" t="s">
        <v>919</v>
      </c>
      <c r="AM1382" t="s">
        <v>919</v>
      </c>
      <c r="AO1382" t="s">
        <v>480</v>
      </c>
      <c r="AP1382" t="s">
        <v>481</v>
      </c>
      <c r="AQ1382" t="s">
        <v>762</v>
      </c>
      <c r="AR1382" t="s">
        <v>482</v>
      </c>
      <c r="BF1382" s="1"/>
      <c r="BH1382" t="s">
        <v>1366</v>
      </c>
      <c r="BP1382" t="s">
        <v>1489</v>
      </c>
    </row>
    <row r="1383" spans="1:68" x14ac:dyDescent="0.25">
      <c r="A1383" t="s">
        <v>5713</v>
      </c>
      <c r="B1383" t="s">
        <v>474</v>
      </c>
      <c r="C1383" t="s">
        <v>2780</v>
      </c>
      <c r="E1383" t="s">
        <v>480</v>
      </c>
      <c r="G1383" s="1" t="s">
        <v>4453</v>
      </c>
      <c r="H1383" t="s">
        <v>498</v>
      </c>
      <c r="J1383">
        <v>500000</v>
      </c>
      <c r="M1383" t="s">
        <v>1417</v>
      </c>
      <c r="P1383" t="s">
        <v>121</v>
      </c>
      <c r="R1383" t="s">
        <v>727</v>
      </c>
      <c r="S1383" t="s">
        <v>4454</v>
      </c>
      <c r="T1383" t="s">
        <v>4455</v>
      </c>
      <c r="V1383" t="s">
        <v>1365</v>
      </c>
      <c r="W1383" t="s">
        <v>70</v>
      </c>
      <c r="AE1383" t="s">
        <v>478</v>
      </c>
      <c r="AF1383" t="s">
        <v>479</v>
      </c>
      <c r="AL1383" t="s">
        <v>919</v>
      </c>
      <c r="AM1383" t="s">
        <v>919</v>
      </c>
      <c r="AO1383" t="s">
        <v>480</v>
      </c>
      <c r="AP1383" t="s">
        <v>481</v>
      </c>
      <c r="AQ1383" t="s">
        <v>499</v>
      </c>
      <c r="AR1383" t="s">
        <v>482</v>
      </c>
      <c r="BF1383" s="1"/>
      <c r="BH1383" t="s">
        <v>1366</v>
      </c>
      <c r="BP1383" t="s">
        <v>1489</v>
      </c>
    </row>
    <row r="1384" spans="1:68" x14ac:dyDescent="0.25">
      <c r="A1384" t="s">
        <v>5713</v>
      </c>
      <c r="B1384" t="s">
        <v>474</v>
      </c>
      <c r="C1384" t="s">
        <v>2780</v>
      </c>
      <c r="E1384" t="s">
        <v>480</v>
      </c>
      <c r="G1384" s="1" t="s">
        <v>4453</v>
      </c>
      <c r="H1384" t="s">
        <v>517</v>
      </c>
      <c r="J1384">
        <v>500000</v>
      </c>
      <c r="M1384" t="s">
        <v>1425</v>
      </c>
      <c r="P1384" t="s">
        <v>134</v>
      </c>
      <c r="R1384" t="s">
        <v>493</v>
      </c>
      <c r="S1384" t="s">
        <v>1450</v>
      </c>
      <c r="T1384" t="s">
        <v>1451</v>
      </c>
      <c r="V1384" t="s">
        <v>1365</v>
      </c>
      <c r="W1384" t="s">
        <v>70</v>
      </c>
      <c r="AE1384" t="s">
        <v>478</v>
      </c>
      <c r="AF1384" t="s">
        <v>479</v>
      </c>
      <c r="AL1384" t="s">
        <v>919</v>
      </c>
      <c r="AM1384" t="s">
        <v>919</v>
      </c>
      <c r="AO1384" t="s">
        <v>480</v>
      </c>
      <c r="AP1384" t="s">
        <v>481</v>
      </c>
      <c r="AQ1384" t="s">
        <v>747</v>
      </c>
      <c r="AR1384" t="s">
        <v>482</v>
      </c>
      <c r="BF1384" s="1"/>
      <c r="BH1384" t="s">
        <v>1366</v>
      </c>
      <c r="BP1384" t="s">
        <v>1489</v>
      </c>
    </row>
    <row r="1385" spans="1:68" x14ac:dyDescent="0.25">
      <c r="A1385" t="s">
        <v>5713</v>
      </c>
      <c r="B1385" t="s">
        <v>474</v>
      </c>
      <c r="C1385" t="s">
        <v>2780</v>
      </c>
      <c r="E1385" t="s">
        <v>480</v>
      </c>
      <c r="G1385" s="1" t="s">
        <v>4453</v>
      </c>
      <c r="H1385" t="s">
        <v>542</v>
      </c>
      <c r="J1385">
        <v>500000</v>
      </c>
      <c r="M1385" t="s">
        <v>1430</v>
      </c>
      <c r="P1385" t="s">
        <v>167</v>
      </c>
      <c r="R1385" t="s">
        <v>488</v>
      </c>
      <c r="S1385" t="s">
        <v>4456</v>
      </c>
      <c r="T1385" t="s">
        <v>4457</v>
      </c>
      <c r="V1385" t="s">
        <v>1365</v>
      </c>
      <c r="W1385" t="s">
        <v>70</v>
      </c>
      <c r="AE1385" t="s">
        <v>478</v>
      </c>
      <c r="AF1385" t="s">
        <v>479</v>
      </c>
      <c r="AL1385" t="s">
        <v>919</v>
      </c>
      <c r="AM1385" t="s">
        <v>919</v>
      </c>
      <c r="AO1385" t="s">
        <v>480</v>
      </c>
      <c r="AP1385" t="s">
        <v>481</v>
      </c>
      <c r="AQ1385" t="s">
        <v>759</v>
      </c>
      <c r="AR1385" t="s">
        <v>482</v>
      </c>
      <c r="BF1385" s="1"/>
      <c r="BH1385" t="s">
        <v>1366</v>
      </c>
      <c r="BP1385" t="s">
        <v>1489</v>
      </c>
    </row>
    <row r="1386" spans="1:68" x14ac:dyDescent="0.25">
      <c r="A1386" t="s">
        <v>5713</v>
      </c>
      <c r="B1386" t="s">
        <v>474</v>
      </c>
      <c r="C1386" t="s">
        <v>2780</v>
      </c>
      <c r="E1386" t="s">
        <v>480</v>
      </c>
      <c r="G1386" s="1" t="s">
        <v>4458</v>
      </c>
      <c r="H1386" t="s">
        <v>476</v>
      </c>
      <c r="J1386">
        <v>500000</v>
      </c>
      <c r="M1386" t="s">
        <v>1416</v>
      </c>
      <c r="P1386" t="s">
        <v>83</v>
      </c>
      <c r="R1386" t="s">
        <v>2321</v>
      </c>
      <c r="S1386" t="s">
        <v>4459</v>
      </c>
      <c r="T1386" t="s">
        <v>4460</v>
      </c>
      <c r="V1386" t="s">
        <v>1365</v>
      </c>
      <c r="W1386" t="s">
        <v>70</v>
      </c>
      <c r="AE1386" t="s">
        <v>478</v>
      </c>
      <c r="AF1386" t="s">
        <v>479</v>
      </c>
      <c r="AL1386" t="s">
        <v>919</v>
      </c>
      <c r="AM1386" t="s">
        <v>919</v>
      </c>
      <c r="AO1386" t="s">
        <v>480</v>
      </c>
      <c r="AP1386" t="s">
        <v>481</v>
      </c>
      <c r="AQ1386" t="s">
        <v>497</v>
      </c>
      <c r="AR1386" t="s">
        <v>482</v>
      </c>
      <c r="BF1386" s="1"/>
      <c r="BH1386" t="s">
        <v>1366</v>
      </c>
      <c r="BP1386" t="s">
        <v>1489</v>
      </c>
    </row>
    <row r="1387" spans="1:68" x14ac:dyDescent="0.25">
      <c r="A1387" t="s">
        <v>5713</v>
      </c>
      <c r="B1387" t="s">
        <v>474</v>
      </c>
      <c r="C1387" t="s">
        <v>2780</v>
      </c>
      <c r="E1387" t="s">
        <v>480</v>
      </c>
      <c r="G1387" s="1" t="s">
        <v>4461</v>
      </c>
      <c r="H1387" t="s">
        <v>476</v>
      </c>
      <c r="J1387">
        <v>500000</v>
      </c>
      <c r="M1387" t="s">
        <v>1417</v>
      </c>
      <c r="P1387" t="s">
        <v>121</v>
      </c>
      <c r="R1387" t="s">
        <v>827</v>
      </c>
      <c r="S1387" t="s">
        <v>4462</v>
      </c>
      <c r="T1387" t="s">
        <v>4463</v>
      </c>
      <c r="V1387" t="s">
        <v>1365</v>
      </c>
      <c r="W1387" t="s">
        <v>70</v>
      </c>
      <c r="AE1387" t="s">
        <v>478</v>
      </c>
      <c r="AF1387" t="s">
        <v>479</v>
      </c>
      <c r="AL1387" t="s">
        <v>919</v>
      </c>
      <c r="AM1387" t="s">
        <v>919</v>
      </c>
      <c r="AO1387" t="s">
        <v>480</v>
      </c>
      <c r="AP1387" t="s">
        <v>481</v>
      </c>
      <c r="AQ1387" t="s">
        <v>499</v>
      </c>
      <c r="AR1387" t="s">
        <v>482</v>
      </c>
      <c r="BF1387" s="1"/>
      <c r="BH1387" t="s">
        <v>1366</v>
      </c>
      <c r="BP1387" t="s">
        <v>1489</v>
      </c>
    </row>
    <row r="1388" spans="1:68" x14ac:dyDescent="0.25">
      <c r="A1388" t="s">
        <v>5713</v>
      </c>
      <c r="B1388" t="s">
        <v>474</v>
      </c>
      <c r="C1388" t="s">
        <v>2088</v>
      </c>
      <c r="E1388" t="s">
        <v>480</v>
      </c>
      <c r="G1388" s="1" t="s">
        <v>4464</v>
      </c>
      <c r="H1388" t="s">
        <v>476</v>
      </c>
      <c r="J1388">
        <v>500000</v>
      </c>
      <c r="M1388" t="s">
        <v>1416</v>
      </c>
      <c r="P1388" t="s">
        <v>83</v>
      </c>
      <c r="R1388" t="s">
        <v>1921</v>
      </c>
      <c r="S1388" t="s">
        <v>4465</v>
      </c>
      <c r="T1388" t="s">
        <v>4466</v>
      </c>
      <c r="V1388" t="s">
        <v>1365</v>
      </c>
      <c r="W1388" t="s">
        <v>70</v>
      </c>
      <c r="AE1388" t="s">
        <v>478</v>
      </c>
      <c r="AF1388" t="s">
        <v>479</v>
      </c>
      <c r="AL1388" t="s">
        <v>919</v>
      </c>
      <c r="AM1388" t="s">
        <v>919</v>
      </c>
      <c r="AO1388" t="s">
        <v>480</v>
      </c>
      <c r="AP1388" t="s">
        <v>481</v>
      </c>
      <c r="AQ1388" t="s">
        <v>497</v>
      </c>
      <c r="AR1388" t="s">
        <v>482</v>
      </c>
      <c r="BF1388" s="1"/>
      <c r="BH1388" t="s">
        <v>1366</v>
      </c>
      <c r="BP1388" t="s">
        <v>1489</v>
      </c>
    </row>
    <row r="1389" spans="1:68" x14ac:dyDescent="0.25">
      <c r="A1389" t="s">
        <v>5713</v>
      </c>
      <c r="B1389" t="s">
        <v>474</v>
      </c>
      <c r="C1389" t="s">
        <v>2088</v>
      </c>
      <c r="E1389" t="s">
        <v>480</v>
      </c>
      <c r="G1389" s="1" t="s">
        <v>4467</v>
      </c>
      <c r="H1389" t="s">
        <v>476</v>
      </c>
      <c r="J1389">
        <v>500000</v>
      </c>
      <c r="M1389" t="s">
        <v>1415</v>
      </c>
      <c r="P1389" t="s">
        <v>127</v>
      </c>
      <c r="R1389" t="s">
        <v>860</v>
      </c>
      <c r="S1389" t="s">
        <v>4468</v>
      </c>
      <c r="T1389" t="s">
        <v>4469</v>
      </c>
      <c r="V1389" t="s">
        <v>1365</v>
      </c>
      <c r="W1389" t="s">
        <v>70</v>
      </c>
      <c r="AE1389" t="s">
        <v>478</v>
      </c>
      <c r="AF1389" t="s">
        <v>479</v>
      </c>
      <c r="AL1389" t="s">
        <v>919</v>
      </c>
      <c r="AM1389" t="s">
        <v>919</v>
      </c>
      <c r="AO1389" t="s">
        <v>480</v>
      </c>
      <c r="AP1389" t="s">
        <v>481</v>
      </c>
      <c r="AQ1389" t="s">
        <v>489</v>
      </c>
      <c r="AR1389" t="s">
        <v>482</v>
      </c>
      <c r="BF1389" s="1"/>
      <c r="BH1389" t="s">
        <v>1366</v>
      </c>
      <c r="BP1389" t="s">
        <v>1489</v>
      </c>
    </row>
    <row r="1390" spans="1:68" x14ac:dyDescent="0.25">
      <c r="A1390" t="s">
        <v>5713</v>
      </c>
      <c r="B1390" t="s">
        <v>474</v>
      </c>
      <c r="C1390" t="s">
        <v>2088</v>
      </c>
      <c r="E1390" t="s">
        <v>480</v>
      </c>
      <c r="G1390" s="1" t="s">
        <v>4467</v>
      </c>
      <c r="H1390" t="s">
        <v>498</v>
      </c>
      <c r="J1390">
        <v>500000</v>
      </c>
      <c r="M1390" t="s">
        <v>1417</v>
      </c>
      <c r="P1390" t="s">
        <v>133</v>
      </c>
      <c r="R1390" t="s">
        <v>769</v>
      </c>
      <c r="S1390" t="s">
        <v>4470</v>
      </c>
      <c r="T1390" t="s">
        <v>4471</v>
      </c>
      <c r="V1390" t="s">
        <v>1365</v>
      </c>
      <c r="W1390" t="s">
        <v>70</v>
      </c>
      <c r="AE1390" t="s">
        <v>478</v>
      </c>
      <c r="AF1390" t="s">
        <v>479</v>
      </c>
      <c r="AL1390" t="s">
        <v>919</v>
      </c>
      <c r="AM1390" t="s">
        <v>919</v>
      </c>
      <c r="AO1390" t="s">
        <v>480</v>
      </c>
      <c r="AP1390" t="s">
        <v>481</v>
      </c>
      <c r="AQ1390" t="s">
        <v>505</v>
      </c>
      <c r="AR1390" t="s">
        <v>482</v>
      </c>
      <c r="BF1390" s="1"/>
      <c r="BH1390" t="s">
        <v>1366</v>
      </c>
      <c r="BP1390" t="s">
        <v>1489</v>
      </c>
    </row>
    <row r="1391" spans="1:68" x14ac:dyDescent="0.25">
      <c r="A1391" t="s">
        <v>5713</v>
      </c>
      <c r="B1391" t="s">
        <v>474</v>
      </c>
      <c r="C1391" t="s">
        <v>2088</v>
      </c>
      <c r="E1391" t="s">
        <v>480</v>
      </c>
      <c r="G1391" s="1" t="s">
        <v>4467</v>
      </c>
      <c r="H1391" t="s">
        <v>517</v>
      </c>
      <c r="J1391">
        <v>500000</v>
      </c>
      <c r="M1391" t="s">
        <v>1430</v>
      </c>
      <c r="P1391" t="s">
        <v>167</v>
      </c>
      <c r="R1391" t="s">
        <v>488</v>
      </c>
      <c r="S1391" t="s">
        <v>4456</v>
      </c>
      <c r="T1391" t="s">
        <v>4457</v>
      </c>
      <c r="V1391" t="s">
        <v>1365</v>
      </c>
      <c r="W1391" t="s">
        <v>70</v>
      </c>
      <c r="AE1391" t="s">
        <v>478</v>
      </c>
      <c r="AF1391" t="s">
        <v>479</v>
      </c>
      <c r="AL1391" t="s">
        <v>919</v>
      </c>
      <c r="AM1391" t="s">
        <v>919</v>
      </c>
      <c r="AO1391" t="s">
        <v>480</v>
      </c>
      <c r="AP1391" t="s">
        <v>481</v>
      </c>
      <c r="AQ1391" t="s">
        <v>759</v>
      </c>
      <c r="AR1391" t="s">
        <v>482</v>
      </c>
      <c r="BF1391" s="1"/>
      <c r="BH1391" t="s">
        <v>1366</v>
      </c>
      <c r="BP1391" t="s">
        <v>1489</v>
      </c>
    </row>
    <row r="1392" spans="1:68" x14ac:dyDescent="0.25">
      <c r="A1392" t="s">
        <v>5713</v>
      </c>
      <c r="B1392" t="s">
        <v>474</v>
      </c>
      <c r="C1392" t="s">
        <v>2018</v>
      </c>
      <c r="E1392" t="s">
        <v>480</v>
      </c>
      <c r="G1392" s="1" t="s">
        <v>4472</v>
      </c>
      <c r="H1392" t="s">
        <v>476</v>
      </c>
      <c r="J1392">
        <v>500000</v>
      </c>
      <c r="M1392" t="s">
        <v>1417</v>
      </c>
      <c r="P1392" t="s">
        <v>133</v>
      </c>
      <c r="R1392" t="s">
        <v>501</v>
      </c>
      <c r="S1392" t="s">
        <v>1406</v>
      </c>
      <c r="T1392" t="s">
        <v>1407</v>
      </c>
      <c r="V1392" t="s">
        <v>1365</v>
      </c>
      <c r="W1392" t="s">
        <v>70</v>
      </c>
      <c r="AE1392" t="s">
        <v>478</v>
      </c>
      <c r="AF1392" t="s">
        <v>479</v>
      </c>
      <c r="AL1392" t="s">
        <v>919</v>
      </c>
      <c r="AM1392" t="s">
        <v>919</v>
      </c>
      <c r="AO1392" t="s">
        <v>480</v>
      </c>
      <c r="AP1392" t="s">
        <v>481</v>
      </c>
      <c r="AQ1392" t="s">
        <v>505</v>
      </c>
      <c r="AR1392" t="s">
        <v>482</v>
      </c>
      <c r="BF1392" s="1"/>
      <c r="BH1392" t="s">
        <v>1366</v>
      </c>
      <c r="BP1392" t="s">
        <v>1489</v>
      </c>
    </row>
    <row r="1393" spans="1:68" x14ac:dyDescent="0.25">
      <c r="A1393" t="s">
        <v>5713</v>
      </c>
      <c r="B1393" t="s">
        <v>474</v>
      </c>
      <c r="C1393" t="s">
        <v>2018</v>
      </c>
      <c r="E1393" t="s">
        <v>480</v>
      </c>
      <c r="G1393" s="1" t="s">
        <v>4473</v>
      </c>
      <c r="H1393" t="s">
        <v>476</v>
      </c>
      <c r="J1393">
        <v>500000</v>
      </c>
      <c r="M1393" t="s">
        <v>1417</v>
      </c>
      <c r="P1393" t="s">
        <v>133</v>
      </c>
      <c r="R1393" t="s">
        <v>763</v>
      </c>
      <c r="S1393" t="s">
        <v>4474</v>
      </c>
      <c r="T1393" t="s">
        <v>4475</v>
      </c>
      <c r="V1393" t="s">
        <v>1365</v>
      </c>
      <c r="W1393" t="s">
        <v>70</v>
      </c>
      <c r="AE1393" t="s">
        <v>478</v>
      </c>
      <c r="AF1393" t="s">
        <v>479</v>
      </c>
      <c r="AL1393" t="s">
        <v>919</v>
      </c>
      <c r="AM1393" t="s">
        <v>919</v>
      </c>
      <c r="AO1393" t="s">
        <v>480</v>
      </c>
      <c r="AP1393" t="s">
        <v>481</v>
      </c>
      <c r="AQ1393" t="s">
        <v>505</v>
      </c>
      <c r="AR1393" t="s">
        <v>482</v>
      </c>
      <c r="BF1393" s="1"/>
      <c r="BH1393" t="s">
        <v>1366</v>
      </c>
      <c r="BP1393" t="s">
        <v>1489</v>
      </c>
    </row>
    <row r="1394" spans="1:68" x14ac:dyDescent="0.25">
      <c r="A1394" t="s">
        <v>5713</v>
      </c>
      <c r="B1394" t="s">
        <v>474</v>
      </c>
      <c r="C1394" t="s">
        <v>2066</v>
      </c>
      <c r="E1394" t="s">
        <v>480</v>
      </c>
      <c r="G1394" s="1" t="s">
        <v>4476</v>
      </c>
      <c r="H1394" t="s">
        <v>476</v>
      </c>
      <c r="J1394">
        <v>500000</v>
      </c>
      <c r="M1394" t="s">
        <v>1417</v>
      </c>
      <c r="P1394" t="s">
        <v>133</v>
      </c>
      <c r="R1394" t="s">
        <v>501</v>
      </c>
      <c r="S1394" t="s">
        <v>1406</v>
      </c>
      <c r="T1394" t="s">
        <v>1407</v>
      </c>
      <c r="V1394" t="s">
        <v>1365</v>
      </c>
      <c r="W1394" t="s">
        <v>70</v>
      </c>
      <c r="AE1394" t="s">
        <v>478</v>
      </c>
      <c r="AF1394" t="s">
        <v>479</v>
      </c>
      <c r="AL1394" t="s">
        <v>919</v>
      </c>
      <c r="AM1394" t="s">
        <v>919</v>
      </c>
      <c r="AO1394" t="s">
        <v>480</v>
      </c>
      <c r="AP1394" t="s">
        <v>481</v>
      </c>
      <c r="AQ1394" t="s">
        <v>505</v>
      </c>
      <c r="AR1394" t="s">
        <v>482</v>
      </c>
      <c r="BF1394" s="1"/>
      <c r="BH1394" t="s">
        <v>1366</v>
      </c>
      <c r="BP1394" t="s">
        <v>1489</v>
      </c>
    </row>
    <row r="1395" spans="1:68" x14ac:dyDescent="0.25">
      <c r="A1395" t="s">
        <v>5713</v>
      </c>
      <c r="B1395" t="s">
        <v>474</v>
      </c>
      <c r="C1395" t="s">
        <v>2066</v>
      </c>
      <c r="E1395" t="s">
        <v>480</v>
      </c>
      <c r="G1395" s="1" t="s">
        <v>4477</v>
      </c>
      <c r="H1395" t="s">
        <v>476</v>
      </c>
      <c r="J1395">
        <v>500000</v>
      </c>
      <c r="M1395" t="s">
        <v>1417</v>
      </c>
      <c r="P1395" t="s">
        <v>133</v>
      </c>
      <c r="R1395" t="s">
        <v>501</v>
      </c>
      <c r="S1395" t="s">
        <v>1406</v>
      </c>
      <c r="T1395" t="s">
        <v>1407</v>
      </c>
      <c r="V1395" t="s">
        <v>1365</v>
      </c>
      <c r="W1395" t="s">
        <v>70</v>
      </c>
      <c r="AE1395" t="s">
        <v>478</v>
      </c>
      <c r="AF1395" t="s">
        <v>479</v>
      </c>
      <c r="AL1395" t="s">
        <v>919</v>
      </c>
      <c r="AM1395" t="s">
        <v>919</v>
      </c>
      <c r="AO1395" t="s">
        <v>480</v>
      </c>
      <c r="AP1395" t="s">
        <v>481</v>
      </c>
      <c r="AQ1395" t="s">
        <v>505</v>
      </c>
      <c r="AR1395" t="s">
        <v>482</v>
      </c>
      <c r="BF1395" s="1"/>
      <c r="BH1395" t="s">
        <v>1366</v>
      </c>
      <c r="BP1395" t="s">
        <v>1489</v>
      </c>
    </row>
    <row r="1396" spans="1:68" x14ac:dyDescent="0.25">
      <c r="A1396" t="s">
        <v>5713</v>
      </c>
      <c r="B1396" t="s">
        <v>474</v>
      </c>
      <c r="C1396" t="s">
        <v>2066</v>
      </c>
      <c r="E1396" t="s">
        <v>480</v>
      </c>
      <c r="G1396" s="1" t="s">
        <v>4478</v>
      </c>
      <c r="H1396" t="s">
        <v>476</v>
      </c>
      <c r="J1396">
        <v>500000</v>
      </c>
      <c r="M1396" t="s">
        <v>1417</v>
      </c>
      <c r="P1396" t="s">
        <v>121</v>
      </c>
      <c r="R1396" t="s">
        <v>1490</v>
      </c>
      <c r="S1396" t="s">
        <v>4479</v>
      </c>
      <c r="T1396" t="s">
        <v>4480</v>
      </c>
      <c r="V1396" t="s">
        <v>1365</v>
      </c>
      <c r="W1396" t="s">
        <v>70</v>
      </c>
      <c r="AE1396" t="s">
        <v>478</v>
      </c>
      <c r="AF1396" t="s">
        <v>479</v>
      </c>
      <c r="AL1396" t="s">
        <v>919</v>
      </c>
      <c r="AM1396" t="s">
        <v>919</v>
      </c>
      <c r="AO1396" t="s">
        <v>480</v>
      </c>
      <c r="AP1396" t="s">
        <v>481</v>
      </c>
      <c r="AQ1396" t="s">
        <v>499</v>
      </c>
      <c r="AR1396" t="s">
        <v>482</v>
      </c>
      <c r="BF1396" s="1"/>
      <c r="BH1396" t="s">
        <v>1366</v>
      </c>
      <c r="BP1396" t="s">
        <v>1489</v>
      </c>
    </row>
    <row r="1397" spans="1:68" x14ac:dyDescent="0.25">
      <c r="A1397" t="s">
        <v>5713</v>
      </c>
      <c r="B1397" t="s">
        <v>474</v>
      </c>
      <c r="C1397" t="s">
        <v>2066</v>
      </c>
      <c r="E1397" t="s">
        <v>480</v>
      </c>
      <c r="G1397" s="1" t="s">
        <v>4478</v>
      </c>
      <c r="H1397" t="s">
        <v>498</v>
      </c>
      <c r="J1397">
        <v>500000</v>
      </c>
      <c r="M1397" t="s">
        <v>1417</v>
      </c>
      <c r="P1397" t="s">
        <v>133</v>
      </c>
      <c r="R1397" t="s">
        <v>1494</v>
      </c>
      <c r="S1397" t="s">
        <v>4481</v>
      </c>
      <c r="T1397" t="s">
        <v>4482</v>
      </c>
      <c r="V1397" t="s">
        <v>1365</v>
      </c>
      <c r="W1397" t="s">
        <v>70</v>
      </c>
      <c r="AE1397" t="s">
        <v>478</v>
      </c>
      <c r="AF1397" t="s">
        <v>479</v>
      </c>
      <c r="AL1397" t="s">
        <v>919</v>
      </c>
      <c r="AM1397" t="s">
        <v>919</v>
      </c>
      <c r="AO1397" t="s">
        <v>480</v>
      </c>
      <c r="AP1397" t="s">
        <v>481</v>
      </c>
      <c r="AQ1397" t="s">
        <v>505</v>
      </c>
      <c r="AR1397" t="s">
        <v>482</v>
      </c>
      <c r="BF1397" s="1"/>
      <c r="BH1397" t="s">
        <v>1366</v>
      </c>
      <c r="BP1397" t="s">
        <v>1489</v>
      </c>
    </row>
    <row r="1398" spans="1:68" x14ac:dyDescent="0.25">
      <c r="A1398" t="s">
        <v>5713</v>
      </c>
      <c r="B1398" t="s">
        <v>474</v>
      </c>
      <c r="C1398" t="s">
        <v>2066</v>
      </c>
      <c r="E1398" t="s">
        <v>480</v>
      </c>
      <c r="G1398" s="1" t="s">
        <v>4478</v>
      </c>
      <c r="H1398" t="s">
        <v>517</v>
      </c>
      <c r="J1398">
        <v>500000</v>
      </c>
      <c r="M1398" t="s">
        <v>1430</v>
      </c>
      <c r="P1398" t="s">
        <v>167</v>
      </c>
      <c r="R1398" t="s">
        <v>488</v>
      </c>
      <c r="S1398" t="s">
        <v>4456</v>
      </c>
      <c r="T1398" t="s">
        <v>4457</v>
      </c>
      <c r="V1398" t="s">
        <v>1365</v>
      </c>
      <c r="W1398" t="s">
        <v>70</v>
      </c>
      <c r="AE1398" t="s">
        <v>478</v>
      </c>
      <c r="AF1398" t="s">
        <v>479</v>
      </c>
      <c r="AL1398" t="s">
        <v>919</v>
      </c>
      <c r="AM1398" t="s">
        <v>919</v>
      </c>
      <c r="AO1398" t="s">
        <v>480</v>
      </c>
      <c r="AP1398" t="s">
        <v>481</v>
      </c>
      <c r="AQ1398" t="s">
        <v>759</v>
      </c>
      <c r="AR1398" t="s">
        <v>482</v>
      </c>
      <c r="BF1398" s="1"/>
      <c r="BH1398" t="s">
        <v>1366</v>
      </c>
      <c r="BP1398" t="s">
        <v>1489</v>
      </c>
    </row>
    <row r="1399" spans="1:68" x14ac:dyDescent="0.25">
      <c r="A1399" t="s">
        <v>5713</v>
      </c>
      <c r="B1399" t="s">
        <v>474</v>
      </c>
      <c r="C1399" t="s">
        <v>2018</v>
      </c>
      <c r="E1399" t="s">
        <v>480</v>
      </c>
      <c r="G1399" s="1" t="s">
        <v>4483</v>
      </c>
      <c r="H1399" t="s">
        <v>476</v>
      </c>
      <c r="J1399">
        <v>500000</v>
      </c>
      <c r="M1399" t="s">
        <v>1430</v>
      </c>
      <c r="P1399" t="s">
        <v>167</v>
      </c>
      <c r="R1399" t="s">
        <v>488</v>
      </c>
      <c r="S1399" t="s">
        <v>4456</v>
      </c>
      <c r="T1399" t="s">
        <v>4457</v>
      </c>
      <c r="V1399" t="s">
        <v>1365</v>
      </c>
      <c r="W1399" t="s">
        <v>70</v>
      </c>
      <c r="AE1399" t="s">
        <v>478</v>
      </c>
      <c r="AF1399" t="s">
        <v>479</v>
      </c>
      <c r="AL1399" t="s">
        <v>919</v>
      </c>
      <c r="AM1399" t="s">
        <v>919</v>
      </c>
      <c r="AO1399" t="s">
        <v>480</v>
      </c>
      <c r="AP1399" t="s">
        <v>481</v>
      </c>
      <c r="AQ1399" t="s">
        <v>759</v>
      </c>
      <c r="AR1399" t="s">
        <v>482</v>
      </c>
      <c r="BF1399" s="1"/>
      <c r="BH1399" t="s">
        <v>1366</v>
      </c>
      <c r="BP1399" t="s">
        <v>1489</v>
      </c>
    </row>
    <row r="1400" spans="1:68" x14ac:dyDescent="0.25">
      <c r="A1400" t="s">
        <v>5713</v>
      </c>
      <c r="B1400" t="s">
        <v>474</v>
      </c>
      <c r="C1400" t="s">
        <v>4427</v>
      </c>
      <c r="E1400" t="s">
        <v>480</v>
      </c>
      <c r="G1400" s="1" t="s">
        <v>4484</v>
      </c>
      <c r="H1400" t="s">
        <v>476</v>
      </c>
      <c r="J1400">
        <v>500000</v>
      </c>
      <c r="M1400" t="s">
        <v>1416</v>
      </c>
      <c r="P1400" t="s">
        <v>83</v>
      </c>
      <c r="R1400" t="s">
        <v>1954</v>
      </c>
      <c r="S1400" t="s">
        <v>4485</v>
      </c>
      <c r="T1400" t="s">
        <v>4486</v>
      </c>
      <c r="V1400" t="s">
        <v>1365</v>
      </c>
      <c r="W1400" t="s">
        <v>70</v>
      </c>
      <c r="AE1400" t="s">
        <v>478</v>
      </c>
      <c r="AF1400" t="s">
        <v>479</v>
      </c>
      <c r="AL1400" t="s">
        <v>919</v>
      </c>
      <c r="AM1400" t="s">
        <v>919</v>
      </c>
      <c r="AO1400" t="s">
        <v>480</v>
      </c>
      <c r="AP1400" t="s">
        <v>481</v>
      </c>
      <c r="AQ1400" t="s">
        <v>497</v>
      </c>
      <c r="AR1400" t="s">
        <v>482</v>
      </c>
      <c r="BF1400" s="1"/>
      <c r="BH1400" t="s">
        <v>1366</v>
      </c>
      <c r="BP1400" t="s">
        <v>1489</v>
      </c>
    </row>
    <row r="1401" spans="1:68" x14ac:dyDescent="0.25">
      <c r="A1401" t="s">
        <v>5713</v>
      </c>
      <c r="B1401" t="s">
        <v>474</v>
      </c>
      <c r="C1401" t="s">
        <v>4427</v>
      </c>
      <c r="E1401" t="s">
        <v>480</v>
      </c>
      <c r="G1401" s="1" t="s">
        <v>4487</v>
      </c>
      <c r="H1401" t="s">
        <v>476</v>
      </c>
      <c r="J1401">
        <v>500000</v>
      </c>
      <c r="M1401" t="s">
        <v>1417</v>
      </c>
      <c r="P1401" t="s">
        <v>121</v>
      </c>
      <c r="R1401" t="s">
        <v>1957</v>
      </c>
      <c r="S1401" t="s">
        <v>4488</v>
      </c>
      <c r="T1401" t="s">
        <v>4489</v>
      </c>
      <c r="V1401" t="s">
        <v>1365</v>
      </c>
      <c r="W1401" t="s">
        <v>70</v>
      </c>
      <c r="AE1401" t="s">
        <v>478</v>
      </c>
      <c r="AF1401" t="s">
        <v>479</v>
      </c>
      <c r="AL1401" t="s">
        <v>919</v>
      </c>
      <c r="AM1401" t="s">
        <v>919</v>
      </c>
      <c r="AO1401" t="s">
        <v>480</v>
      </c>
      <c r="AP1401" t="s">
        <v>481</v>
      </c>
      <c r="AQ1401" t="s">
        <v>499</v>
      </c>
      <c r="AR1401" t="s">
        <v>482</v>
      </c>
      <c r="BF1401" s="1"/>
      <c r="BH1401" t="s">
        <v>1366</v>
      </c>
      <c r="BP1401" t="s">
        <v>1489</v>
      </c>
    </row>
    <row r="1402" spans="1:68" x14ac:dyDescent="0.25">
      <c r="A1402" t="s">
        <v>5713</v>
      </c>
      <c r="B1402" t="s">
        <v>474</v>
      </c>
      <c r="C1402" t="s">
        <v>4427</v>
      </c>
      <c r="E1402" t="s">
        <v>480</v>
      </c>
      <c r="G1402" s="1" t="s">
        <v>4487</v>
      </c>
      <c r="H1402" t="s">
        <v>498</v>
      </c>
      <c r="J1402">
        <v>500000</v>
      </c>
      <c r="M1402" t="s">
        <v>1430</v>
      </c>
      <c r="P1402" t="s">
        <v>167</v>
      </c>
      <c r="R1402" t="s">
        <v>488</v>
      </c>
      <c r="S1402" t="s">
        <v>4456</v>
      </c>
      <c r="T1402" t="s">
        <v>4457</v>
      </c>
      <c r="V1402" t="s">
        <v>1365</v>
      </c>
      <c r="W1402" t="s">
        <v>70</v>
      </c>
      <c r="AE1402" t="s">
        <v>478</v>
      </c>
      <c r="AF1402" t="s">
        <v>479</v>
      </c>
      <c r="AL1402" t="s">
        <v>919</v>
      </c>
      <c r="AM1402" t="s">
        <v>919</v>
      </c>
      <c r="AO1402" t="s">
        <v>480</v>
      </c>
      <c r="AP1402" t="s">
        <v>481</v>
      </c>
      <c r="AQ1402" t="s">
        <v>759</v>
      </c>
      <c r="AR1402" t="s">
        <v>482</v>
      </c>
      <c r="BF1402" s="1"/>
      <c r="BH1402" t="s">
        <v>1366</v>
      </c>
      <c r="BP1402" t="s">
        <v>1489</v>
      </c>
    </row>
    <row r="1403" spans="1:68" x14ac:dyDescent="0.25">
      <c r="A1403" t="s">
        <v>5713</v>
      </c>
      <c r="B1403" t="s">
        <v>474</v>
      </c>
      <c r="C1403" t="s">
        <v>4427</v>
      </c>
      <c r="E1403" t="s">
        <v>480</v>
      </c>
      <c r="G1403" s="1" t="s">
        <v>4490</v>
      </c>
      <c r="H1403" t="s">
        <v>476</v>
      </c>
      <c r="J1403">
        <v>500000</v>
      </c>
      <c r="M1403" t="s">
        <v>1416</v>
      </c>
      <c r="P1403" t="s">
        <v>83</v>
      </c>
      <c r="R1403" t="s">
        <v>1935</v>
      </c>
      <c r="S1403" t="s">
        <v>4491</v>
      </c>
      <c r="T1403" t="s">
        <v>4492</v>
      </c>
      <c r="V1403" t="s">
        <v>1365</v>
      </c>
      <c r="W1403" t="s">
        <v>70</v>
      </c>
      <c r="AE1403" t="s">
        <v>478</v>
      </c>
      <c r="AF1403" t="s">
        <v>479</v>
      </c>
      <c r="AL1403" t="s">
        <v>919</v>
      </c>
      <c r="AM1403" t="s">
        <v>919</v>
      </c>
      <c r="AO1403" t="s">
        <v>480</v>
      </c>
      <c r="AP1403" t="s">
        <v>481</v>
      </c>
      <c r="AQ1403" t="s">
        <v>497</v>
      </c>
      <c r="AR1403" t="s">
        <v>482</v>
      </c>
      <c r="BF1403" s="1"/>
      <c r="BH1403" t="s">
        <v>1366</v>
      </c>
      <c r="BP1403" t="s">
        <v>1489</v>
      </c>
    </row>
    <row r="1404" spans="1:68" x14ac:dyDescent="0.25">
      <c r="A1404" t="s">
        <v>5713</v>
      </c>
      <c r="B1404" t="s">
        <v>474</v>
      </c>
      <c r="C1404" t="s">
        <v>2319</v>
      </c>
      <c r="E1404" t="s">
        <v>480</v>
      </c>
      <c r="G1404" s="1" t="s">
        <v>4493</v>
      </c>
      <c r="H1404" t="s">
        <v>476</v>
      </c>
      <c r="J1404">
        <v>500000</v>
      </c>
      <c r="M1404" t="s">
        <v>1417</v>
      </c>
      <c r="P1404" t="s">
        <v>133</v>
      </c>
      <c r="R1404" t="s">
        <v>501</v>
      </c>
      <c r="S1404" t="s">
        <v>1406</v>
      </c>
      <c r="T1404" t="s">
        <v>1407</v>
      </c>
      <c r="V1404" t="s">
        <v>1365</v>
      </c>
      <c r="W1404" t="s">
        <v>70</v>
      </c>
      <c r="AE1404" t="s">
        <v>478</v>
      </c>
      <c r="AF1404" t="s">
        <v>479</v>
      </c>
      <c r="AL1404" t="s">
        <v>919</v>
      </c>
      <c r="AM1404" t="s">
        <v>919</v>
      </c>
      <c r="AO1404" t="s">
        <v>480</v>
      </c>
      <c r="AP1404" t="s">
        <v>481</v>
      </c>
      <c r="AQ1404" t="s">
        <v>505</v>
      </c>
      <c r="AR1404" t="s">
        <v>482</v>
      </c>
      <c r="BF1404" s="1"/>
      <c r="BH1404" t="s">
        <v>1366</v>
      </c>
      <c r="BP1404" t="s">
        <v>1489</v>
      </c>
    </row>
    <row r="1405" spans="1:68" x14ac:dyDescent="0.25">
      <c r="A1405" t="s">
        <v>5713</v>
      </c>
      <c r="B1405" t="s">
        <v>474</v>
      </c>
      <c r="C1405" t="s">
        <v>2319</v>
      </c>
      <c r="E1405" t="s">
        <v>480</v>
      </c>
      <c r="G1405" s="1" t="s">
        <v>4494</v>
      </c>
      <c r="H1405" t="s">
        <v>476</v>
      </c>
      <c r="J1405">
        <v>500000</v>
      </c>
      <c r="M1405" t="s">
        <v>1417</v>
      </c>
      <c r="P1405" t="s">
        <v>121</v>
      </c>
      <c r="R1405" t="s">
        <v>1944</v>
      </c>
      <c r="S1405" t="s">
        <v>4495</v>
      </c>
      <c r="T1405" t="s">
        <v>4496</v>
      </c>
      <c r="V1405" t="s">
        <v>1365</v>
      </c>
      <c r="W1405" t="s">
        <v>70</v>
      </c>
      <c r="AE1405" t="s">
        <v>478</v>
      </c>
      <c r="AF1405" t="s">
        <v>479</v>
      </c>
      <c r="AL1405" t="s">
        <v>919</v>
      </c>
      <c r="AM1405" t="s">
        <v>919</v>
      </c>
      <c r="AO1405" t="s">
        <v>480</v>
      </c>
      <c r="AP1405" t="s">
        <v>481</v>
      </c>
      <c r="AQ1405" t="s">
        <v>499</v>
      </c>
      <c r="AR1405" t="s">
        <v>482</v>
      </c>
      <c r="BF1405" s="1"/>
      <c r="BH1405" t="s">
        <v>1366</v>
      </c>
      <c r="BP1405" t="s">
        <v>1489</v>
      </c>
    </row>
    <row r="1406" spans="1:68" x14ac:dyDescent="0.25">
      <c r="A1406" t="s">
        <v>5713</v>
      </c>
      <c r="B1406" t="s">
        <v>474</v>
      </c>
      <c r="C1406" t="s">
        <v>2319</v>
      </c>
      <c r="E1406" t="s">
        <v>480</v>
      </c>
      <c r="G1406" s="1" t="s">
        <v>4494</v>
      </c>
      <c r="H1406" t="s">
        <v>498</v>
      </c>
      <c r="J1406">
        <v>500000</v>
      </c>
      <c r="M1406" t="s">
        <v>1417</v>
      </c>
      <c r="P1406" t="s">
        <v>133</v>
      </c>
      <c r="R1406" t="s">
        <v>1948</v>
      </c>
      <c r="S1406" t="s">
        <v>4497</v>
      </c>
      <c r="T1406" t="s">
        <v>4498</v>
      </c>
      <c r="V1406" t="s">
        <v>1365</v>
      </c>
      <c r="W1406" t="s">
        <v>70</v>
      </c>
      <c r="AE1406" t="s">
        <v>478</v>
      </c>
      <c r="AF1406" t="s">
        <v>479</v>
      </c>
      <c r="AL1406" t="s">
        <v>919</v>
      </c>
      <c r="AM1406" t="s">
        <v>919</v>
      </c>
      <c r="AO1406" t="s">
        <v>480</v>
      </c>
      <c r="AP1406" t="s">
        <v>481</v>
      </c>
      <c r="AQ1406" t="s">
        <v>505</v>
      </c>
      <c r="AR1406" t="s">
        <v>482</v>
      </c>
      <c r="BF1406" s="1"/>
      <c r="BH1406" t="s">
        <v>1366</v>
      </c>
      <c r="BP1406" t="s">
        <v>1489</v>
      </c>
    </row>
    <row r="1407" spans="1:68" x14ac:dyDescent="0.25">
      <c r="A1407" t="s">
        <v>5713</v>
      </c>
      <c r="B1407" t="s">
        <v>474</v>
      </c>
      <c r="C1407" t="s">
        <v>2319</v>
      </c>
      <c r="E1407" t="s">
        <v>480</v>
      </c>
      <c r="G1407" s="1" t="s">
        <v>4499</v>
      </c>
      <c r="H1407" t="s">
        <v>476</v>
      </c>
      <c r="J1407">
        <v>500000</v>
      </c>
      <c r="M1407" t="s">
        <v>1417</v>
      </c>
      <c r="P1407" t="s">
        <v>121</v>
      </c>
      <c r="R1407" t="s">
        <v>501</v>
      </c>
      <c r="S1407" t="s">
        <v>1404</v>
      </c>
      <c r="T1407" t="s">
        <v>1405</v>
      </c>
      <c r="V1407" t="s">
        <v>1365</v>
      </c>
      <c r="W1407" t="s">
        <v>70</v>
      </c>
      <c r="AE1407" t="s">
        <v>478</v>
      </c>
      <c r="AF1407" t="s">
        <v>479</v>
      </c>
      <c r="AL1407" t="s">
        <v>919</v>
      </c>
      <c r="AM1407" t="s">
        <v>919</v>
      </c>
      <c r="AO1407" t="s">
        <v>480</v>
      </c>
      <c r="AP1407" t="s">
        <v>481</v>
      </c>
      <c r="AQ1407" t="s">
        <v>499</v>
      </c>
      <c r="AR1407" t="s">
        <v>482</v>
      </c>
      <c r="BF1407" s="1"/>
      <c r="BH1407" t="s">
        <v>1366</v>
      </c>
      <c r="BP1407" t="s">
        <v>1489</v>
      </c>
    </row>
    <row r="1408" spans="1:68" x14ac:dyDescent="0.25">
      <c r="A1408" t="s">
        <v>5713</v>
      </c>
      <c r="B1408" t="s">
        <v>474</v>
      </c>
      <c r="C1408" t="s">
        <v>2319</v>
      </c>
      <c r="E1408" t="s">
        <v>480</v>
      </c>
      <c r="G1408" s="1" t="s">
        <v>4500</v>
      </c>
      <c r="H1408" t="s">
        <v>476</v>
      </c>
      <c r="J1408">
        <v>500000</v>
      </c>
      <c r="M1408" t="s">
        <v>1417</v>
      </c>
      <c r="P1408" t="s">
        <v>133</v>
      </c>
      <c r="R1408" t="s">
        <v>501</v>
      </c>
      <c r="S1408" t="s">
        <v>1406</v>
      </c>
      <c r="T1408" t="s">
        <v>1407</v>
      </c>
      <c r="V1408" t="s">
        <v>1365</v>
      </c>
      <c r="W1408" t="s">
        <v>70</v>
      </c>
      <c r="AE1408" t="s">
        <v>478</v>
      </c>
      <c r="AF1408" t="s">
        <v>479</v>
      </c>
      <c r="AL1408" t="s">
        <v>919</v>
      </c>
      <c r="AM1408" t="s">
        <v>919</v>
      </c>
      <c r="AO1408" t="s">
        <v>480</v>
      </c>
      <c r="AP1408" t="s">
        <v>481</v>
      </c>
      <c r="AQ1408" t="s">
        <v>505</v>
      </c>
      <c r="AR1408" t="s">
        <v>482</v>
      </c>
      <c r="BF1408" s="1"/>
      <c r="BH1408" t="s">
        <v>1366</v>
      </c>
      <c r="BP1408" t="s">
        <v>1489</v>
      </c>
    </row>
    <row r="1409" spans="1:68" x14ac:dyDescent="0.25">
      <c r="A1409" t="s">
        <v>5713</v>
      </c>
      <c r="B1409" t="s">
        <v>474</v>
      </c>
      <c r="C1409" t="s">
        <v>2780</v>
      </c>
      <c r="E1409" t="s">
        <v>480</v>
      </c>
      <c r="G1409" s="1" t="s">
        <v>4501</v>
      </c>
      <c r="H1409" t="s">
        <v>476</v>
      </c>
      <c r="J1409">
        <v>500000</v>
      </c>
      <c r="M1409" t="s">
        <v>1417</v>
      </c>
      <c r="P1409" t="s">
        <v>121</v>
      </c>
      <c r="R1409" t="s">
        <v>1461</v>
      </c>
      <c r="S1409" t="s">
        <v>4502</v>
      </c>
      <c r="T1409" t="s">
        <v>4503</v>
      </c>
      <c r="V1409" t="s">
        <v>1365</v>
      </c>
      <c r="W1409" t="s">
        <v>70</v>
      </c>
      <c r="AE1409" t="s">
        <v>478</v>
      </c>
      <c r="AF1409" t="s">
        <v>479</v>
      </c>
      <c r="AL1409" t="s">
        <v>919</v>
      </c>
      <c r="AM1409" t="s">
        <v>919</v>
      </c>
      <c r="AO1409" t="s">
        <v>480</v>
      </c>
      <c r="AP1409" t="s">
        <v>481</v>
      </c>
      <c r="AQ1409" t="s">
        <v>499</v>
      </c>
      <c r="AR1409" t="s">
        <v>482</v>
      </c>
      <c r="BF1409" s="1"/>
      <c r="BH1409" t="s">
        <v>1366</v>
      </c>
      <c r="BP1409" t="s">
        <v>1489</v>
      </c>
    </row>
    <row r="1410" spans="1:68" x14ac:dyDescent="0.25">
      <c r="A1410" t="s">
        <v>5713</v>
      </c>
      <c r="B1410" t="s">
        <v>474</v>
      </c>
      <c r="C1410" t="s">
        <v>2780</v>
      </c>
      <c r="E1410" t="s">
        <v>480</v>
      </c>
      <c r="G1410" s="1" t="s">
        <v>4501</v>
      </c>
      <c r="H1410" t="s">
        <v>498</v>
      </c>
      <c r="J1410">
        <v>500000</v>
      </c>
      <c r="M1410" t="s">
        <v>1430</v>
      </c>
      <c r="P1410" t="s">
        <v>167</v>
      </c>
      <c r="R1410" t="s">
        <v>635</v>
      </c>
      <c r="S1410" t="s">
        <v>4504</v>
      </c>
      <c r="T1410" t="s">
        <v>4505</v>
      </c>
      <c r="V1410" t="s">
        <v>1365</v>
      </c>
      <c r="W1410" t="s">
        <v>70</v>
      </c>
      <c r="AE1410" t="s">
        <v>478</v>
      </c>
      <c r="AF1410" t="s">
        <v>479</v>
      </c>
      <c r="AL1410" t="s">
        <v>919</v>
      </c>
      <c r="AM1410" t="s">
        <v>919</v>
      </c>
      <c r="AO1410" t="s">
        <v>480</v>
      </c>
      <c r="AP1410" t="s">
        <v>481</v>
      </c>
      <c r="AQ1410" t="s">
        <v>759</v>
      </c>
      <c r="AR1410" t="s">
        <v>482</v>
      </c>
      <c r="BF1410" s="1"/>
      <c r="BH1410" t="s">
        <v>1366</v>
      </c>
      <c r="BP1410" t="s">
        <v>1489</v>
      </c>
    </row>
    <row r="1411" spans="1:68" x14ac:dyDescent="0.25">
      <c r="A1411" t="s">
        <v>5713</v>
      </c>
      <c r="B1411" t="s">
        <v>474</v>
      </c>
      <c r="C1411" t="s">
        <v>2780</v>
      </c>
      <c r="E1411" t="s">
        <v>480</v>
      </c>
      <c r="G1411" s="1" t="s">
        <v>4506</v>
      </c>
      <c r="H1411" t="s">
        <v>476</v>
      </c>
      <c r="J1411">
        <v>500000</v>
      </c>
      <c r="M1411" t="s">
        <v>1417</v>
      </c>
      <c r="P1411" t="s">
        <v>133</v>
      </c>
      <c r="R1411" t="s">
        <v>2326</v>
      </c>
      <c r="S1411" t="s">
        <v>4507</v>
      </c>
      <c r="T1411" t="s">
        <v>4508</v>
      </c>
      <c r="V1411" t="s">
        <v>1365</v>
      </c>
      <c r="W1411" t="s">
        <v>70</v>
      </c>
      <c r="AE1411" t="s">
        <v>478</v>
      </c>
      <c r="AF1411" t="s">
        <v>479</v>
      </c>
      <c r="AL1411" t="s">
        <v>919</v>
      </c>
      <c r="AM1411" t="s">
        <v>919</v>
      </c>
      <c r="AO1411" t="s">
        <v>480</v>
      </c>
      <c r="AP1411" t="s">
        <v>481</v>
      </c>
      <c r="AQ1411" t="s">
        <v>505</v>
      </c>
      <c r="AR1411" t="s">
        <v>482</v>
      </c>
      <c r="BF1411" s="1"/>
      <c r="BH1411" t="s">
        <v>1366</v>
      </c>
      <c r="BP1411" t="s">
        <v>1489</v>
      </c>
    </row>
    <row r="1412" spans="1:68" x14ac:dyDescent="0.25">
      <c r="A1412" t="s">
        <v>5713</v>
      </c>
      <c r="B1412" t="s">
        <v>474</v>
      </c>
      <c r="C1412" t="s">
        <v>2780</v>
      </c>
      <c r="E1412" t="s">
        <v>480</v>
      </c>
      <c r="G1412" s="1" t="s">
        <v>4509</v>
      </c>
      <c r="H1412" t="s">
        <v>476</v>
      </c>
      <c r="J1412">
        <v>500000</v>
      </c>
      <c r="M1412" t="s">
        <v>1417</v>
      </c>
      <c r="P1412" t="s">
        <v>133</v>
      </c>
      <c r="R1412" t="s">
        <v>501</v>
      </c>
      <c r="S1412" t="s">
        <v>1406</v>
      </c>
      <c r="T1412" t="s">
        <v>1407</v>
      </c>
      <c r="V1412" t="s">
        <v>1365</v>
      </c>
      <c r="W1412" t="s">
        <v>70</v>
      </c>
      <c r="AE1412" t="s">
        <v>478</v>
      </c>
      <c r="AF1412" t="s">
        <v>479</v>
      </c>
      <c r="AL1412" t="s">
        <v>919</v>
      </c>
      <c r="AM1412" t="s">
        <v>919</v>
      </c>
      <c r="AO1412" t="s">
        <v>480</v>
      </c>
      <c r="AP1412" t="s">
        <v>481</v>
      </c>
      <c r="AQ1412" t="s">
        <v>505</v>
      </c>
      <c r="AR1412" t="s">
        <v>482</v>
      </c>
      <c r="BF1412" s="1"/>
      <c r="BH1412" t="s">
        <v>1366</v>
      </c>
      <c r="BP1412" t="s">
        <v>1489</v>
      </c>
    </row>
    <row r="1413" spans="1:68" x14ac:dyDescent="0.25">
      <c r="A1413" t="s">
        <v>5713</v>
      </c>
      <c r="B1413" t="s">
        <v>474</v>
      </c>
      <c r="C1413" t="s">
        <v>2018</v>
      </c>
      <c r="E1413" t="s">
        <v>480</v>
      </c>
      <c r="G1413" s="1" t="s">
        <v>4510</v>
      </c>
      <c r="H1413" t="s">
        <v>476</v>
      </c>
      <c r="J1413">
        <v>500000</v>
      </c>
      <c r="M1413" t="s">
        <v>1417</v>
      </c>
      <c r="P1413" t="s">
        <v>133</v>
      </c>
      <c r="R1413" t="s">
        <v>1930</v>
      </c>
      <c r="S1413" t="s">
        <v>4511</v>
      </c>
      <c r="T1413" t="s">
        <v>4512</v>
      </c>
      <c r="V1413" t="s">
        <v>1365</v>
      </c>
      <c r="W1413" t="s">
        <v>70</v>
      </c>
      <c r="AE1413" t="s">
        <v>478</v>
      </c>
      <c r="AF1413" t="s">
        <v>479</v>
      </c>
      <c r="AL1413" t="s">
        <v>919</v>
      </c>
      <c r="AM1413" t="s">
        <v>919</v>
      </c>
      <c r="AO1413" t="s">
        <v>480</v>
      </c>
      <c r="AP1413" t="s">
        <v>481</v>
      </c>
      <c r="AQ1413" t="s">
        <v>505</v>
      </c>
      <c r="AR1413" t="s">
        <v>482</v>
      </c>
      <c r="BF1413" s="1"/>
      <c r="BH1413" t="s">
        <v>1366</v>
      </c>
      <c r="BP1413" t="s">
        <v>1489</v>
      </c>
    </row>
    <row r="1414" spans="1:68" x14ac:dyDescent="0.25">
      <c r="A1414" t="s">
        <v>5713</v>
      </c>
      <c r="B1414" t="s">
        <v>474</v>
      </c>
      <c r="C1414" t="s">
        <v>2066</v>
      </c>
      <c r="E1414" t="s">
        <v>480</v>
      </c>
      <c r="G1414" s="1" t="s">
        <v>4513</v>
      </c>
      <c r="H1414" t="s">
        <v>476</v>
      </c>
      <c r="J1414">
        <v>500000</v>
      </c>
      <c r="M1414" t="s">
        <v>1417</v>
      </c>
      <c r="P1414" t="s">
        <v>121</v>
      </c>
      <c r="R1414" t="s">
        <v>1500</v>
      </c>
      <c r="S1414" t="s">
        <v>4514</v>
      </c>
      <c r="T1414" t="s">
        <v>4515</v>
      </c>
      <c r="V1414" t="s">
        <v>1365</v>
      </c>
      <c r="W1414" t="s">
        <v>70</v>
      </c>
      <c r="AE1414" t="s">
        <v>478</v>
      </c>
      <c r="AF1414" t="s">
        <v>479</v>
      </c>
      <c r="AL1414" t="s">
        <v>919</v>
      </c>
      <c r="AM1414" t="s">
        <v>919</v>
      </c>
      <c r="AO1414" t="s">
        <v>480</v>
      </c>
      <c r="AP1414" t="s">
        <v>481</v>
      </c>
      <c r="AQ1414" t="s">
        <v>499</v>
      </c>
      <c r="AR1414" t="s">
        <v>482</v>
      </c>
      <c r="BF1414" s="1"/>
      <c r="BH1414" t="s">
        <v>1366</v>
      </c>
      <c r="BP1414" t="s">
        <v>1489</v>
      </c>
    </row>
    <row r="1415" spans="1:68" x14ac:dyDescent="0.25">
      <c r="A1415" t="s">
        <v>5713</v>
      </c>
      <c r="B1415" t="s">
        <v>474</v>
      </c>
      <c r="C1415" t="s">
        <v>2066</v>
      </c>
      <c r="E1415" t="s">
        <v>480</v>
      </c>
      <c r="G1415" s="1" t="s">
        <v>4516</v>
      </c>
      <c r="H1415" t="s">
        <v>476</v>
      </c>
      <c r="J1415">
        <v>500000</v>
      </c>
      <c r="M1415" t="s">
        <v>1417</v>
      </c>
      <c r="P1415" t="s">
        <v>121</v>
      </c>
      <c r="R1415" t="s">
        <v>501</v>
      </c>
      <c r="S1415" t="s">
        <v>1404</v>
      </c>
      <c r="T1415" t="s">
        <v>1405</v>
      </c>
      <c r="V1415" t="s">
        <v>1365</v>
      </c>
      <c r="W1415" t="s">
        <v>70</v>
      </c>
      <c r="AE1415" t="s">
        <v>478</v>
      </c>
      <c r="AF1415" t="s">
        <v>479</v>
      </c>
      <c r="AL1415" t="s">
        <v>919</v>
      </c>
      <c r="AM1415" t="s">
        <v>919</v>
      </c>
      <c r="AO1415" t="s">
        <v>480</v>
      </c>
      <c r="AP1415" t="s">
        <v>481</v>
      </c>
      <c r="AQ1415" t="s">
        <v>499</v>
      </c>
      <c r="AR1415" t="s">
        <v>482</v>
      </c>
      <c r="BF1415" s="1"/>
      <c r="BH1415" t="s">
        <v>1366</v>
      </c>
      <c r="BP1415" t="s">
        <v>1489</v>
      </c>
    </row>
    <row r="1416" spans="1:68" x14ac:dyDescent="0.25">
      <c r="A1416" t="s">
        <v>5713</v>
      </c>
      <c r="B1416" t="s">
        <v>474</v>
      </c>
      <c r="C1416" t="s">
        <v>2018</v>
      </c>
      <c r="E1416" t="s">
        <v>480</v>
      </c>
      <c r="G1416" s="1" t="s">
        <v>4517</v>
      </c>
      <c r="H1416" t="s">
        <v>476</v>
      </c>
      <c r="J1416">
        <v>500000</v>
      </c>
      <c r="M1416" t="s">
        <v>1417</v>
      </c>
      <c r="P1416" t="s">
        <v>121</v>
      </c>
      <c r="R1416" t="s">
        <v>1657</v>
      </c>
      <c r="S1416" t="s">
        <v>4518</v>
      </c>
      <c r="T1416" t="s">
        <v>4519</v>
      </c>
      <c r="V1416" t="s">
        <v>1365</v>
      </c>
      <c r="W1416" t="s">
        <v>70</v>
      </c>
      <c r="AE1416" t="s">
        <v>478</v>
      </c>
      <c r="AF1416" t="s">
        <v>479</v>
      </c>
      <c r="AL1416" t="s">
        <v>919</v>
      </c>
      <c r="AM1416" t="s">
        <v>919</v>
      </c>
      <c r="AO1416" t="s">
        <v>480</v>
      </c>
      <c r="AP1416" t="s">
        <v>481</v>
      </c>
      <c r="AQ1416" t="s">
        <v>499</v>
      </c>
      <c r="AR1416" t="s">
        <v>482</v>
      </c>
      <c r="BF1416" s="1"/>
      <c r="BH1416" t="s">
        <v>1366</v>
      </c>
      <c r="BP1416" t="s">
        <v>1489</v>
      </c>
    </row>
    <row r="1417" spans="1:68" x14ac:dyDescent="0.25">
      <c r="A1417" t="s">
        <v>5713</v>
      </c>
      <c r="B1417" t="s">
        <v>474</v>
      </c>
      <c r="C1417" t="s">
        <v>2018</v>
      </c>
      <c r="E1417" t="s">
        <v>480</v>
      </c>
      <c r="G1417" s="1" t="s">
        <v>4517</v>
      </c>
      <c r="H1417" t="s">
        <v>498</v>
      </c>
      <c r="J1417">
        <v>500000</v>
      </c>
      <c r="M1417" t="s">
        <v>1417</v>
      </c>
      <c r="P1417" t="s">
        <v>133</v>
      </c>
      <c r="R1417" t="s">
        <v>1661</v>
      </c>
      <c r="S1417" t="s">
        <v>4520</v>
      </c>
      <c r="T1417" t="s">
        <v>4521</v>
      </c>
      <c r="V1417" t="s">
        <v>1365</v>
      </c>
      <c r="W1417" t="s">
        <v>70</v>
      </c>
      <c r="AE1417" t="s">
        <v>478</v>
      </c>
      <c r="AF1417" t="s">
        <v>479</v>
      </c>
      <c r="AL1417" t="s">
        <v>919</v>
      </c>
      <c r="AM1417" t="s">
        <v>919</v>
      </c>
      <c r="AO1417" t="s">
        <v>480</v>
      </c>
      <c r="AP1417" t="s">
        <v>481</v>
      </c>
      <c r="AQ1417" t="s">
        <v>505</v>
      </c>
      <c r="AR1417" t="s">
        <v>482</v>
      </c>
      <c r="BF1417" s="1"/>
      <c r="BH1417" t="s">
        <v>1366</v>
      </c>
      <c r="BP1417" t="s">
        <v>1489</v>
      </c>
    </row>
    <row r="1418" spans="1:68" x14ac:dyDescent="0.25">
      <c r="A1418" t="s">
        <v>5713</v>
      </c>
      <c r="B1418" t="s">
        <v>474</v>
      </c>
      <c r="C1418" t="s">
        <v>2018</v>
      </c>
      <c r="E1418" t="s">
        <v>480</v>
      </c>
      <c r="G1418" s="1" t="s">
        <v>4522</v>
      </c>
      <c r="H1418" t="s">
        <v>476</v>
      </c>
      <c r="J1418">
        <v>500000</v>
      </c>
      <c r="M1418" t="s">
        <v>1417</v>
      </c>
      <c r="P1418" t="s">
        <v>121</v>
      </c>
      <c r="R1418" t="s">
        <v>501</v>
      </c>
      <c r="S1418" t="s">
        <v>1404</v>
      </c>
      <c r="T1418" t="s">
        <v>1405</v>
      </c>
      <c r="V1418" t="s">
        <v>1365</v>
      </c>
      <c r="W1418" t="s">
        <v>70</v>
      </c>
      <c r="AE1418" t="s">
        <v>478</v>
      </c>
      <c r="AF1418" t="s">
        <v>479</v>
      </c>
      <c r="AL1418" t="s">
        <v>919</v>
      </c>
      <c r="AM1418" t="s">
        <v>919</v>
      </c>
      <c r="AO1418" t="s">
        <v>480</v>
      </c>
      <c r="AP1418" t="s">
        <v>481</v>
      </c>
      <c r="AQ1418" t="s">
        <v>499</v>
      </c>
      <c r="AR1418" t="s">
        <v>482</v>
      </c>
      <c r="BF1418" s="1"/>
      <c r="BH1418" t="s">
        <v>1366</v>
      </c>
      <c r="BP1418" t="s">
        <v>1489</v>
      </c>
    </row>
    <row r="1419" spans="1:68" x14ac:dyDescent="0.25">
      <c r="A1419" t="s">
        <v>5713</v>
      </c>
      <c r="B1419" t="s">
        <v>474</v>
      </c>
      <c r="C1419" t="s">
        <v>2018</v>
      </c>
      <c r="E1419" t="s">
        <v>480</v>
      </c>
      <c r="G1419" s="1" t="s">
        <v>4523</v>
      </c>
      <c r="H1419" t="s">
        <v>476</v>
      </c>
      <c r="J1419">
        <v>500000</v>
      </c>
      <c r="M1419" t="s">
        <v>1417</v>
      </c>
      <c r="P1419" t="s">
        <v>121</v>
      </c>
      <c r="R1419" t="s">
        <v>501</v>
      </c>
      <c r="S1419" t="s">
        <v>1404</v>
      </c>
      <c r="T1419" t="s">
        <v>1405</v>
      </c>
      <c r="V1419" t="s">
        <v>1365</v>
      </c>
      <c r="W1419" t="s">
        <v>70</v>
      </c>
      <c r="AE1419" t="s">
        <v>478</v>
      </c>
      <c r="AF1419" t="s">
        <v>479</v>
      </c>
      <c r="AL1419" t="s">
        <v>919</v>
      </c>
      <c r="AM1419" t="s">
        <v>919</v>
      </c>
      <c r="AO1419" t="s">
        <v>480</v>
      </c>
      <c r="AP1419" t="s">
        <v>481</v>
      </c>
      <c r="AQ1419" t="s">
        <v>499</v>
      </c>
      <c r="AR1419" t="s">
        <v>482</v>
      </c>
      <c r="BF1419" s="1"/>
      <c r="BH1419" t="s">
        <v>1366</v>
      </c>
      <c r="BP1419" t="s">
        <v>1489</v>
      </c>
    </row>
    <row r="1420" spans="1:68" x14ac:dyDescent="0.25">
      <c r="A1420" t="s">
        <v>5713</v>
      </c>
      <c r="B1420" t="s">
        <v>474</v>
      </c>
      <c r="C1420" t="s">
        <v>4427</v>
      </c>
      <c r="E1420" t="s">
        <v>480</v>
      </c>
      <c r="G1420" s="1" t="s">
        <v>4524</v>
      </c>
      <c r="H1420" t="s">
        <v>476</v>
      </c>
      <c r="J1420">
        <v>500000</v>
      </c>
      <c r="M1420" t="s">
        <v>1425</v>
      </c>
      <c r="P1420" t="s">
        <v>153</v>
      </c>
      <c r="R1420" t="s">
        <v>640</v>
      </c>
      <c r="S1420" t="s">
        <v>4525</v>
      </c>
      <c r="T1420" t="s">
        <v>4526</v>
      </c>
      <c r="V1420" t="s">
        <v>1365</v>
      </c>
      <c r="W1420" t="s">
        <v>70</v>
      </c>
      <c r="AE1420" t="s">
        <v>478</v>
      </c>
      <c r="AF1420" t="s">
        <v>479</v>
      </c>
      <c r="AL1420" t="s">
        <v>919</v>
      </c>
      <c r="AM1420" t="s">
        <v>919</v>
      </c>
      <c r="AO1420" t="s">
        <v>480</v>
      </c>
      <c r="AP1420" t="s">
        <v>481</v>
      </c>
      <c r="AQ1420" t="s">
        <v>762</v>
      </c>
      <c r="AR1420" t="s">
        <v>482</v>
      </c>
      <c r="BF1420" s="1"/>
      <c r="BH1420" t="s">
        <v>1366</v>
      </c>
      <c r="BP1420" t="s">
        <v>1489</v>
      </c>
    </row>
    <row r="1421" spans="1:68" x14ac:dyDescent="0.25">
      <c r="A1421" t="s">
        <v>5713</v>
      </c>
      <c r="B1421" t="s">
        <v>474</v>
      </c>
      <c r="C1421" t="s">
        <v>4427</v>
      </c>
      <c r="E1421" t="s">
        <v>480</v>
      </c>
      <c r="G1421" s="1" t="s">
        <v>4524</v>
      </c>
      <c r="H1421" t="s">
        <v>498</v>
      </c>
      <c r="J1421">
        <v>500000</v>
      </c>
      <c r="M1421" t="s">
        <v>1417</v>
      </c>
      <c r="P1421" t="s">
        <v>133</v>
      </c>
      <c r="R1421" t="s">
        <v>800</v>
      </c>
      <c r="S1421" t="s">
        <v>4527</v>
      </c>
      <c r="T1421" t="s">
        <v>4528</v>
      </c>
      <c r="V1421" t="s">
        <v>1365</v>
      </c>
      <c r="W1421" t="s">
        <v>70</v>
      </c>
      <c r="AE1421" t="s">
        <v>478</v>
      </c>
      <c r="AF1421" t="s">
        <v>479</v>
      </c>
      <c r="AL1421" t="s">
        <v>919</v>
      </c>
      <c r="AM1421" t="s">
        <v>919</v>
      </c>
      <c r="AO1421" t="s">
        <v>480</v>
      </c>
      <c r="AP1421" t="s">
        <v>481</v>
      </c>
      <c r="AQ1421" t="s">
        <v>505</v>
      </c>
      <c r="AR1421" t="s">
        <v>482</v>
      </c>
      <c r="BF1421" s="1"/>
      <c r="BH1421" t="s">
        <v>1366</v>
      </c>
      <c r="BP1421" t="s">
        <v>1489</v>
      </c>
    </row>
    <row r="1422" spans="1:68" x14ac:dyDescent="0.25">
      <c r="A1422" t="s">
        <v>5713</v>
      </c>
      <c r="B1422" t="s">
        <v>474</v>
      </c>
      <c r="C1422" t="s">
        <v>4427</v>
      </c>
      <c r="E1422" t="s">
        <v>480</v>
      </c>
      <c r="G1422" s="1" t="s">
        <v>4529</v>
      </c>
      <c r="H1422" t="s">
        <v>476</v>
      </c>
      <c r="J1422">
        <v>500000</v>
      </c>
      <c r="M1422" t="s">
        <v>1417</v>
      </c>
      <c r="P1422" t="s">
        <v>121</v>
      </c>
      <c r="R1422" t="s">
        <v>670</v>
      </c>
      <c r="S1422" t="s">
        <v>4530</v>
      </c>
      <c r="T1422" t="s">
        <v>4531</v>
      </c>
      <c r="V1422" t="s">
        <v>1365</v>
      </c>
      <c r="W1422" t="s">
        <v>70</v>
      </c>
      <c r="AE1422" t="s">
        <v>478</v>
      </c>
      <c r="AF1422" t="s">
        <v>479</v>
      </c>
      <c r="AL1422" t="s">
        <v>919</v>
      </c>
      <c r="AM1422" t="s">
        <v>919</v>
      </c>
      <c r="AO1422" t="s">
        <v>480</v>
      </c>
      <c r="AP1422" t="s">
        <v>481</v>
      </c>
      <c r="AQ1422" t="s">
        <v>499</v>
      </c>
      <c r="AR1422" t="s">
        <v>482</v>
      </c>
      <c r="BF1422" s="1"/>
      <c r="BH1422" t="s">
        <v>1366</v>
      </c>
      <c r="BP1422" t="s">
        <v>1489</v>
      </c>
    </row>
    <row r="1423" spans="1:68" x14ac:dyDescent="0.25">
      <c r="A1423" t="s">
        <v>5713</v>
      </c>
      <c r="B1423" t="s">
        <v>474</v>
      </c>
      <c r="C1423" t="s">
        <v>4427</v>
      </c>
      <c r="E1423" t="s">
        <v>480</v>
      </c>
      <c r="G1423" s="1" t="s">
        <v>4529</v>
      </c>
      <c r="H1423" t="s">
        <v>498</v>
      </c>
      <c r="J1423">
        <v>500000</v>
      </c>
      <c r="M1423" t="s">
        <v>1417</v>
      </c>
      <c r="P1423" t="s">
        <v>133</v>
      </c>
      <c r="R1423" t="s">
        <v>1966</v>
      </c>
      <c r="S1423" t="s">
        <v>4532</v>
      </c>
      <c r="T1423" t="s">
        <v>4533</v>
      </c>
      <c r="V1423" t="s">
        <v>1365</v>
      </c>
      <c r="W1423" t="s">
        <v>70</v>
      </c>
      <c r="AE1423" t="s">
        <v>478</v>
      </c>
      <c r="AF1423" t="s">
        <v>479</v>
      </c>
      <c r="AL1423" t="s">
        <v>919</v>
      </c>
      <c r="AM1423" t="s">
        <v>919</v>
      </c>
      <c r="AO1423" t="s">
        <v>480</v>
      </c>
      <c r="AP1423" t="s">
        <v>481</v>
      </c>
      <c r="AQ1423" t="s">
        <v>505</v>
      </c>
      <c r="AR1423" t="s">
        <v>482</v>
      </c>
      <c r="BF1423" s="1"/>
      <c r="BH1423" t="s">
        <v>1366</v>
      </c>
      <c r="BP1423" t="s">
        <v>1489</v>
      </c>
    </row>
    <row r="1424" spans="1:68" x14ac:dyDescent="0.25">
      <c r="A1424" t="s">
        <v>5713</v>
      </c>
      <c r="B1424" t="s">
        <v>474</v>
      </c>
      <c r="C1424" t="s">
        <v>4427</v>
      </c>
      <c r="E1424" t="s">
        <v>480</v>
      </c>
      <c r="G1424" s="1" t="s">
        <v>4529</v>
      </c>
      <c r="H1424" t="s">
        <v>517</v>
      </c>
      <c r="J1424">
        <v>500000</v>
      </c>
      <c r="M1424" t="s">
        <v>1430</v>
      </c>
      <c r="P1424" t="s">
        <v>167</v>
      </c>
      <c r="R1424" t="s">
        <v>635</v>
      </c>
      <c r="S1424" t="s">
        <v>4504</v>
      </c>
      <c r="T1424" t="s">
        <v>4505</v>
      </c>
      <c r="V1424" t="s">
        <v>1365</v>
      </c>
      <c r="W1424" t="s">
        <v>70</v>
      </c>
      <c r="AE1424" t="s">
        <v>478</v>
      </c>
      <c r="AF1424" t="s">
        <v>479</v>
      </c>
      <c r="AL1424" t="s">
        <v>919</v>
      </c>
      <c r="AM1424" t="s">
        <v>919</v>
      </c>
      <c r="AO1424" t="s">
        <v>480</v>
      </c>
      <c r="AP1424" t="s">
        <v>481</v>
      </c>
      <c r="AQ1424" t="s">
        <v>759</v>
      </c>
      <c r="AR1424" t="s">
        <v>482</v>
      </c>
      <c r="BF1424" s="1"/>
      <c r="BH1424" t="s">
        <v>1366</v>
      </c>
      <c r="BP1424" t="s">
        <v>1489</v>
      </c>
    </row>
    <row r="1425" spans="1:68" x14ac:dyDescent="0.25">
      <c r="A1425" t="s">
        <v>5713</v>
      </c>
      <c r="B1425" t="s">
        <v>474</v>
      </c>
      <c r="C1425" t="s">
        <v>4427</v>
      </c>
      <c r="E1425" t="s">
        <v>480</v>
      </c>
      <c r="G1425" s="1" t="s">
        <v>4534</v>
      </c>
      <c r="H1425" t="s">
        <v>476</v>
      </c>
      <c r="J1425">
        <v>500000</v>
      </c>
      <c r="M1425" t="s">
        <v>1417</v>
      </c>
      <c r="P1425" t="s">
        <v>133</v>
      </c>
      <c r="R1425" t="s">
        <v>1939</v>
      </c>
      <c r="S1425" t="s">
        <v>4535</v>
      </c>
      <c r="T1425" t="s">
        <v>4536</v>
      </c>
      <c r="V1425" t="s">
        <v>1365</v>
      </c>
      <c r="W1425" t="s">
        <v>70</v>
      </c>
      <c r="AE1425" t="s">
        <v>478</v>
      </c>
      <c r="AF1425" t="s">
        <v>479</v>
      </c>
      <c r="AL1425" t="s">
        <v>919</v>
      </c>
      <c r="AM1425" t="s">
        <v>919</v>
      </c>
      <c r="AO1425" t="s">
        <v>480</v>
      </c>
      <c r="AP1425" t="s">
        <v>481</v>
      </c>
      <c r="AQ1425" t="s">
        <v>505</v>
      </c>
      <c r="AR1425" t="s">
        <v>482</v>
      </c>
      <c r="BF1425" s="1"/>
      <c r="BH1425" t="s">
        <v>1366</v>
      </c>
      <c r="BP1425" t="s">
        <v>1489</v>
      </c>
    </row>
    <row r="1426" spans="1:68" x14ac:dyDescent="0.25">
      <c r="A1426" t="s">
        <v>5713</v>
      </c>
      <c r="B1426" t="s">
        <v>474</v>
      </c>
      <c r="C1426" t="s">
        <v>2319</v>
      </c>
      <c r="E1426" t="s">
        <v>480</v>
      </c>
      <c r="G1426" s="1" t="s">
        <v>4537</v>
      </c>
      <c r="H1426" t="s">
        <v>476</v>
      </c>
      <c r="J1426">
        <v>500000</v>
      </c>
      <c r="M1426" t="s">
        <v>1417</v>
      </c>
      <c r="P1426" t="s">
        <v>121</v>
      </c>
      <c r="R1426" t="s">
        <v>501</v>
      </c>
      <c r="S1426" t="s">
        <v>1404</v>
      </c>
      <c r="T1426" t="s">
        <v>1405</v>
      </c>
      <c r="V1426" t="s">
        <v>1365</v>
      </c>
      <c r="W1426" t="s">
        <v>70</v>
      </c>
      <c r="AE1426" t="s">
        <v>478</v>
      </c>
      <c r="AF1426" t="s">
        <v>479</v>
      </c>
      <c r="AL1426" t="s">
        <v>919</v>
      </c>
      <c r="AM1426" t="s">
        <v>919</v>
      </c>
      <c r="AO1426" t="s">
        <v>480</v>
      </c>
      <c r="AP1426" t="s">
        <v>481</v>
      </c>
      <c r="AQ1426" t="s">
        <v>499</v>
      </c>
      <c r="AR1426" t="s">
        <v>482</v>
      </c>
      <c r="BF1426" s="1"/>
      <c r="BH1426" t="s">
        <v>1366</v>
      </c>
      <c r="BP1426" t="s">
        <v>1489</v>
      </c>
    </row>
    <row r="1427" spans="1:68" x14ac:dyDescent="0.25">
      <c r="A1427" t="s">
        <v>5713</v>
      </c>
      <c r="B1427" t="s">
        <v>474</v>
      </c>
      <c r="C1427" t="s">
        <v>2319</v>
      </c>
      <c r="E1427" t="s">
        <v>480</v>
      </c>
      <c r="G1427" s="1" t="s">
        <v>4538</v>
      </c>
      <c r="H1427" t="s">
        <v>476</v>
      </c>
      <c r="J1427">
        <v>500000</v>
      </c>
      <c r="M1427" t="s">
        <v>1417</v>
      </c>
      <c r="P1427" t="s">
        <v>133</v>
      </c>
      <c r="R1427" t="s">
        <v>501</v>
      </c>
      <c r="S1427" t="s">
        <v>1406</v>
      </c>
      <c r="T1427" t="s">
        <v>1407</v>
      </c>
      <c r="V1427" t="s">
        <v>1365</v>
      </c>
      <c r="W1427" t="s">
        <v>70</v>
      </c>
      <c r="AE1427" t="s">
        <v>478</v>
      </c>
      <c r="AF1427" t="s">
        <v>479</v>
      </c>
      <c r="AL1427" t="s">
        <v>919</v>
      </c>
      <c r="AM1427" t="s">
        <v>919</v>
      </c>
      <c r="AO1427" t="s">
        <v>480</v>
      </c>
      <c r="AP1427" t="s">
        <v>481</v>
      </c>
      <c r="AQ1427" t="s">
        <v>505</v>
      </c>
      <c r="AR1427" t="s">
        <v>482</v>
      </c>
      <c r="BF1427" s="1"/>
      <c r="BH1427" t="s">
        <v>1366</v>
      </c>
      <c r="BP1427" t="s">
        <v>1489</v>
      </c>
    </row>
    <row r="1428" spans="1:68" x14ac:dyDescent="0.25">
      <c r="A1428" t="s">
        <v>5713</v>
      </c>
      <c r="B1428" t="s">
        <v>474</v>
      </c>
      <c r="C1428" t="s">
        <v>2780</v>
      </c>
      <c r="E1428" t="s">
        <v>480</v>
      </c>
      <c r="G1428" s="1" t="s">
        <v>4539</v>
      </c>
      <c r="H1428" t="s">
        <v>476</v>
      </c>
      <c r="J1428">
        <v>500000</v>
      </c>
      <c r="M1428" t="s">
        <v>1425</v>
      </c>
      <c r="P1428" t="s">
        <v>92</v>
      </c>
      <c r="R1428" t="s">
        <v>763</v>
      </c>
      <c r="S1428" t="s">
        <v>4540</v>
      </c>
      <c r="T1428" t="s">
        <v>4541</v>
      </c>
      <c r="V1428" t="s">
        <v>1365</v>
      </c>
      <c r="W1428" t="s">
        <v>235</v>
      </c>
      <c r="AE1428" t="s">
        <v>478</v>
      </c>
      <c r="AF1428" t="s">
        <v>479</v>
      </c>
      <c r="AL1428" t="s">
        <v>919</v>
      </c>
      <c r="AM1428" t="s">
        <v>919</v>
      </c>
      <c r="AO1428" t="s">
        <v>480</v>
      </c>
      <c r="AP1428" t="s">
        <v>481</v>
      </c>
      <c r="AQ1428" t="s">
        <v>713</v>
      </c>
      <c r="AR1428" t="s">
        <v>482</v>
      </c>
      <c r="BF1428" s="1"/>
      <c r="BH1428" t="s">
        <v>1366</v>
      </c>
      <c r="BP1428" t="s">
        <v>1489</v>
      </c>
    </row>
    <row r="1429" spans="1:68" x14ac:dyDescent="0.25">
      <c r="A1429" t="s">
        <v>5713</v>
      </c>
      <c r="B1429" t="s">
        <v>474</v>
      </c>
      <c r="C1429" t="s">
        <v>2780</v>
      </c>
      <c r="E1429" t="s">
        <v>480</v>
      </c>
      <c r="G1429" s="1" t="s">
        <v>4539</v>
      </c>
      <c r="H1429" t="s">
        <v>498</v>
      </c>
      <c r="J1429">
        <v>500000</v>
      </c>
      <c r="M1429" t="s">
        <v>1417</v>
      </c>
      <c r="P1429" t="s">
        <v>143</v>
      </c>
      <c r="R1429" t="s">
        <v>683</v>
      </c>
      <c r="S1429" t="s">
        <v>4542</v>
      </c>
      <c r="T1429" t="s">
        <v>4543</v>
      </c>
      <c r="V1429" t="s">
        <v>1365</v>
      </c>
      <c r="W1429" t="s">
        <v>235</v>
      </c>
      <c r="AE1429" t="s">
        <v>478</v>
      </c>
      <c r="AF1429" t="s">
        <v>479</v>
      </c>
      <c r="AL1429" t="s">
        <v>919</v>
      </c>
      <c r="AM1429" t="s">
        <v>919</v>
      </c>
      <c r="AO1429" t="s">
        <v>480</v>
      </c>
      <c r="AP1429" t="s">
        <v>481</v>
      </c>
      <c r="AQ1429" t="s">
        <v>785</v>
      </c>
      <c r="AR1429" t="s">
        <v>482</v>
      </c>
      <c r="BF1429" s="1"/>
      <c r="BH1429" t="s">
        <v>1366</v>
      </c>
      <c r="BP1429" t="s">
        <v>1489</v>
      </c>
    </row>
    <row r="1430" spans="1:68" x14ac:dyDescent="0.25">
      <c r="A1430" t="s">
        <v>5713</v>
      </c>
      <c r="B1430" t="s">
        <v>474</v>
      </c>
      <c r="C1430" t="s">
        <v>2018</v>
      </c>
      <c r="E1430" t="s">
        <v>480</v>
      </c>
      <c r="G1430" s="1" t="s">
        <v>4544</v>
      </c>
      <c r="H1430" t="s">
        <v>476</v>
      </c>
      <c r="J1430">
        <v>500000</v>
      </c>
      <c r="M1430" t="s">
        <v>1425</v>
      </c>
      <c r="P1430" t="s">
        <v>92</v>
      </c>
      <c r="R1430" t="s">
        <v>764</v>
      </c>
      <c r="S1430" t="s">
        <v>4545</v>
      </c>
      <c r="T1430" t="s">
        <v>4546</v>
      </c>
      <c r="V1430" t="s">
        <v>1365</v>
      </c>
      <c r="W1430" t="s">
        <v>235</v>
      </c>
      <c r="AE1430" t="s">
        <v>478</v>
      </c>
      <c r="AF1430" t="s">
        <v>479</v>
      </c>
      <c r="AL1430" t="s">
        <v>919</v>
      </c>
      <c r="AM1430" t="s">
        <v>919</v>
      </c>
      <c r="AO1430" t="s">
        <v>480</v>
      </c>
      <c r="AP1430" t="s">
        <v>481</v>
      </c>
      <c r="AQ1430" t="s">
        <v>713</v>
      </c>
      <c r="AR1430" t="s">
        <v>482</v>
      </c>
      <c r="BF1430" s="1"/>
      <c r="BH1430" t="s">
        <v>1366</v>
      </c>
      <c r="BP1430" t="s">
        <v>1489</v>
      </c>
    </row>
    <row r="1431" spans="1:68" x14ac:dyDescent="0.25">
      <c r="A1431" t="s">
        <v>5713</v>
      </c>
      <c r="B1431" t="s">
        <v>474</v>
      </c>
      <c r="C1431" t="s">
        <v>2018</v>
      </c>
      <c r="E1431" t="s">
        <v>480</v>
      </c>
      <c r="G1431" s="1" t="s">
        <v>4544</v>
      </c>
      <c r="H1431" t="s">
        <v>498</v>
      </c>
      <c r="J1431">
        <v>500000</v>
      </c>
      <c r="M1431" t="s">
        <v>1414</v>
      </c>
      <c r="P1431" t="s">
        <v>117</v>
      </c>
      <c r="R1431" t="s">
        <v>668</v>
      </c>
      <c r="S1431" t="s">
        <v>4547</v>
      </c>
      <c r="T1431" t="s">
        <v>4548</v>
      </c>
      <c r="V1431" t="s">
        <v>1365</v>
      </c>
      <c r="W1431" t="s">
        <v>235</v>
      </c>
      <c r="AE1431" t="s">
        <v>478</v>
      </c>
      <c r="AF1431" t="s">
        <v>479</v>
      </c>
      <c r="AL1431" t="s">
        <v>919</v>
      </c>
      <c r="AM1431" t="s">
        <v>919</v>
      </c>
      <c r="AO1431" t="s">
        <v>480</v>
      </c>
      <c r="AP1431" t="s">
        <v>481</v>
      </c>
      <c r="AQ1431" t="s">
        <v>718</v>
      </c>
      <c r="AR1431" t="s">
        <v>482</v>
      </c>
      <c r="BF1431" s="1"/>
      <c r="BH1431" t="s">
        <v>1366</v>
      </c>
      <c r="BP1431" t="s">
        <v>1489</v>
      </c>
    </row>
    <row r="1432" spans="1:68" x14ac:dyDescent="0.25">
      <c r="A1432" t="s">
        <v>5713</v>
      </c>
      <c r="B1432" t="s">
        <v>474</v>
      </c>
      <c r="C1432" t="s">
        <v>2018</v>
      </c>
      <c r="E1432" t="s">
        <v>480</v>
      </c>
      <c r="G1432" s="1" t="s">
        <v>4544</v>
      </c>
      <c r="H1432" t="s">
        <v>517</v>
      </c>
      <c r="J1432">
        <v>500000</v>
      </c>
      <c r="M1432" t="s">
        <v>1424</v>
      </c>
      <c r="P1432" t="s">
        <v>100</v>
      </c>
      <c r="R1432" t="s">
        <v>883</v>
      </c>
      <c r="S1432" t="s">
        <v>1402</v>
      </c>
      <c r="T1432" t="s">
        <v>1403</v>
      </c>
      <c r="V1432" t="s">
        <v>1365</v>
      </c>
      <c r="W1432" t="s">
        <v>235</v>
      </c>
      <c r="AE1432" t="s">
        <v>478</v>
      </c>
      <c r="AF1432" t="s">
        <v>479</v>
      </c>
      <c r="AL1432" t="s">
        <v>919</v>
      </c>
      <c r="AM1432" t="s">
        <v>919</v>
      </c>
      <c r="AO1432" t="s">
        <v>480</v>
      </c>
      <c r="AP1432" t="s">
        <v>481</v>
      </c>
      <c r="AQ1432" t="s">
        <v>709</v>
      </c>
      <c r="AR1432" t="s">
        <v>482</v>
      </c>
      <c r="BF1432" s="1"/>
      <c r="BH1432" t="s">
        <v>1366</v>
      </c>
      <c r="BP1432" t="s">
        <v>1489</v>
      </c>
    </row>
    <row r="1433" spans="1:68" x14ac:dyDescent="0.25">
      <c r="A1433" t="s">
        <v>5713</v>
      </c>
      <c r="B1433" t="s">
        <v>474</v>
      </c>
      <c r="C1433" t="s">
        <v>2018</v>
      </c>
      <c r="E1433" t="s">
        <v>480</v>
      </c>
      <c r="G1433" s="1" t="s">
        <v>4544</v>
      </c>
      <c r="H1433" t="s">
        <v>542</v>
      </c>
      <c r="J1433">
        <v>500000</v>
      </c>
      <c r="M1433" t="s">
        <v>1424</v>
      </c>
      <c r="P1433" t="s">
        <v>122</v>
      </c>
      <c r="R1433" t="s">
        <v>488</v>
      </c>
      <c r="S1433" t="s">
        <v>4549</v>
      </c>
      <c r="T1433" t="s">
        <v>4550</v>
      </c>
      <c r="V1433" t="s">
        <v>1365</v>
      </c>
      <c r="W1433" t="s">
        <v>235</v>
      </c>
      <c r="AE1433" t="s">
        <v>478</v>
      </c>
      <c r="AF1433" t="s">
        <v>479</v>
      </c>
      <c r="AL1433" t="s">
        <v>919</v>
      </c>
      <c r="AM1433" t="s">
        <v>919</v>
      </c>
      <c r="AO1433" t="s">
        <v>480</v>
      </c>
      <c r="AP1433" t="s">
        <v>481</v>
      </c>
      <c r="AQ1433" t="s">
        <v>721</v>
      </c>
      <c r="AR1433" t="s">
        <v>482</v>
      </c>
      <c r="BF1433" s="1"/>
      <c r="BH1433" t="s">
        <v>1366</v>
      </c>
      <c r="BP1433" t="s">
        <v>1489</v>
      </c>
    </row>
    <row r="1434" spans="1:68" x14ac:dyDescent="0.25">
      <c r="A1434" t="s">
        <v>5713</v>
      </c>
      <c r="B1434" t="s">
        <v>474</v>
      </c>
      <c r="C1434" t="s">
        <v>2088</v>
      </c>
      <c r="E1434" t="s">
        <v>480</v>
      </c>
      <c r="G1434" s="1" t="s">
        <v>4551</v>
      </c>
      <c r="H1434" t="s">
        <v>476</v>
      </c>
      <c r="J1434">
        <v>500000</v>
      </c>
      <c r="M1434" t="s">
        <v>1424</v>
      </c>
      <c r="P1434" t="s">
        <v>438</v>
      </c>
      <c r="R1434" t="s">
        <v>2315</v>
      </c>
      <c r="S1434" t="s">
        <v>4552</v>
      </c>
      <c r="T1434" t="s">
        <v>4553</v>
      </c>
      <c r="V1434" t="s">
        <v>1365</v>
      </c>
      <c r="W1434" t="s">
        <v>235</v>
      </c>
      <c r="AE1434" t="s">
        <v>478</v>
      </c>
      <c r="AF1434" t="s">
        <v>479</v>
      </c>
      <c r="AL1434" t="s">
        <v>919</v>
      </c>
      <c r="AM1434" t="s">
        <v>919</v>
      </c>
      <c r="AO1434" t="s">
        <v>480</v>
      </c>
      <c r="AP1434" t="s">
        <v>481</v>
      </c>
      <c r="AQ1434" t="s">
        <v>1523</v>
      </c>
      <c r="AR1434" t="s">
        <v>482</v>
      </c>
      <c r="BF1434" s="1"/>
      <c r="BH1434" t="s">
        <v>1366</v>
      </c>
      <c r="BP1434" t="s">
        <v>1489</v>
      </c>
    </row>
    <row r="1435" spans="1:68" x14ac:dyDescent="0.25">
      <c r="A1435" t="s">
        <v>5713</v>
      </c>
      <c r="B1435" t="s">
        <v>474</v>
      </c>
      <c r="C1435" t="s">
        <v>2088</v>
      </c>
      <c r="E1435" t="s">
        <v>480</v>
      </c>
      <c r="G1435" s="1" t="s">
        <v>4554</v>
      </c>
      <c r="H1435" t="s">
        <v>476</v>
      </c>
      <c r="J1435">
        <v>500000</v>
      </c>
      <c r="M1435" t="s">
        <v>1419</v>
      </c>
      <c r="P1435" t="s">
        <v>329</v>
      </c>
      <c r="R1435" t="s">
        <v>543</v>
      </c>
      <c r="S1435" t="s">
        <v>4555</v>
      </c>
      <c r="T1435" t="s">
        <v>4556</v>
      </c>
      <c r="V1435" t="s">
        <v>1365</v>
      </c>
      <c r="W1435" t="s">
        <v>70</v>
      </c>
      <c r="AE1435" t="s">
        <v>478</v>
      </c>
      <c r="AF1435" t="s">
        <v>479</v>
      </c>
      <c r="AL1435" t="s">
        <v>919</v>
      </c>
      <c r="AM1435" t="s">
        <v>919</v>
      </c>
      <c r="AO1435" t="s">
        <v>480</v>
      </c>
      <c r="AP1435" t="s">
        <v>481</v>
      </c>
      <c r="AQ1435" t="s">
        <v>2338</v>
      </c>
      <c r="AR1435" t="s">
        <v>482</v>
      </c>
      <c r="BF1435" s="1"/>
      <c r="BH1435" t="s">
        <v>1366</v>
      </c>
      <c r="BP1435" t="s">
        <v>1489</v>
      </c>
    </row>
    <row r="1436" spans="1:68" x14ac:dyDescent="0.25">
      <c r="A1436" t="s">
        <v>5713</v>
      </c>
      <c r="B1436" t="s">
        <v>474</v>
      </c>
      <c r="C1436" t="s">
        <v>2088</v>
      </c>
      <c r="E1436" t="s">
        <v>480</v>
      </c>
      <c r="G1436" s="1" t="s">
        <v>4554</v>
      </c>
      <c r="H1436" t="s">
        <v>498</v>
      </c>
      <c r="J1436">
        <v>500000</v>
      </c>
      <c r="M1436" t="s">
        <v>1429</v>
      </c>
      <c r="P1436" t="s">
        <v>320</v>
      </c>
      <c r="R1436" t="s">
        <v>739</v>
      </c>
      <c r="S1436" t="s">
        <v>4557</v>
      </c>
      <c r="T1436" t="s">
        <v>4558</v>
      </c>
      <c r="V1436" t="s">
        <v>1365</v>
      </c>
      <c r="W1436" t="s">
        <v>70</v>
      </c>
      <c r="AE1436" t="s">
        <v>478</v>
      </c>
      <c r="AF1436" t="s">
        <v>479</v>
      </c>
      <c r="AL1436" t="s">
        <v>919</v>
      </c>
      <c r="AM1436" t="s">
        <v>919</v>
      </c>
      <c r="AO1436" t="s">
        <v>480</v>
      </c>
      <c r="AP1436" t="s">
        <v>481</v>
      </c>
      <c r="AQ1436" t="s">
        <v>2341</v>
      </c>
      <c r="AR1436" t="s">
        <v>482</v>
      </c>
      <c r="BF1436" s="1"/>
      <c r="BH1436" t="s">
        <v>1366</v>
      </c>
      <c r="BP1436" t="s">
        <v>1489</v>
      </c>
    </row>
    <row r="1437" spans="1:68" x14ac:dyDescent="0.25">
      <c r="A1437" t="s">
        <v>5713</v>
      </c>
      <c r="B1437" t="s">
        <v>474</v>
      </c>
      <c r="C1437" t="s">
        <v>2018</v>
      </c>
      <c r="E1437" t="s">
        <v>480</v>
      </c>
      <c r="G1437" s="1" t="s">
        <v>4559</v>
      </c>
      <c r="H1437" t="s">
        <v>476</v>
      </c>
      <c r="J1437">
        <v>500000</v>
      </c>
      <c r="M1437" t="s">
        <v>1420</v>
      </c>
      <c r="P1437" t="s">
        <v>103</v>
      </c>
      <c r="R1437" t="s">
        <v>529</v>
      </c>
      <c r="S1437" t="s">
        <v>4560</v>
      </c>
      <c r="T1437" t="s">
        <v>4561</v>
      </c>
      <c r="V1437" t="s">
        <v>1365</v>
      </c>
      <c r="W1437" t="s">
        <v>73</v>
      </c>
      <c r="AE1437" t="s">
        <v>478</v>
      </c>
      <c r="AF1437" t="s">
        <v>479</v>
      </c>
      <c r="AL1437" t="s">
        <v>919</v>
      </c>
      <c r="AM1437" t="s">
        <v>919</v>
      </c>
      <c r="AO1437" t="s">
        <v>480</v>
      </c>
      <c r="AP1437" t="s">
        <v>481</v>
      </c>
      <c r="AQ1437" t="s">
        <v>545</v>
      </c>
      <c r="AR1437" t="s">
        <v>482</v>
      </c>
      <c r="BF1437" s="1"/>
      <c r="BH1437" t="s">
        <v>1366</v>
      </c>
      <c r="BP1437" t="s">
        <v>1489</v>
      </c>
    </row>
    <row r="1438" spans="1:68" x14ac:dyDescent="0.25">
      <c r="A1438" t="s">
        <v>5713</v>
      </c>
      <c r="B1438" t="s">
        <v>474</v>
      </c>
      <c r="C1438" t="s">
        <v>2018</v>
      </c>
      <c r="E1438" t="s">
        <v>480</v>
      </c>
      <c r="G1438" s="1" t="s">
        <v>4559</v>
      </c>
      <c r="H1438" t="s">
        <v>498</v>
      </c>
      <c r="J1438">
        <v>500000</v>
      </c>
      <c r="M1438" t="s">
        <v>1426</v>
      </c>
      <c r="P1438" t="s">
        <v>155</v>
      </c>
      <c r="R1438" t="s">
        <v>557</v>
      </c>
      <c r="S1438" t="s">
        <v>4306</v>
      </c>
      <c r="T1438" t="s">
        <v>4307</v>
      </c>
      <c r="V1438" t="s">
        <v>1365</v>
      </c>
      <c r="W1438" t="s">
        <v>73</v>
      </c>
      <c r="AE1438" t="s">
        <v>478</v>
      </c>
      <c r="AF1438" t="s">
        <v>479</v>
      </c>
      <c r="AL1438" t="s">
        <v>919</v>
      </c>
      <c r="AM1438" t="s">
        <v>919</v>
      </c>
      <c r="AO1438" t="s">
        <v>480</v>
      </c>
      <c r="AP1438" t="s">
        <v>481</v>
      </c>
      <c r="AQ1438" t="s">
        <v>610</v>
      </c>
      <c r="AR1438" t="s">
        <v>482</v>
      </c>
      <c r="BF1438" s="1"/>
      <c r="BH1438" t="s">
        <v>1366</v>
      </c>
      <c r="BP1438" t="s">
        <v>1489</v>
      </c>
    </row>
    <row r="1439" spans="1:68" x14ac:dyDescent="0.25">
      <c r="A1439" t="s">
        <v>5713</v>
      </c>
      <c r="B1439" t="s">
        <v>474</v>
      </c>
      <c r="C1439" t="s">
        <v>2018</v>
      </c>
      <c r="E1439" t="s">
        <v>480</v>
      </c>
      <c r="G1439" s="1" t="s">
        <v>4559</v>
      </c>
      <c r="H1439" t="s">
        <v>517</v>
      </c>
      <c r="J1439">
        <v>500000</v>
      </c>
      <c r="M1439" t="s">
        <v>1427</v>
      </c>
      <c r="P1439" t="s">
        <v>104</v>
      </c>
      <c r="R1439" t="s">
        <v>753</v>
      </c>
      <c r="S1439" t="s">
        <v>4562</v>
      </c>
      <c r="T1439" t="s">
        <v>4563</v>
      </c>
      <c r="V1439" t="s">
        <v>1365</v>
      </c>
      <c r="W1439" t="s">
        <v>73</v>
      </c>
      <c r="AE1439" t="s">
        <v>478</v>
      </c>
      <c r="AF1439" t="s">
        <v>479</v>
      </c>
      <c r="AL1439" t="s">
        <v>919</v>
      </c>
      <c r="AM1439" t="s">
        <v>919</v>
      </c>
      <c r="AO1439" t="s">
        <v>480</v>
      </c>
      <c r="AP1439" t="s">
        <v>481</v>
      </c>
      <c r="AQ1439" t="s">
        <v>637</v>
      </c>
      <c r="AR1439" t="s">
        <v>482</v>
      </c>
      <c r="BF1439" s="1"/>
      <c r="BH1439" t="s">
        <v>1366</v>
      </c>
      <c r="BP1439" t="s">
        <v>1489</v>
      </c>
    </row>
    <row r="1440" spans="1:68" x14ac:dyDescent="0.25">
      <c r="A1440" t="s">
        <v>5713</v>
      </c>
      <c r="B1440" t="s">
        <v>474</v>
      </c>
      <c r="C1440" t="s">
        <v>2018</v>
      </c>
      <c r="E1440" t="s">
        <v>480</v>
      </c>
      <c r="G1440" s="1" t="s">
        <v>4559</v>
      </c>
      <c r="H1440" t="s">
        <v>542</v>
      </c>
      <c r="J1440">
        <v>500000</v>
      </c>
      <c r="M1440" t="s">
        <v>1423</v>
      </c>
      <c r="P1440" t="s">
        <v>140</v>
      </c>
      <c r="R1440" t="s">
        <v>1841</v>
      </c>
      <c r="S1440" t="s">
        <v>4564</v>
      </c>
      <c r="T1440" t="s">
        <v>4565</v>
      </c>
      <c r="V1440" t="s">
        <v>1365</v>
      </c>
      <c r="W1440" t="s">
        <v>73</v>
      </c>
      <c r="AE1440" t="s">
        <v>478</v>
      </c>
      <c r="AF1440" t="s">
        <v>479</v>
      </c>
      <c r="AL1440" t="s">
        <v>919</v>
      </c>
      <c r="AM1440" t="s">
        <v>919</v>
      </c>
      <c r="AO1440" t="s">
        <v>480</v>
      </c>
      <c r="AP1440" t="s">
        <v>481</v>
      </c>
      <c r="AQ1440" t="s">
        <v>681</v>
      </c>
      <c r="AR1440" t="s">
        <v>482</v>
      </c>
      <c r="BF1440" s="1"/>
      <c r="BH1440" t="s">
        <v>1366</v>
      </c>
      <c r="BP1440" t="s">
        <v>1489</v>
      </c>
    </row>
    <row r="1441" spans="1:68" x14ac:dyDescent="0.25">
      <c r="A1441" t="s">
        <v>5713</v>
      </c>
      <c r="B1441" t="s">
        <v>474</v>
      </c>
      <c r="C1441" t="s">
        <v>2018</v>
      </c>
      <c r="E1441" t="s">
        <v>480</v>
      </c>
      <c r="G1441" s="1" t="s">
        <v>4566</v>
      </c>
      <c r="H1441" t="s">
        <v>476</v>
      </c>
      <c r="J1441">
        <v>500000</v>
      </c>
      <c r="M1441" t="s">
        <v>1420</v>
      </c>
      <c r="P1441" t="s">
        <v>78</v>
      </c>
      <c r="R1441" t="s">
        <v>640</v>
      </c>
      <c r="S1441" t="s">
        <v>4567</v>
      </c>
      <c r="T1441" t="s">
        <v>4568</v>
      </c>
      <c r="V1441" t="s">
        <v>1365</v>
      </c>
      <c r="W1441" t="s">
        <v>73</v>
      </c>
      <c r="AE1441" t="s">
        <v>478</v>
      </c>
      <c r="AF1441" t="s">
        <v>479</v>
      </c>
      <c r="AL1441" t="s">
        <v>919</v>
      </c>
      <c r="AM1441" t="s">
        <v>919</v>
      </c>
      <c r="AO1441" t="s">
        <v>480</v>
      </c>
      <c r="AP1441" t="s">
        <v>481</v>
      </c>
      <c r="AQ1441" t="s">
        <v>631</v>
      </c>
      <c r="AR1441" t="s">
        <v>482</v>
      </c>
      <c r="BF1441" s="1"/>
      <c r="BH1441" t="s">
        <v>1366</v>
      </c>
      <c r="BP1441" t="s">
        <v>1489</v>
      </c>
    </row>
    <row r="1442" spans="1:68" x14ac:dyDescent="0.25">
      <c r="A1442" t="s">
        <v>5713</v>
      </c>
      <c r="B1442" t="s">
        <v>474</v>
      </c>
      <c r="C1442" t="s">
        <v>2018</v>
      </c>
      <c r="E1442" t="s">
        <v>480</v>
      </c>
      <c r="G1442" s="1" t="s">
        <v>4566</v>
      </c>
      <c r="H1442" t="s">
        <v>498</v>
      </c>
      <c r="J1442">
        <v>500000</v>
      </c>
      <c r="M1442" t="s">
        <v>1431</v>
      </c>
      <c r="P1442" t="s">
        <v>72</v>
      </c>
      <c r="R1442" t="s">
        <v>728</v>
      </c>
      <c r="S1442" t="s">
        <v>4569</v>
      </c>
      <c r="T1442" t="s">
        <v>4570</v>
      </c>
      <c r="V1442" t="s">
        <v>1365</v>
      </c>
      <c r="W1442" t="s">
        <v>73</v>
      </c>
      <c r="AE1442" t="s">
        <v>478</v>
      </c>
      <c r="AF1442" t="s">
        <v>479</v>
      </c>
      <c r="AL1442" t="s">
        <v>919</v>
      </c>
      <c r="AM1442" t="s">
        <v>919</v>
      </c>
      <c r="AO1442" t="s">
        <v>480</v>
      </c>
      <c r="AP1442" t="s">
        <v>481</v>
      </c>
      <c r="AQ1442" t="s">
        <v>757</v>
      </c>
      <c r="AR1442" t="s">
        <v>482</v>
      </c>
      <c r="BF1442" s="1"/>
      <c r="BH1442" t="s">
        <v>1366</v>
      </c>
      <c r="BP1442" t="s">
        <v>1489</v>
      </c>
    </row>
    <row r="1443" spans="1:68" x14ac:dyDescent="0.25">
      <c r="A1443" t="s">
        <v>5713</v>
      </c>
      <c r="B1443" t="s">
        <v>474</v>
      </c>
      <c r="C1443" t="s">
        <v>2066</v>
      </c>
      <c r="E1443" t="s">
        <v>480</v>
      </c>
      <c r="G1443" s="1" t="s">
        <v>4571</v>
      </c>
      <c r="H1443" t="s">
        <v>476</v>
      </c>
      <c r="J1443">
        <v>500000</v>
      </c>
      <c r="M1443" t="s">
        <v>1420</v>
      </c>
      <c r="P1443" t="s">
        <v>105</v>
      </c>
      <c r="R1443" t="s">
        <v>739</v>
      </c>
      <c r="S1443" t="s">
        <v>4572</v>
      </c>
      <c r="T1443" t="s">
        <v>4573</v>
      </c>
      <c r="V1443" t="s">
        <v>1365</v>
      </c>
      <c r="W1443" t="s">
        <v>73</v>
      </c>
      <c r="AE1443" t="s">
        <v>478</v>
      </c>
      <c r="AF1443" t="s">
        <v>479</v>
      </c>
      <c r="AL1443" t="s">
        <v>919</v>
      </c>
      <c r="AM1443" t="s">
        <v>919</v>
      </c>
      <c r="AO1443" t="s">
        <v>480</v>
      </c>
      <c r="AP1443" t="s">
        <v>481</v>
      </c>
      <c r="AQ1443" t="s">
        <v>607</v>
      </c>
      <c r="AR1443" t="s">
        <v>482</v>
      </c>
      <c r="BF1443" s="1"/>
      <c r="BH1443" t="s">
        <v>1366</v>
      </c>
      <c r="BP1443" t="s">
        <v>1489</v>
      </c>
    </row>
    <row r="1444" spans="1:68" x14ac:dyDescent="0.25">
      <c r="A1444" t="s">
        <v>5713</v>
      </c>
      <c r="B1444" t="s">
        <v>474</v>
      </c>
      <c r="C1444" t="s">
        <v>2066</v>
      </c>
      <c r="E1444" t="s">
        <v>480</v>
      </c>
      <c r="G1444" s="1" t="s">
        <v>4571</v>
      </c>
      <c r="H1444" t="s">
        <v>498</v>
      </c>
      <c r="J1444">
        <v>500000</v>
      </c>
      <c r="M1444" t="s">
        <v>1415</v>
      </c>
      <c r="P1444" t="s">
        <v>87</v>
      </c>
      <c r="R1444" t="s">
        <v>579</v>
      </c>
      <c r="S1444" t="s">
        <v>4574</v>
      </c>
      <c r="T1444" t="s">
        <v>4575</v>
      </c>
      <c r="V1444" t="s">
        <v>1365</v>
      </c>
      <c r="W1444" t="s">
        <v>73</v>
      </c>
      <c r="AE1444" t="s">
        <v>478</v>
      </c>
      <c r="AF1444" t="s">
        <v>479</v>
      </c>
      <c r="AL1444" t="s">
        <v>919</v>
      </c>
      <c r="AM1444" t="s">
        <v>919</v>
      </c>
      <c r="AO1444" t="s">
        <v>480</v>
      </c>
      <c r="AP1444" t="s">
        <v>481</v>
      </c>
      <c r="AQ1444" t="s">
        <v>552</v>
      </c>
      <c r="AR1444" t="s">
        <v>482</v>
      </c>
      <c r="BF1444" s="1"/>
      <c r="BH1444" t="s">
        <v>1366</v>
      </c>
      <c r="BP1444" t="s">
        <v>1489</v>
      </c>
    </row>
    <row r="1445" spans="1:68" x14ac:dyDescent="0.25">
      <c r="A1445" t="s">
        <v>5713</v>
      </c>
      <c r="B1445" t="s">
        <v>474</v>
      </c>
      <c r="C1445" t="s">
        <v>2066</v>
      </c>
      <c r="E1445" t="s">
        <v>480</v>
      </c>
      <c r="G1445" s="1" t="s">
        <v>4571</v>
      </c>
      <c r="H1445" t="s">
        <v>517</v>
      </c>
      <c r="J1445">
        <v>500000</v>
      </c>
      <c r="M1445" t="s">
        <v>1427</v>
      </c>
      <c r="P1445" t="s">
        <v>104</v>
      </c>
      <c r="R1445" t="s">
        <v>605</v>
      </c>
      <c r="S1445" t="s">
        <v>4576</v>
      </c>
      <c r="T1445" t="s">
        <v>4577</v>
      </c>
      <c r="V1445" t="s">
        <v>1365</v>
      </c>
      <c r="W1445" t="s">
        <v>73</v>
      </c>
      <c r="AE1445" t="s">
        <v>478</v>
      </c>
      <c r="AF1445" t="s">
        <v>479</v>
      </c>
      <c r="AL1445" t="s">
        <v>919</v>
      </c>
      <c r="AM1445" t="s">
        <v>919</v>
      </c>
      <c r="AO1445" t="s">
        <v>480</v>
      </c>
      <c r="AP1445" t="s">
        <v>481</v>
      </c>
      <c r="AQ1445" t="s">
        <v>637</v>
      </c>
      <c r="AR1445" t="s">
        <v>482</v>
      </c>
      <c r="BF1445" s="1"/>
      <c r="BH1445" t="s">
        <v>1366</v>
      </c>
      <c r="BP1445" t="s">
        <v>1489</v>
      </c>
    </row>
    <row r="1446" spans="1:68" x14ac:dyDescent="0.25">
      <c r="A1446" t="s">
        <v>5713</v>
      </c>
      <c r="B1446" t="s">
        <v>474</v>
      </c>
      <c r="C1446" t="s">
        <v>2066</v>
      </c>
      <c r="E1446" t="s">
        <v>480</v>
      </c>
      <c r="G1446" s="1" t="s">
        <v>4571</v>
      </c>
      <c r="H1446" t="s">
        <v>542</v>
      </c>
      <c r="J1446">
        <v>500000</v>
      </c>
      <c r="M1446" t="s">
        <v>1420</v>
      </c>
      <c r="P1446" t="s">
        <v>109</v>
      </c>
      <c r="R1446" t="s">
        <v>543</v>
      </c>
      <c r="S1446" t="s">
        <v>4578</v>
      </c>
      <c r="T1446" t="s">
        <v>4579</v>
      </c>
      <c r="V1446" t="s">
        <v>1365</v>
      </c>
      <c r="W1446" t="s">
        <v>73</v>
      </c>
      <c r="AE1446" t="s">
        <v>478</v>
      </c>
      <c r="AF1446" t="s">
        <v>479</v>
      </c>
      <c r="AL1446" t="s">
        <v>919</v>
      </c>
      <c r="AM1446" t="s">
        <v>919</v>
      </c>
      <c r="AO1446" t="s">
        <v>480</v>
      </c>
      <c r="AP1446" t="s">
        <v>481</v>
      </c>
      <c r="AQ1446" t="s">
        <v>536</v>
      </c>
      <c r="AR1446" t="s">
        <v>482</v>
      </c>
      <c r="BF1446" s="1"/>
      <c r="BH1446" t="s">
        <v>1366</v>
      </c>
      <c r="BP1446" t="s">
        <v>1489</v>
      </c>
    </row>
    <row r="1447" spans="1:68" x14ac:dyDescent="0.25">
      <c r="A1447" t="s">
        <v>5713</v>
      </c>
      <c r="B1447" t="s">
        <v>474</v>
      </c>
      <c r="C1447" t="s">
        <v>2342</v>
      </c>
      <c r="E1447" t="s">
        <v>480</v>
      </c>
      <c r="G1447" s="1" t="s">
        <v>4580</v>
      </c>
      <c r="H1447" t="s">
        <v>476</v>
      </c>
      <c r="J1447">
        <v>500000</v>
      </c>
      <c r="M1447" t="s">
        <v>1415</v>
      </c>
      <c r="P1447" t="s">
        <v>87</v>
      </c>
      <c r="R1447" t="s">
        <v>543</v>
      </c>
      <c r="S1447" t="s">
        <v>4581</v>
      </c>
      <c r="T1447" t="s">
        <v>4582</v>
      </c>
      <c r="V1447" t="s">
        <v>1365</v>
      </c>
      <c r="W1447" t="s">
        <v>73</v>
      </c>
      <c r="AE1447" t="s">
        <v>478</v>
      </c>
      <c r="AF1447" t="s">
        <v>479</v>
      </c>
      <c r="AL1447" t="s">
        <v>919</v>
      </c>
      <c r="AM1447" t="s">
        <v>919</v>
      </c>
      <c r="AO1447" t="s">
        <v>480</v>
      </c>
      <c r="AP1447" t="s">
        <v>481</v>
      </c>
      <c r="AQ1447" t="s">
        <v>552</v>
      </c>
      <c r="AR1447" t="s">
        <v>482</v>
      </c>
      <c r="BF1447" s="1"/>
      <c r="BH1447" t="s">
        <v>1366</v>
      </c>
      <c r="BP1447" t="s">
        <v>1489</v>
      </c>
    </row>
    <row r="1448" spans="1:68" x14ac:dyDescent="0.25">
      <c r="A1448" t="s">
        <v>5713</v>
      </c>
      <c r="B1448" t="s">
        <v>474</v>
      </c>
      <c r="C1448" t="s">
        <v>2342</v>
      </c>
      <c r="E1448" t="s">
        <v>480</v>
      </c>
      <c r="G1448" s="1" t="s">
        <v>4583</v>
      </c>
      <c r="H1448" t="s">
        <v>476</v>
      </c>
      <c r="J1448">
        <v>500000</v>
      </c>
      <c r="M1448" t="s">
        <v>1420</v>
      </c>
      <c r="P1448" t="s">
        <v>109</v>
      </c>
      <c r="R1448" t="s">
        <v>590</v>
      </c>
      <c r="S1448" t="s">
        <v>4584</v>
      </c>
      <c r="T1448" t="s">
        <v>4585</v>
      </c>
      <c r="V1448" t="s">
        <v>1365</v>
      </c>
      <c r="W1448" t="s">
        <v>73</v>
      </c>
      <c r="AE1448" t="s">
        <v>478</v>
      </c>
      <c r="AF1448" t="s">
        <v>479</v>
      </c>
      <c r="AL1448" t="s">
        <v>919</v>
      </c>
      <c r="AM1448" t="s">
        <v>919</v>
      </c>
      <c r="AO1448" t="s">
        <v>480</v>
      </c>
      <c r="AP1448" t="s">
        <v>481</v>
      </c>
      <c r="AQ1448" t="s">
        <v>536</v>
      </c>
      <c r="AR1448" t="s">
        <v>482</v>
      </c>
      <c r="BF1448" s="1"/>
      <c r="BH1448" t="s">
        <v>1366</v>
      </c>
      <c r="BP1448" t="s">
        <v>1489</v>
      </c>
    </row>
    <row r="1449" spans="1:68" x14ac:dyDescent="0.25">
      <c r="A1449" t="s">
        <v>5713</v>
      </c>
      <c r="B1449" t="s">
        <v>474</v>
      </c>
      <c r="C1449" t="s">
        <v>2342</v>
      </c>
      <c r="E1449" t="s">
        <v>480</v>
      </c>
      <c r="G1449" s="1" t="s">
        <v>4586</v>
      </c>
      <c r="H1449" t="s">
        <v>476</v>
      </c>
      <c r="J1449">
        <v>500000</v>
      </c>
      <c r="M1449" t="s">
        <v>1420</v>
      </c>
      <c r="P1449" t="s">
        <v>105</v>
      </c>
      <c r="R1449" t="s">
        <v>605</v>
      </c>
      <c r="S1449" t="s">
        <v>4382</v>
      </c>
      <c r="T1449" t="s">
        <v>4383</v>
      </c>
      <c r="V1449" t="s">
        <v>1365</v>
      </c>
      <c r="W1449" t="s">
        <v>73</v>
      </c>
      <c r="AE1449" t="s">
        <v>478</v>
      </c>
      <c r="AF1449" t="s">
        <v>479</v>
      </c>
      <c r="AL1449" t="s">
        <v>919</v>
      </c>
      <c r="AM1449" t="s">
        <v>919</v>
      </c>
      <c r="AO1449" t="s">
        <v>480</v>
      </c>
      <c r="AP1449" t="s">
        <v>481</v>
      </c>
      <c r="AQ1449" t="s">
        <v>607</v>
      </c>
      <c r="AR1449" t="s">
        <v>482</v>
      </c>
      <c r="BF1449" s="1"/>
      <c r="BH1449" t="s">
        <v>1366</v>
      </c>
      <c r="BP1449" t="s">
        <v>1489</v>
      </c>
    </row>
    <row r="1450" spans="1:68" x14ac:dyDescent="0.25">
      <c r="A1450" t="s">
        <v>5713</v>
      </c>
      <c r="B1450" t="s">
        <v>474</v>
      </c>
      <c r="C1450" t="s">
        <v>2342</v>
      </c>
      <c r="E1450" t="s">
        <v>480</v>
      </c>
      <c r="G1450" s="1" t="s">
        <v>4586</v>
      </c>
      <c r="H1450" t="s">
        <v>498</v>
      </c>
      <c r="J1450">
        <v>500000</v>
      </c>
      <c r="M1450" t="s">
        <v>1416</v>
      </c>
      <c r="P1450" t="s">
        <v>81</v>
      </c>
      <c r="R1450" t="s">
        <v>1851</v>
      </c>
      <c r="S1450" t="s">
        <v>4587</v>
      </c>
      <c r="T1450" t="s">
        <v>4588</v>
      </c>
      <c r="V1450" t="s">
        <v>1365</v>
      </c>
      <c r="W1450" t="s">
        <v>73</v>
      </c>
      <c r="AE1450" t="s">
        <v>478</v>
      </c>
      <c r="AF1450" t="s">
        <v>479</v>
      </c>
      <c r="AL1450" t="s">
        <v>919</v>
      </c>
      <c r="AM1450" t="s">
        <v>919</v>
      </c>
      <c r="AO1450" t="s">
        <v>480</v>
      </c>
      <c r="AP1450" t="s">
        <v>481</v>
      </c>
      <c r="AQ1450" t="s">
        <v>805</v>
      </c>
      <c r="AR1450" t="s">
        <v>482</v>
      </c>
      <c r="BF1450" s="1"/>
      <c r="BH1450" t="s">
        <v>1366</v>
      </c>
      <c r="BP1450" t="s">
        <v>1489</v>
      </c>
    </row>
    <row r="1451" spans="1:68" x14ac:dyDescent="0.25">
      <c r="A1451" t="s">
        <v>5713</v>
      </c>
      <c r="B1451" t="s">
        <v>474</v>
      </c>
      <c r="C1451" t="s">
        <v>2342</v>
      </c>
      <c r="E1451" t="s">
        <v>480</v>
      </c>
      <c r="G1451" s="1" t="s">
        <v>4586</v>
      </c>
      <c r="H1451" t="s">
        <v>517</v>
      </c>
      <c r="J1451">
        <v>500000</v>
      </c>
      <c r="M1451" t="s">
        <v>1427</v>
      </c>
      <c r="P1451" t="s">
        <v>104</v>
      </c>
      <c r="R1451" t="s">
        <v>763</v>
      </c>
      <c r="S1451" t="s">
        <v>4589</v>
      </c>
      <c r="T1451" t="s">
        <v>4590</v>
      </c>
      <c r="V1451" t="s">
        <v>1365</v>
      </c>
      <c r="W1451" t="s">
        <v>73</v>
      </c>
      <c r="AE1451" t="s">
        <v>478</v>
      </c>
      <c r="AF1451" t="s">
        <v>479</v>
      </c>
      <c r="AL1451" t="s">
        <v>919</v>
      </c>
      <c r="AM1451" t="s">
        <v>919</v>
      </c>
      <c r="AO1451" t="s">
        <v>480</v>
      </c>
      <c r="AP1451" t="s">
        <v>481</v>
      </c>
      <c r="AQ1451" t="s">
        <v>637</v>
      </c>
      <c r="AR1451" t="s">
        <v>482</v>
      </c>
      <c r="BF1451" s="1"/>
      <c r="BH1451" t="s">
        <v>1366</v>
      </c>
      <c r="BP1451" t="s">
        <v>1489</v>
      </c>
    </row>
    <row r="1452" spans="1:68" x14ac:dyDescent="0.25">
      <c r="A1452" t="s">
        <v>5713</v>
      </c>
      <c r="B1452" t="s">
        <v>474</v>
      </c>
      <c r="C1452" t="s">
        <v>2342</v>
      </c>
      <c r="E1452" t="s">
        <v>480</v>
      </c>
      <c r="G1452" s="1" t="s">
        <v>4586</v>
      </c>
      <c r="H1452" t="s">
        <v>542</v>
      </c>
      <c r="J1452">
        <v>500000</v>
      </c>
      <c r="M1452" t="s">
        <v>1420</v>
      </c>
      <c r="P1452" t="s">
        <v>78</v>
      </c>
      <c r="R1452" t="s">
        <v>778</v>
      </c>
      <c r="S1452" t="s">
        <v>4591</v>
      </c>
      <c r="T1452" t="s">
        <v>4592</v>
      </c>
      <c r="V1452" t="s">
        <v>1365</v>
      </c>
      <c r="W1452" t="s">
        <v>73</v>
      </c>
      <c r="AE1452" t="s">
        <v>478</v>
      </c>
      <c r="AF1452" t="s">
        <v>479</v>
      </c>
      <c r="AL1452" t="s">
        <v>919</v>
      </c>
      <c r="AM1452" t="s">
        <v>919</v>
      </c>
      <c r="AO1452" t="s">
        <v>480</v>
      </c>
      <c r="AP1452" t="s">
        <v>481</v>
      </c>
      <c r="AQ1452" t="s">
        <v>631</v>
      </c>
      <c r="AR1452" t="s">
        <v>482</v>
      </c>
      <c r="BF1452" s="1"/>
      <c r="BH1452" t="s">
        <v>1366</v>
      </c>
      <c r="BP1452" t="s">
        <v>1489</v>
      </c>
    </row>
    <row r="1453" spans="1:68" x14ac:dyDescent="0.25">
      <c r="A1453" t="s">
        <v>5713</v>
      </c>
      <c r="B1453" t="s">
        <v>474</v>
      </c>
      <c r="C1453" t="s">
        <v>2342</v>
      </c>
      <c r="E1453" t="s">
        <v>480</v>
      </c>
      <c r="G1453" s="1" t="s">
        <v>4586</v>
      </c>
      <c r="H1453" t="s">
        <v>549</v>
      </c>
      <c r="J1453">
        <v>500000</v>
      </c>
      <c r="M1453" t="s">
        <v>1415</v>
      </c>
      <c r="P1453" t="s">
        <v>82</v>
      </c>
      <c r="R1453" t="s">
        <v>649</v>
      </c>
      <c r="S1453" t="s">
        <v>4593</v>
      </c>
      <c r="T1453" t="s">
        <v>4594</v>
      </c>
      <c r="V1453" t="s">
        <v>1365</v>
      </c>
      <c r="W1453" t="s">
        <v>73</v>
      </c>
      <c r="AE1453" t="s">
        <v>478</v>
      </c>
      <c r="AF1453" t="s">
        <v>479</v>
      </c>
      <c r="AL1453" t="s">
        <v>919</v>
      </c>
      <c r="AM1453" t="s">
        <v>919</v>
      </c>
      <c r="AO1453" t="s">
        <v>480</v>
      </c>
      <c r="AP1453" t="s">
        <v>481</v>
      </c>
      <c r="AQ1453" t="s">
        <v>541</v>
      </c>
      <c r="AR1453" t="s">
        <v>482</v>
      </c>
      <c r="BF1453" s="1"/>
      <c r="BH1453" t="s">
        <v>1366</v>
      </c>
      <c r="BP1453" t="s">
        <v>1489</v>
      </c>
    </row>
    <row r="1454" spans="1:68" x14ac:dyDescent="0.25">
      <c r="A1454" t="s">
        <v>5713</v>
      </c>
      <c r="B1454" t="s">
        <v>474</v>
      </c>
      <c r="C1454" t="s">
        <v>2342</v>
      </c>
      <c r="E1454" t="s">
        <v>480</v>
      </c>
      <c r="G1454" s="1" t="s">
        <v>4586</v>
      </c>
      <c r="H1454" t="s">
        <v>556</v>
      </c>
      <c r="J1454">
        <v>500000</v>
      </c>
      <c r="M1454" t="s">
        <v>1420</v>
      </c>
      <c r="P1454" t="s">
        <v>109</v>
      </c>
      <c r="R1454" t="s">
        <v>653</v>
      </c>
      <c r="S1454" t="s">
        <v>4595</v>
      </c>
      <c r="T1454" t="s">
        <v>4596</v>
      </c>
      <c r="V1454" t="s">
        <v>1365</v>
      </c>
      <c r="W1454" t="s">
        <v>73</v>
      </c>
      <c r="AE1454" t="s">
        <v>478</v>
      </c>
      <c r="AF1454" t="s">
        <v>479</v>
      </c>
      <c r="AL1454" t="s">
        <v>919</v>
      </c>
      <c r="AM1454" t="s">
        <v>919</v>
      </c>
      <c r="AO1454" t="s">
        <v>480</v>
      </c>
      <c r="AP1454" t="s">
        <v>481</v>
      </c>
      <c r="AQ1454" t="s">
        <v>536</v>
      </c>
      <c r="AR1454" t="s">
        <v>482</v>
      </c>
      <c r="BF1454" s="1"/>
      <c r="BH1454" t="s">
        <v>1366</v>
      </c>
      <c r="BP1454" t="s">
        <v>1489</v>
      </c>
    </row>
    <row r="1455" spans="1:68" x14ac:dyDescent="0.25">
      <c r="A1455" t="s">
        <v>5713</v>
      </c>
      <c r="B1455" t="s">
        <v>474</v>
      </c>
      <c r="C1455" t="s">
        <v>2342</v>
      </c>
      <c r="E1455" t="s">
        <v>480</v>
      </c>
      <c r="G1455" s="1" t="s">
        <v>4586</v>
      </c>
      <c r="H1455" t="s">
        <v>562</v>
      </c>
      <c r="J1455">
        <v>500000</v>
      </c>
      <c r="M1455" t="s">
        <v>1415</v>
      </c>
      <c r="P1455" t="s">
        <v>87</v>
      </c>
      <c r="R1455" t="s">
        <v>663</v>
      </c>
      <c r="S1455" t="s">
        <v>4597</v>
      </c>
      <c r="T1455" t="s">
        <v>4598</v>
      </c>
      <c r="V1455" t="s">
        <v>1365</v>
      </c>
      <c r="W1455" t="s">
        <v>73</v>
      </c>
      <c r="AE1455" t="s">
        <v>478</v>
      </c>
      <c r="AF1455" t="s">
        <v>479</v>
      </c>
      <c r="AL1455" t="s">
        <v>919</v>
      </c>
      <c r="AM1455" t="s">
        <v>919</v>
      </c>
      <c r="AO1455" t="s">
        <v>480</v>
      </c>
      <c r="AP1455" t="s">
        <v>481</v>
      </c>
      <c r="AQ1455" t="s">
        <v>552</v>
      </c>
      <c r="AR1455" t="s">
        <v>482</v>
      </c>
      <c r="BF1455" s="1"/>
      <c r="BH1455" t="s">
        <v>1366</v>
      </c>
      <c r="BP1455" t="s">
        <v>1489</v>
      </c>
    </row>
    <row r="1456" spans="1:68" x14ac:dyDescent="0.25">
      <c r="A1456" t="s">
        <v>5713</v>
      </c>
      <c r="B1456" t="s">
        <v>474</v>
      </c>
      <c r="C1456" t="s">
        <v>2342</v>
      </c>
      <c r="E1456" t="s">
        <v>480</v>
      </c>
      <c r="G1456" s="1" t="s">
        <v>4586</v>
      </c>
      <c r="H1456" t="s">
        <v>567</v>
      </c>
      <c r="J1456">
        <v>500000</v>
      </c>
      <c r="M1456" t="s">
        <v>1420</v>
      </c>
      <c r="P1456" t="s">
        <v>158</v>
      </c>
      <c r="R1456" t="s">
        <v>543</v>
      </c>
      <c r="S1456" t="s">
        <v>4599</v>
      </c>
      <c r="T1456" t="s">
        <v>4600</v>
      </c>
      <c r="V1456" t="s">
        <v>1365</v>
      </c>
      <c r="W1456" t="s">
        <v>73</v>
      </c>
      <c r="AE1456" t="s">
        <v>478</v>
      </c>
      <c r="AF1456" t="s">
        <v>479</v>
      </c>
      <c r="AL1456" t="s">
        <v>919</v>
      </c>
      <c r="AM1456" t="s">
        <v>919</v>
      </c>
      <c r="AO1456" t="s">
        <v>480</v>
      </c>
      <c r="AP1456" t="s">
        <v>481</v>
      </c>
      <c r="AQ1456" t="s">
        <v>690</v>
      </c>
      <c r="AR1456" t="s">
        <v>482</v>
      </c>
      <c r="BF1456" s="1"/>
      <c r="BH1456" t="s">
        <v>1366</v>
      </c>
      <c r="BP1456" t="s">
        <v>1489</v>
      </c>
    </row>
    <row r="1457" spans="1:68" x14ac:dyDescent="0.25">
      <c r="A1457" t="s">
        <v>5713</v>
      </c>
      <c r="B1457" t="s">
        <v>474</v>
      </c>
      <c r="C1457" t="s">
        <v>2342</v>
      </c>
      <c r="E1457" t="s">
        <v>480</v>
      </c>
      <c r="G1457" s="1" t="s">
        <v>4586</v>
      </c>
      <c r="H1457" t="s">
        <v>575</v>
      </c>
      <c r="J1457">
        <v>500000</v>
      </c>
      <c r="M1457" t="s">
        <v>1415</v>
      </c>
      <c r="P1457" t="s">
        <v>102</v>
      </c>
      <c r="R1457" t="s">
        <v>683</v>
      </c>
      <c r="S1457" t="s">
        <v>4601</v>
      </c>
      <c r="T1457" t="s">
        <v>4602</v>
      </c>
      <c r="V1457" t="s">
        <v>1365</v>
      </c>
      <c r="W1457" t="s">
        <v>73</v>
      </c>
      <c r="AE1457" t="s">
        <v>478</v>
      </c>
      <c r="AF1457" t="s">
        <v>479</v>
      </c>
      <c r="AL1457" t="s">
        <v>919</v>
      </c>
      <c r="AM1457" t="s">
        <v>919</v>
      </c>
      <c r="AO1457" t="s">
        <v>480</v>
      </c>
      <c r="AP1457" t="s">
        <v>481</v>
      </c>
      <c r="AQ1457" t="s">
        <v>646</v>
      </c>
      <c r="AR1457" t="s">
        <v>482</v>
      </c>
      <c r="BF1457" s="1"/>
      <c r="BH1457" t="s">
        <v>1366</v>
      </c>
      <c r="BP1457" t="s">
        <v>1489</v>
      </c>
    </row>
    <row r="1458" spans="1:68" x14ac:dyDescent="0.25">
      <c r="A1458" t="s">
        <v>5713</v>
      </c>
      <c r="B1458" t="s">
        <v>474</v>
      </c>
      <c r="C1458" t="s">
        <v>2342</v>
      </c>
      <c r="E1458" t="s">
        <v>480</v>
      </c>
      <c r="G1458" s="1" t="s">
        <v>4603</v>
      </c>
      <c r="H1458" t="s">
        <v>476</v>
      </c>
      <c r="J1458">
        <v>500000</v>
      </c>
      <c r="M1458" t="s">
        <v>1415</v>
      </c>
      <c r="P1458" t="s">
        <v>82</v>
      </c>
      <c r="R1458" t="s">
        <v>655</v>
      </c>
      <c r="S1458" t="s">
        <v>4604</v>
      </c>
      <c r="T1458" t="s">
        <v>4605</v>
      </c>
      <c r="V1458" t="s">
        <v>1365</v>
      </c>
      <c r="W1458" t="s">
        <v>73</v>
      </c>
      <c r="AE1458" t="s">
        <v>478</v>
      </c>
      <c r="AF1458" t="s">
        <v>479</v>
      </c>
      <c r="AL1458" t="s">
        <v>919</v>
      </c>
      <c r="AM1458" t="s">
        <v>919</v>
      </c>
      <c r="AO1458" t="s">
        <v>480</v>
      </c>
      <c r="AP1458" t="s">
        <v>481</v>
      </c>
      <c r="AQ1458" t="s">
        <v>541</v>
      </c>
      <c r="AR1458" t="s">
        <v>482</v>
      </c>
      <c r="BF1458" s="1"/>
      <c r="BH1458" t="s">
        <v>1366</v>
      </c>
      <c r="BP1458" t="s">
        <v>1489</v>
      </c>
    </row>
    <row r="1459" spans="1:68" x14ac:dyDescent="0.25">
      <c r="A1459" t="s">
        <v>5713</v>
      </c>
      <c r="B1459" t="s">
        <v>474</v>
      </c>
      <c r="C1459" t="s">
        <v>2342</v>
      </c>
      <c r="E1459" t="s">
        <v>480</v>
      </c>
      <c r="G1459" s="1" t="s">
        <v>4603</v>
      </c>
      <c r="H1459" t="s">
        <v>498</v>
      </c>
      <c r="J1459">
        <v>500000</v>
      </c>
      <c r="M1459" t="s">
        <v>1425</v>
      </c>
      <c r="P1459" t="s">
        <v>170</v>
      </c>
      <c r="R1459" t="s">
        <v>683</v>
      </c>
      <c r="S1459" t="s">
        <v>4606</v>
      </c>
      <c r="T1459" t="s">
        <v>4607</v>
      </c>
      <c r="V1459" t="s">
        <v>1365</v>
      </c>
      <c r="W1459" t="s">
        <v>73</v>
      </c>
      <c r="AE1459" t="s">
        <v>478</v>
      </c>
      <c r="AF1459" t="s">
        <v>479</v>
      </c>
      <c r="AL1459" t="s">
        <v>919</v>
      </c>
      <c r="AM1459" t="s">
        <v>919</v>
      </c>
      <c r="AO1459" t="s">
        <v>480</v>
      </c>
      <c r="AP1459" t="s">
        <v>481</v>
      </c>
      <c r="AQ1459" t="s">
        <v>854</v>
      </c>
      <c r="AR1459" t="s">
        <v>482</v>
      </c>
      <c r="BF1459" s="1"/>
      <c r="BH1459" t="s">
        <v>1366</v>
      </c>
      <c r="BP1459" t="s">
        <v>1489</v>
      </c>
    </row>
    <row r="1460" spans="1:68" x14ac:dyDescent="0.25">
      <c r="A1460" t="s">
        <v>5713</v>
      </c>
      <c r="B1460" t="s">
        <v>474</v>
      </c>
      <c r="C1460" t="s">
        <v>2342</v>
      </c>
      <c r="E1460" t="s">
        <v>480</v>
      </c>
      <c r="G1460" s="1" t="s">
        <v>4608</v>
      </c>
      <c r="H1460" t="s">
        <v>476</v>
      </c>
      <c r="J1460">
        <v>500000</v>
      </c>
      <c r="M1460" t="s">
        <v>1416</v>
      </c>
      <c r="P1460" t="s">
        <v>94</v>
      </c>
      <c r="R1460" t="s">
        <v>1872</v>
      </c>
      <c r="S1460" t="s">
        <v>4609</v>
      </c>
      <c r="T1460" t="s">
        <v>4610</v>
      </c>
      <c r="V1460" t="s">
        <v>1365</v>
      </c>
      <c r="W1460" t="s">
        <v>73</v>
      </c>
      <c r="AE1460" t="s">
        <v>478</v>
      </c>
      <c r="AF1460" t="s">
        <v>479</v>
      </c>
      <c r="AL1460" t="s">
        <v>919</v>
      </c>
      <c r="AM1460" t="s">
        <v>919</v>
      </c>
      <c r="AO1460" t="s">
        <v>480</v>
      </c>
      <c r="AP1460" t="s">
        <v>481</v>
      </c>
      <c r="AQ1460" t="s">
        <v>555</v>
      </c>
      <c r="AR1460" t="s">
        <v>482</v>
      </c>
      <c r="BF1460" s="1"/>
      <c r="BH1460" t="s">
        <v>1366</v>
      </c>
      <c r="BP1460" t="s">
        <v>1489</v>
      </c>
    </row>
    <row r="1461" spans="1:68" x14ac:dyDescent="0.25">
      <c r="A1461" t="s">
        <v>5713</v>
      </c>
      <c r="B1461" t="s">
        <v>474</v>
      </c>
      <c r="C1461" t="s">
        <v>2342</v>
      </c>
      <c r="E1461" t="s">
        <v>480</v>
      </c>
      <c r="G1461" s="1" t="s">
        <v>4608</v>
      </c>
      <c r="H1461" t="s">
        <v>498</v>
      </c>
      <c r="J1461">
        <v>500000</v>
      </c>
      <c r="M1461" t="s">
        <v>1415</v>
      </c>
      <c r="P1461" t="s">
        <v>82</v>
      </c>
      <c r="R1461" t="s">
        <v>524</v>
      </c>
      <c r="S1461" t="s">
        <v>4611</v>
      </c>
      <c r="T1461" t="s">
        <v>4612</v>
      </c>
      <c r="V1461" t="s">
        <v>1365</v>
      </c>
      <c r="W1461" t="s">
        <v>73</v>
      </c>
      <c r="AE1461" t="s">
        <v>478</v>
      </c>
      <c r="AF1461" t="s">
        <v>479</v>
      </c>
      <c r="AL1461" t="s">
        <v>919</v>
      </c>
      <c r="AM1461" t="s">
        <v>919</v>
      </c>
      <c r="AO1461" t="s">
        <v>480</v>
      </c>
      <c r="AP1461" t="s">
        <v>481</v>
      </c>
      <c r="AQ1461" t="s">
        <v>541</v>
      </c>
      <c r="AR1461" t="s">
        <v>482</v>
      </c>
      <c r="BF1461" s="1"/>
      <c r="BH1461" t="s">
        <v>1366</v>
      </c>
      <c r="BP1461" t="s">
        <v>1489</v>
      </c>
    </row>
    <row r="1462" spans="1:68" x14ac:dyDescent="0.25">
      <c r="A1462" t="s">
        <v>5713</v>
      </c>
      <c r="B1462" t="s">
        <v>474</v>
      </c>
      <c r="C1462" t="s">
        <v>2342</v>
      </c>
      <c r="E1462" t="s">
        <v>480</v>
      </c>
      <c r="G1462" s="1" t="s">
        <v>4608</v>
      </c>
      <c r="H1462" t="s">
        <v>517</v>
      </c>
      <c r="J1462">
        <v>500000</v>
      </c>
      <c r="M1462" t="s">
        <v>1424</v>
      </c>
      <c r="P1462" t="s">
        <v>76</v>
      </c>
      <c r="R1462" t="s">
        <v>830</v>
      </c>
      <c r="S1462" t="s">
        <v>4613</v>
      </c>
      <c r="T1462" t="s">
        <v>4614</v>
      </c>
      <c r="V1462" t="s">
        <v>1365</v>
      </c>
      <c r="W1462" t="s">
        <v>73</v>
      </c>
      <c r="AE1462" t="s">
        <v>478</v>
      </c>
      <c r="AF1462" t="s">
        <v>479</v>
      </c>
      <c r="AL1462" t="s">
        <v>919</v>
      </c>
      <c r="AM1462" t="s">
        <v>919</v>
      </c>
      <c r="AO1462" t="s">
        <v>480</v>
      </c>
      <c r="AP1462" t="s">
        <v>481</v>
      </c>
      <c r="AQ1462" t="s">
        <v>558</v>
      </c>
      <c r="AR1462" t="s">
        <v>482</v>
      </c>
      <c r="BF1462" s="1"/>
      <c r="BH1462" t="s">
        <v>1366</v>
      </c>
      <c r="BP1462" t="s">
        <v>1489</v>
      </c>
    </row>
    <row r="1463" spans="1:68" x14ac:dyDescent="0.25">
      <c r="A1463" t="s">
        <v>5713</v>
      </c>
      <c r="B1463" t="s">
        <v>474</v>
      </c>
      <c r="C1463" t="s">
        <v>2342</v>
      </c>
      <c r="E1463" t="s">
        <v>480</v>
      </c>
      <c r="G1463" s="1" t="s">
        <v>4608</v>
      </c>
      <c r="H1463" t="s">
        <v>542</v>
      </c>
      <c r="J1463">
        <v>500000</v>
      </c>
      <c r="M1463" t="s">
        <v>1421</v>
      </c>
      <c r="P1463" t="s">
        <v>126</v>
      </c>
      <c r="R1463" t="s">
        <v>1792</v>
      </c>
      <c r="S1463" t="s">
        <v>4615</v>
      </c>
      <c r="T1463" t="s">
        <v>4616</v>
      </c>
      <c r="V1463" t="s">
        <v>1365</v>
      </c>
      <c r="W1463" t="s">
        <v>73</v>
      </c>
      <c r="AE1463" t="s">
        <v>478</v>
      </c>
      <c r="AF1463" t="s">
        <v>479</v>
      </c>
      <c r="AL1463" t="s">
        <v>919</v>
      </c>
      <c r="AM1463" t="s">
        <v>919</v>
      </c>
      <c r="AO1463" t="s">
        <v>480</v>
      </c>
      <c r="AP1463" t="s">
        <v>481</v>
      </c>
      <c r="AQ1463" t="s">
        <v>639</v>
      </c>
      <c r="AR1463" t="s">
        <v>482</v>
      </c>
      <c r="BF1463" s="1"/>
      <c r="BH1463" t="s">
        <v>1366</v>
      </c>
      <c r="BP1463" t="s">
        <v>1489</v>
      </c>
    </row>
    <row r="1464" spans="1:68" x14ac:dyDescent="0.25">
      <c r="A1464" t="s">
        <v>5713</v>
      </c>
      <c r="B1464" t="s">
        <v>474</v>
      </c>
      <c r="C1464" t="s">
        <v>2342</v>
      </c>
      <c r="E1464" t="s">
        <v>480</v>
      </c>
      <c r="G1464" s="1" t="s">
        <v>4617</v>
      </c>
      <c r="H1464" t="s">
        <v>476</v>
      </c>
      <c r="J1464">
        <v>500000</v>
      </c>
      <c r="M1464" t="s">
        <v>1415</v>
      </c>
      <c r="P1464" t="s">
        <v>87</v>
      </c>
      <c r="R1464" t="s">
        <v>565</v>
      </c>
      <c r="S1464" t="s">
        <v>4375</v>
      </c>
      <c r="T1464" t="s">
        <v>4376</v>
      </c>
      <c r="V1464" t="s">
        <v>1365</v>
      </c>
      <c r="W1464" t="s">
        <v>73</v>
      </c>
      <c r="AE1464" t="s">
        <v>478</v>
      </c>
      <c r="AF1464" t="s">
        <v>479</v>
      </c>
      <c r="AL1464" t="s">
        <v>919</v>
      </c>
      <c r="AM1464" t="s">
        <v>919</v>
      </c>
      <c r="AO1464" t="s">
        <v>480</v>
      </c>
      <c r="AP1464" t="s">
        <v>481</v>
      </c>
      <c r="AQ1464" t="s">
        <v>552</v>
      </c>
      <c r="AR1464" t="s">
        <v>482</v>
      </c>
      <c r="BF1464" s="1"/>
      <c r="BH1464" t="s">
        <v>1366</v>
      </c>
      <c r="BP1464" t="s">
        <v>1489</v>
      </c>
    </row>
    <row r="1465" spans="1:68" x14ac:dyDescent="0.25">
      <c r="A1465" t="s">
        <v>5713</v>
      </c>
      <c r="B1465" t="s">
        <v>474</v>
      </c>
      <c r="C1465" t="s">
        <v>2342</v>
      </c>
      <c r="E1465" t="s">
        <v>480</v>
      </c>
      <c r="G1465" s="1" t="s">
        <v>4617</v>
      </c>
      <c r="H1465" t="s">
        <v>498</v>
      </c>
      <c r="J1465">
        <v>500000</v>
      </c>
      <c r="M1465" t="s">
        <v>1422</v>
      </c>
      <c r="P1465" t="s">
        <v>120</v>
      </c>
      <c r="R1465" t="s">
        <v>832</v>
      </c>
      <c r="S1465" t="s">
        <v>4618</v>
      </c>
      <c r="T1465" t="s">
        <v>4619</v>
      </c>
      <c r="V1465" t="s">
        <v>1365</v>
      </c>
      <c r="W1465" t="s">
        <v>73</v>
      </c>
      <c r="AE1465" t="s">
        <v>478</v>
      </c>
      <c r="AF1465" t="s">
        <v>479</v>
      </c>
      <c r="AL1465" t="s">
        <v>919</v>
      </c>
      <c r="AM1465" t="s">
        <v>919</v>
      </c>
      <c r="AO1465" t="s">
        <v>480</v>
      </c>
      <c r="AP1465" t="s">
        <v>481</v>
      </c>
      <c r="AQ1465" t="s">
        <v>632</v>
      </c>
      <c r="AR1465" t="s">
        <v>482</v>
      </c>
      <c r="BF1465" s="1"/>
      <c r="BH1465" t="s">
        <v>1366</v>
      </c>
      <c r="BP1465" t="s">
        <v>1489</v>
      </c>
    </row>
    <row r="1466" spans="1:68" x14ac:dyDescent="0.25">
      <c r="A1466" t="s">
        <v>5713</v>
      </c>
      <c r="B1466" t="s">
        <v>474</v>
      </c>
      <c r="C1466" t="s">
        <v>2342</v>
      </c>
      <c r="E1466" t="s">
        <v>480</v>
      </c>
      <c r="G1466" s="1" t="s">
        <v>4617</v>
      </c>
      <c r="H1466" t="s">
        <v>517</v>
      </c>
      <c r="J1466">
        <v>500000</v>
      </c>
      <c r="M1466" t="s">
        <v>1427</v>
      </c>
      <c r="P1466" t="s">
        <v>104</v>
      </c>
      <c r="R1466" t="s">
        <v>547</v>
      </c>
      <c r="S1466" t="s">
        <v>4620</v>
      </c>
      <c r="T1466" t="s">
        <v>4621</v>
      </c>
      <c r="V1466" t="s">
        <v>1365</v>
      </c>
      <c r="W1466" t="s">
        <v>73</v>
      </c>
      <c r="AE1466" t="s">
        <v>478</v>
      </c>
      <c r="AF1466" t="s">
        <v>479</v>
      </c>
      <c r="AL1466" t="s">
        <v>919</v>
      </c>
      <c r="AM1466" t="s">
        <v>919</v>
      </c>
      <c r="AO1466" t="s">
        <v>480</v>
      </c>
      <c r="AP1466" t="s">
        <v>481</v>
      </c>
      <c r="AQ1466" t="s">
        <v>637</v>
      </c>
      <c r="AR1466" t="s">
        <v>482</v>
      </c>
      <c r="BF1466" s="1"/>
      <c r="BH1466" t="s">
        <v>1366</v>
      </c>
      <c r="BP1466" t="s">
        <v>1489</v>
      </c>
    </row>
    <row r="1467" spans="1:68" x14ac:dyDescent="0.25">
      <c r="A1467" t="s">
        <v>5713</v>
      </c>
      <c r="B1467" t="s">
        <v>474</v>
      </c>
      <c r="C1467" t="s">
        <v>2342</v>
      </c>
      <c r="E1467" t="s">
        <v>480</v>
      </c>
      <c r="G1467" s="1" t="s">
        <v>4617</v>
      </c>
      <c r="H1467" t="s">
        <v>542</v>
      </c>
      <c r="J1467">
        <v>500000</v>
      </c>
      <c r="M1467" t="s">
        <v>1420</v>
      </c>
      <c r="P1467" t="s">
        <v>95</v>
      </c>
      <c r="R1467" t="s">
        <v>625</v>
      </c>
      <c r="S1467" t="s">
        <v>4622</v>
      </c>
      <c r="T1467" t="s">
        <v>4623</v>
      </c>
      <c r="V1467" t="s">
        <v>1365</v>
      </c>
      <c r="W1467" t="s">
        <v>73</v>
      </c>
      <c r="AE1467" t="s">
        <v>478</v>
      </c>
      <c r="AF1467" t="s">
        <v>479</v>
      </c>
      <c r="AL1467" t="s">
        <v>919</v>
      </c>
      <c r="AM1467" t="s">
        <v>919</v>
      </c>
      <c r="AO1467" t="s">
        <v>480</v>
      </c>
      <c r="AP1467" t="s">
        <v>481</v>
      </c>
      <c r="AQ1467" t="s">
        <v>563</v>
      </c>
      <c r="AR1467" t="s">
        <v>482</v>
      </c>
      <c r="BF1467" s="1"/>
      <c r="BH1467" t="s">
        <v>1366</v>
      </c>
      <c r="BP1467" t="s">
        <v>1489</v>
      </c>
    </row>
    <row r="1468" spans="1:68" x14ac:dyDescent="0.25">
      <c r="A1468" t="s">
        <v>5713</v>
      </c>
      <c r="B1468" t="s">
        <v>474</v>
      </c>
      <c r="C1468" t="s">
        <v>2342</v>
      </c>
      <c r="E1468" t="s">
        <v>480</v>
      </c>
      <c r="G1468" s="1" t="s">
        <v>4617</v>
      </c>
      <c r="H1468" t="s">
        <v>549</v>
      </c>
      <c r="J1468">
        <v>500000</v>
      </c>
      <c r="M1468" t="s">
        <v>1420</v>
      </c>
      <c r="P1468" t="s">
        <v>78</v>
      </c>
      <c r="R1468" t="s">
        <v>804</v>
      </c>
      <c r="S1468" t="s">
        <v>4624</v>
      </c>
      <c r="T1468" t="s">
        <v>4625</v>
      </c>
      <c r="V1468" t="s">
        <v>1365</v>
      </c>
      <c r="W1468" t="s">
        <v>73</v>
      </c>
      <c r="AE1468" t="s">
        <v>478</v>
      </c>
      <c r="AF1468" t="s">
        <v>479</v>
      </c>
      <c r="AL1468" t="s">
        <v>919</v>
      </c>
      <c r="AM1468" t="s">
        <v>919</v>
      </c>
      <c r="AO1468" t="s">
        <v>480</v>
      </c>
      <c r="AP1468" t="s">
        <v>481</v>
      </c>
      <c r="AQ1468" t="s">
        <v>631</v>
      </c>
      <c r="AR1468" t="s">
        <v>482</v>
      </c>
      <c r="BF1468" s="1"/>
      <c r="BH1468" t="s">
        <v>1366</v>
      </c>
      <c r="BP1468" t="s">
        <v>1489</v>
      </c>
    </row>
    <row r="1469" spans="1:68" x14ac:dyDescent="0.25">
      <c r="A1469" t="s">
        <v>5713</v>
      </c>
      <c r="B1469" t="s">
        <v>474</v>
      </c>
      <c r="C1469" t="s">
        <v>2342</v>
      </c>
      <c r="E1469" t="s">
        <v>480</v>
      </c>
      <c r="G1469" s="1" t="s">
        <v>4617</v>
      </c>
      <c r="H1469" t="s">
        <v>556</v>
      </c>
      <c r="J1469">
        <v>500000</v>
      </c>
      <c r="M1469" t="s">
        <v>1425</v>
      </c>
      <c r="P1469" t="s">
        <v>110</v>
      </c>
      <c r="R1469" t="s">
        <v>572</v>
      </c>
      <c r="S1469" t="s">
        <v>4626</v>
      </c>
      <c r="T1469" t="s">
        <v>4627</v>
      </c>
      <c r="V1469" t="s">
        <v>1365</v>
      </c>
      <c r="W1469" t="s">
        <v>73</v>
      </c>
      <c r="AE1469" t="s">
        <v>478</v>
      </c>
      <c r="AF1469" t="s">
        <v>479</v>
      </c>
      <c r="AL1469" t="s">
        <v>919</v>
      </c>
      <c r="AM1469" t="s">
        <v>919</v>
      </c>
      <c r="AO1469" t="s">
        <v>480</v>
      </c>
      <c r="AP1469" t="s">
        <v>481</v>
      </c>
      <c r="AQ1469" t="s">
        <v>624</v>
      </c>
      <c r="AR1469" t="s">
        <v>482</v>
      </c>
      <c r="BF1469" s="1"/>
      <c r="BH1469" t="s">
        <v>1366</v>
      </c>
      <c r="BP1469" t="s">
        <v>1489</v>
      </c>
    </row>
    <row r="1470" spans="1:68" x14ac:dyDescent="0.25">
      <c r="A1470" t="s">
        <v>5713</v>
      </c>
      <c r="B1470" t="s">
        <v>474</v>
      </c>
      <c r="C1470" t="s">
        <v>2342</v>
      </c>
      <c r="E1470" t="s">
        <v>480</v>
      </c>
      <c r="G1470" s="1" t="s">
        <v>4617</v>
      </c>
      <c r="H1470" t="s">
        <v>562</v>
      </c>
      <c r="J1470">
        <v>500000</v>
      </c>
      <c r="M1470" t="s">
        <v>1423</v>
      </c>
      <c r="P1470" t="s">
        <v>111</v>
      </c>
      <c r="R1470" t="s">
        <v>670</v>
      </c>
      <c r="S1470" t="s">
        <v>4628</v>
      </c>
      <c r="T1470" t="s">
        <v>4629</v>
      </c>
      <c r="V1470" t="s">
        <v>1365</v>
      </c>
      <c r="W1470" t="s">
        <v>73</v>
      </c>
      <c r="AE1470" t="s">
        <v>478</v>
      </c>
      <c r="AF1470" t="s">
        <v>479</v>
      </c>
      <c r="AL1470" t="s">
        <v>919</v>
      </c>
      <c r="AM1470" t="s">
        <v>919</v>
      </c>
      <c r="AO1470" t="s">
        <v>480</v>
      </c>
      <c r="AP1470" t="s">
        <v>481</v>
      </c>
      <c r="AQ1470" t="s">
        <v>548</v>
      </c>
      <c r="AR1470" t="s">
        <v>482</v>
      </c>
      <c r="BF1470" s="1"/>
      <c r="BH1470" t="s">
        <v>1366</v>
      </c>
      <c r="BP1470" t="s">
        <v>1489</v>
      </c>
    </row>
    <row r="1471" spans="1:68" x14ac:dyDescent="0.25">
      <c r="A1471" t="s">
        <v>5713</v>
      </c>
      <c r="B1471" t="s">
        <v>474</v>
      </c>
      <c r="C1471" t="s">
        <v>2342</v>
      </c>
      <c r="E1471" t="s">
        <v>480</v>
      </c>
      <c r="G1471" s="1" t="s">
        <v>4617</v>
      </c>
      <c r="H1471" t="s">
        <v>567</v>
      </c>
      <c r="J1471">
        <v>500000</v>
      </c>
      <c r="M1471" t="s">
        <v>1422</v>
      </c>
      <c r="P1471" t="s">
        <v>97</v>
      </c>
      <c r="R1471" t="s">
        <v>649</v>
      </c>
      <c r="S1471" t="s">
        <v>4630</v>
      </c>
      <c r="T1471" t="s">
        <v>4631</v>
      </c>
      <c r="V1471" t="s">
        <v>1365</v>
      </c>
      <c r="W1471" t="s">
        <v>73</v>
      </c>
      <c r="AE1471" t="s">
        <v>478</v>
      </c>
      <c r="AF1471" t="s">
        <v>479</v>
      </c>
      <c r="AL1471" t="s">
        <v>919</v>
      </c>
      <c r="AM1471" t="s">
        <v>919</v>
      </c>
      <c r="AO1471" t="s">
        <v>480</v>
      </c>
      <c r="AP1471" t="s">
        <v>481</v>
      </c>
      <c r="AQ1471" t="s">
        <v>677</v>
      </c>
      <c r="AR1471" t="s">
        <v>482</v>
      </c>
      <c r="BF1471" s="1"/>
      <c r="BH1471" t="s">
        <v>1366</v>
      </c>
      <c r="BP1471" t="s">
        <v>1489</v>
      </c>
    </row>
    <row r="1472" spans="1:68" x14ac:dyDescent="0.25">
      <c r="A1472" t="s">
        <v>5713</v>
      </c>
      <c r="B1472" t="s">
        <v>474</v>
      </c>
      <c r="C1472" t="s">
        <v>2342</v>
      </c>
      <c r="E1472" t="s">
        <v>480</v>
      </c>
      <c r="G1472" s="1" t="s">
        <v>4617</v>
      </c>
      <c r="H1472" t="s">
        <v>575</v>
      </c>
      <c r="J1472">
        <v>500000</v>
      </c>
      <c r="M1472" t="s">
        <v>1416</v>
      </c>
      <c r="P1472" t="s">
        <v>128</v>
      </c>
      <c r="R1472" t="s">
        <v>869</v>
      </c>
      <c r="S1472" t="s">
        <v>4632</v>
      </c>
      <c r="T1472" t="s">
        <v>4633</v>
      </c>
      <c r="V1472" t="s">
        <v>1365</v>
      </c>
      <c r="W1472" t="s">
        <v>73</v>
      </c>
      <c r="AE1472" t="s">
        <v>478</v>
      </c>
      <c r="AF1472" t="s">
        <v>479</v>
      </c>
      <c r="AL1472" t="s">
        <v>919</v>
      </c>
      <c r="AM1472" t="s">
        <v>919</v>
      </c>
      <c r="AO1472" t="s">
        <v>480</v>
      </c>
      <c r="AP1472" t="s">
        <v>481</v>
      </c>
      <c r="AQ1472" t="s">
        <v>528</v>
      </c>
      <c r="AR1472" t="s">
        <v>482</v>
      </c>
      <c r="BF1472" s="1"/>
      <c r="BH1472" t="s">
        <v>1366</v>
      </c>
      <c r="BP1472" t="s">
        <v>1489</v>
      </c>
    </row>
    <row r="1473" spans="1:68" x14ac:dyDescent="0.25">
      <c r="A1473" t="s">
        <v>5713</v>
      </c>
      <c r="B1473" t="s">
        <v>474</v>
      </c>
      <c r="C1473" t="s">
        <v>2342</v>
      </c>
      <c r="E1473" t="s">
        <v>480</v>
      </c>
      <c r="G1473" s="1" t="s">
        <v>4617</v>
      </c>
      <c r="H1473" t="s">
        <v>581</v>
      </c>
      <c r="J1473">
        <v>500000</v>
      </c>
      <c r="M1473" t="s">
        <v>1420</v>
      </c>
      <c r="P1473" t="s">
        <v>109</v>
      </c>
      <c r="R1473" t="s">
        <v>593</v>
      </c>
      <c r="S1473" t="s">
        <v>4634</v>
      </c>
      <c r="T1473" t="s">
        <v>4635</v>
      </c>
      <c r="V1473" t="s">
        <v>1365</v>
      </c>
      <c r="W1473" t="s">
        <v>73</v>
      </c>
      <c r="AE1473" t="s">
        <v>478</v>
      </c>
      <c r="AF1473" t="s">
        <v>479</v>
      </c>
      <c r="AL1473" t="s">
        <v>919</v>
      </c>
      <c r="AM1473" t="s">
        <v>919</v>
      </c>
      <c r="AO1473" t="s">
        <v>480</v>
      </c>
      <c r="AP1473" t="s">
        <v>481</v>
      </c>
      <c r="AQ1473" t="s">
        <v>536</v>
      </c>
      <c r="AR1473" t="s">
        <v>482</v>
      </c>
      <c r="BF1473" s="1"/>
      <c r="BH1473" t="s">
        <v>1366</v>
      </c>
      <c r="BP1473" t="s">
        <v>1489</v>
      </c>
    </row>
    <row r="1474" spans="1:68" x14ac:dyDescent="0.25">
      <c r="A1474" t="s">
        <v>5713</v>
      </c>
      <c r="B1474" t="s">
        <v>474</v>
      </c>
      <c r="C1474" t="s">
        <v>2342</v>
      </c>
      <c r="E1474" t="s">
        <v>480</v>
      </c>
      <c r="G1474" s="1" t="s">
        <v>4617</v>
      </c>
      <c r="H1474" t="s">
        <v>589</v>
      </c>
      <c r="J1474">
        <v>500000</v>
      </c>
      <c r="M1474" t="s">
        <v>1425</v>
      </c>
      <c r="P1474" t="s">
        <v>116</v>
      </c>
      <c r="R1474" t="s">
        <v>753</v>
      </c>
      <c r="S1474" t="s">
        <v>4369</v>
      </c>
      <c r="T1474" t="s">
        <v>4370</v>
      </c>
      <c r="V1474" t="s">
        <v>1365</v>
      </c>
      <c r="W1474" t="s">
        <v>73</v>
      </c>
      <c r="AE1474" t="s">
        <v>478</v>
      </c>
      <c r="AF1474" t="s">
        <v>479</v>
      </c>
      <c r="AL1474" t="s">
        <v>919</v>
      </c>
      <c r="AM1474" t="s">
        <v>919</v>
      </c>
      <c r="AO1474" t="s">
        <v>480</v>
      </c>
      <c r="AP1474" t="s">
        <v>481</v>
      </c>
      <c r="AQ1474" t="s">
        <v>645</v>
      </c>
      <c r="AR1474" t="s">
        <v>482</v>
      </c>
      <c r="BF1474" s="1"/>
      <c r="BH1474" t="s">
        <v>1366</v>
      </c>
      <c r="BP1474" t="s">
        <v>1489</v>
      </c>
    </row>
    <row r="1475" spans="1:68" x14ac:dyDescent="0.25">
      <c r="A1475" t="s">
        <v>5713</v>
      </c>
      <c r="B1475" t="s">
        <v>474</v>
      </c>
      <c r="C1475" t="s">
        <v>2342</v>
      </c>
      <c r="E1475" t="s">
        <v>480</v>
      </c>
      <c r="G1475" s="1" t="s">
        <v>4617</v>
      </c>
      <c r="H1475" t="s">
        <v>598</v>
      </c>
      <c r="J1475">
        <v>500000</v>
      </c>
      <c r="M1475" t="s">
        <v>1423</v>
      </c>
      <c r="P1475" t="s">
        <v>74</v>
      </c>
      <c r="R1475" t="s">
        <v>613</v>
      </c>
      <c r="S1475" t="s">
        <v>4636</v>
      </c>
      <c r="T1475" t="s">
        <v>4637</v>
      </c>
      <c r="V1475" t="s">
        <v>1365</v>
      </c>
      <c r="W1475" t="s">
        <v>73</v>
      </c>
      <c r="AE1475" t="s">
        <v>478</v>
      </c>
      <c r="AF1475" t="s">
        <v>479</v>
      </c>
      <c r="AL1475" t="s">
        <v>919</v>
      </c>
      <c r="AM1475" t="s">
        <v>919</v>
      </c>
      <c r="AO1475" t="s">
        <v>480</v>
      </c>
      <c r="AP1475" t="s">
        <v>481</v>
      </c>
      <c r="AQ1475" t="s">
        <v>678</v>
      </c>
      <c r="AR1475" t="s">
        <v>482</v>
      </c>
      <c r="BF1475" s="1"/>
      <c r="BH1475" t="s">
        <v>1366</v>
      </c>
      <c r="BP1475" t="s">
        <v>1489</v>
      </c>
    </row>
    <row r="1476" spans="1:68" x14ac:dyDescent="0.25">
      <c r="A1476" t="s">
        <v>5713</v>
      </c>
      <c r="B1476" t="s">
        <v>474</v>
      </c>
      <c r="C1476" t="s">
        <v>2342</v>
      </c>
      <c r="E1476" t="s">
        <v>480</v>
      </c>
      <c r="G1476" s="1" t="s">
        <v>4617</v>
      </c>
      <c r="H1476" t="s">
        <v>604</v>
      </c>
      <c r="J1476">
        <v>500000</v>
      </c>
      <c r="M1476" t="s">
        <v>1428</v>
      </c>
      <c r="P1476" t="s">
        <v>113</v>
      </c>
      <c r="R1476" t="s">
        <v>1705</v>
      </c>
      <c r="S1476" t="s">
        <v>4638</v>
      </c>
      <c r="T1476" t="s">
        <v>4639</v>
      </c>
      <c r="V1476" t="s">
        <v>1365</v>
      </c>
      <c r="W1476" t="s">
        <v>73</v>
      </c>
      <c r="AE1476" t="s">
        <v>478</v>
      </c>
      <c r="AF1476" t="s">
        <v>479</v>
      </c>
      <c r="AL1476" t="s">
        <v>919</v>
      </c>
      <c r="AM1476" t="s">
        <v>919</v>
      </c>
      <c r="AO1476" t="s">
        <v>480</v>
      </c>
      <c r="AP1476" t="s">
        <v>481</v>
      </c>
      <c r="AQ1476" t="s">
        <v>657</v>
      </c>
      <c r="AR1476" t="s">
        <v>482</v>
      </c>
      <c r="BF1476" s="1"/>
      <c r="BH1476" t="s">
        <v>1366</v>
      </c>
      <c r="BP1476" t="s">
        <v>1489</v>
      </c>
    </row>
    <row r="1477" spans="1:68" x14ac:dyDescent="0.25">
      <c r="A1477" t="s">
        <v>5713</v>
      </c>
      <c r="B1477" t="s">
        <v>474</v>
      </c>
      <c r="C1477" t="s">
        <v>2342</v>
      </c>
      <c r="E1477" t="s">
        <v>480</v>
      </c>
      <c r="G1477" s="1" t="s">
        <v>4617</v>
      </c>
      <c r="H1477" t="s">
        <v>611</v>
      </c>
      <c r="J1477">
        <v>500000</v>
      </c>
      <c r="M1477" t="s">
        <v>1425</v>
      </c>
      <c r="P1477" t="s">
        <v>170</v>
      </c>
      <c r="R1477" t="s">
        <v>557</v>
      </c>
      <c r="S1477" t="s">
        <v>4640</v>
      </c>
      <c r="T1477" t="s">
        <v>4641</v>
      </c>
      <c r="V1477" t="s">
        <v>1365</v>
      </c>
      <c r="W1477" t="s">
        <v>73</v>
      </c>
      <c r="AE1477" t="s">
        <v>478</v>
      </c>
      <c r="AF1477" t="s">
        <v>479</v>
      </c>
      <c r="AL1477" t="s">
        <v>919</v>
      </c>
      <c r="AM1477" t="s">
        <v>919</v>
      </c>
      <c r="AO1477" t="s">
        <v>480</v>
      </c>
      <c r="AP1477" t="s">
        <v>481</v>
      </c>
      <c r="AQ1477" t="s">
        <v>854</v>
      </c>
      <c r="AR1477" t="s">
        <v>482</v>
      </c>
      <c r="BF1477" s="1"/>
      <c r="BH1477" t="s">
        <v>1366</v>
      </c>
      <c r="BP1477" t="s">
        <v>1489</v>
      </c>
    </row>
    <row r="1478" spans="1:68" x14ac:dyDescent="0.25">
      <c r="A1478" t="s">
        <v>5713</v>
      </c>
      <c r="B1478" t="s">
        <v>474</v>
      </c>
      <c r="C1478" t="s">
        <v>2342</v>
      </c>
      <c r="E1478" t="s">
        <v>480</v>
      </c>
      <c r="G1478" s="1" t="s">
        <v>4617</v>
      </c>
      <c r="H1478" t="s">
        <v>616</v>
      </c>
      <c r="J1478">
        <v>500000</v>
      </c>
      <c r="M1478" t="s">
        <v>1423</v>
      </c>
      <c r="P1478" t="s">
        <v>80</v>
      </c>
      <c r="R1478" t="s">
        <v>554</v>
      </c>
      <c r="S1478" t="s">
        <v>4642</v>
      </c>
      <c r="T1478" t="s">
        <v>4643</v>
      </c>
      <c r="V1478" t="s">
        <v>1365</v>
      </c>
      <c r="W1478" t="s">
        <v>73</v>
      </c>
      <c r="AE1478" t="s">
        <v>478</v>
      </c>
      <c r="AF1478" t="s">
        <v>479</v>
      </c>
      <c r="AL1478" t="s">
        <v>919</v>
      </c>
      <c r="AM1478" t="s">
        <v>919</v>
      </c>
      <c r="AO1478" t="s">
        <v>480</v>
      </c>
      <c r="AP1478" t="s">
        <v>481</v>
      </c>
      <c r="AQ1478" t="s">
        <v>603</v>
      </c>
      <c r="AR1478" t="s">
        <v>482</v>
      </c>
      <c r="BF1478" s="1"/>
      <c r="BH1478" t="s">
        <v>1366</v>
      </c>
      <c r="BP1478" t="s">
        <v>1489</v>
      </c>
    </row>
    <row r="1479" spans="1:68" x14ac:dyDescent="0.25">
      <c r="A1479" t="s">
        <v>5713</v>
      </c>
      <c r="B1479" t="s">
        <v>474</v>
      </c>
      <c r="C1479" t="s">
        <v>2342</v>
      </c>
      <c r="E1479" t="s">
        <v>480</v>
      </c>
      <c r="G1479" s="1" t="s">
        <v>4617</v>
      </c>
      <c r="H1479" t="s">
        <v>810</v>
      </c>
      <c r="J1479">
        <v>500000</v>
      </c>
      <c r="M1479" t="s">
        <v>1420</v>
      </c>
      <c r="P1479" t="s">
        <v>88</v>
      </c>
      <c r="R1479" t="s">
        <v>593</v>
      </c>
      <c r="S1479" t="s">
        <v>4644</v>
      </c>
      <c r="T1479" t="s">
        <v>4645</v>
      </c>
      <c r="V1479" t="s">
        <v>1365</v>
      </c>
      <c r="W1479" t="s">
        <v>73</v>
      </c>
      <c r="AE1479" t="s">
        <v>478</v>
      </c>
      <c r="AF1479" t="s">
        <v>479</v>
      </c>
      <c r="AL1479" t="s">
        <v>919</v>
      </c>
      <c r="AM1479" t="s">
        <v>919</v>
      </c>
      <c r="AO1479" t="s">
        <v>480</v>
      </c>
      <c r="AP1479" t="s">
        <v>481</v>
      </c>
      <c r="AQ1479" t="s">
        <v>597</v>
      </c>
      <c r="AR1479" t="s">
        <v>482</v>
      </c>
      <c r="BF1479" s="1"/>
      <c r="BH1479" t="s">
        <v>1366</v>
      </c>
      <c r="BP1479" t="s">
        <v>1489</v>
      </c>
    </row>
    <row r="1480" spans="1:68" x14ac:dyDescent="0.25">
      <c r="A1480" t="s">
        <v>5713</v>
      </c>
      <c r="B1480" t="s">
        <v>474</v>
      </c>
      <c r="C1480" t="s">
        <v>2342</v>
      </c>
      <c r="E1480" t="s">
        <v>480</v>
      </c>
      <c r="G1480" s="1" t="s">
        <v>4617</v>
      </c>
      <c r="H1480" t="s">
        <v>813</v>
      </c>
      <c r="J1480">
        <v>500000</v>
      </c>
      <c r="M1480" t="s">
        <v>1431</v>
      </c>
      <c r="P1480" t="s">
        <v>72</v>
      </c>
      <c r="R1480" t="s">
        <v>1714</v>
      </c>
      <c r="S1480" t="s">
        <v>4646</v>
      </c>
      <c r="T1480" t="s">
        <v>4647</v>
      </c>
      <c r="V1480" t="s">
        <v>1365</v>
      </c>
      <c r="W1480" t="s">
        <v>73</v>
      </c>
      <c r="AE1480" t="s">
        <v>478</v>
      </c>
      <c r="AF1480" t="s">
        <v>479</v>
      </c>
      <c r="AL1480" t="s">
        <v>919</v>
      </c>
      <c r="AM1480" t="s">
        <v>919</v>
      </c>
      <c r="AO1480" t="s">
        <v>480</v>
      </c>
      <c r="AP1480" t="s">
        <v>481</v>
      </c>
      <c r="AQ1480" t="s">
        <v>757</v>
      </c>
      <c r="AR1480" t="s">
        <v>482</v>
      </c>
      <c r="BF1480" s="1"/>
      <c r="BH1480" t="s">
        <v>1366</v>
      </c>
      <c r="BP1480" t="s">
        <v>1489</v>
      </c>
    </row>
    <row r="1481" spans="1:68" x14ac:dyDescent="0.25">
      <c r="A1481" t="s">
        <v>5713</v>
      </c>
      <c r="B1481" t="s">
        <v>474</v>
      </c>
      <c r="C1481" t="s">
        <v>2342</v>
      </c>
      <c r="E1481" t="s">
        <v>480</v>
      </c>
      <c r="G1481" s="1" t="s">
        <v>4617</v>
      </c>
      <c r="H1481" t="s">
        <v>819</v>
      </c>
      <c r="J1481">
        <v>500000</v>
      </c>
      <c r="M1481" t="s">
        <v>1425</v>
      </c>
      <c r="P1481" t="s">
        <v>85</v>
      </c>
      <c r="R1481" t="s">
        <v>766</v>
      </c>
      <c r="S1481" t="s">
        <v>4648</v>
      </c>
      <c r="T1481" t="s">
        <v>4649</v>
      </c>
      <c r="V1481" t="s">
        <v>1365</v>
      </c>
      <c r="W1481" t="s">
        <v>73</v>
      </c>
      <c r="AE1481" t="s">
        <v>478</v>
      </c>
      <c r="AF1481" t="s">
        <v>479</v>
      </c>
      <c r="AL1481" t="s">
        <v>919</v>
      </c>
      <c r="AM1481" t="s">
        <v>919</v>
      </c>
      <c r="AO1481" t="s">
        <v>480</v>
      </c>
      <c r="AP1481" t="s">
        <v>481</v>
      </c>
      <c r="AQ1481" t="s">
        <v>630</v>
      </c>
      <c r="AR1481" t="s">
        <v>482</v>
      </c>
      <c r="BF1481" s="1"/>
      <c r="BH1481" t="s">
        <v>1366</v>
      </c>
      <c r="BP1481" t="s">
        <v>1489</v>
      </c>
    </row>
    <row r="1482" spans="1:68" x14ac:dyDescent="0.25">
      <c r="A1482" t="s">
        <v>5713</v>
      </c>
      <c r="B1482" t="s">
        <v>474</v>
      </c>
      <c r="C1482" t="s">
        <v>2342</v>
      </c>
      <c r="E1482" t="s">
        <v>480</v>
      </c>
      <c r="G1482" s="1" t="s">
        <v>4650</v>
      </c>
      <c r="H1482" t="s">
        <v>476</v>
      </c>
      <c r="J1482">
        <v>500000</v>
      </c>
      <c r="M1482" t="s">
        <v>1424</v>
      </c>
      <c r="P1482" t="s">
        <v>76</v>
      </c>
      <c r="R1482" t="s">
        <v>753</v>
      </c>
      <c r="S1482" t="s">
        <v>4651</v>
      </c>
      <c r="T1482" t="s">
        <v>4652</v>
      </c>
      <c r="V1482" t="s">
        <v>1365</v>
      </c>
      <c r="W1482" t="s">
        <v>73</v>
      </c>
      <c r="AE1482" t="s">
        <v>478</v>
      </c>
      <c r="AF1482" t="s">
        <v>479</v>
      </c>
      <c r="AL1482" t="s">
        <v>919</v>
      </c>
      <c r="AM1482" t="s">
        <v>919</v>
      </c>
      <c r="AO1482" t="s">
        <v>480</v>
      </c>
      <c r="AP1482" t="s">
        <v>481</v>
      </c>
      <c r="AQ1482" t="s">
        <v>558</v>
      </c>
      <c r="AR1482" t="s">
        <v>482</v>
      </c>
      <c r="BF1482" s="1"/>
      <c r="BH1482" t="s">
        <v>1366</v>
      </c>
      <c r="BP1482" t="s">
        <v>1489</v>
      </c>
    </row>
    <row r="1483" spans="1:68" x14ac:dyDescent="0.25">
      <c r="A1483" t="s">
        <v>5713</v>
      </c>
      <c r="B1483" t="s">
        <v>474</v>
      </c>
      <c r="C1483" t="s">
        <v>2342</v>
      </c>
      <c r="E1483" t="s">
        <v>480</v>
      </c>
      <c r="G1483" s="1" t="s">
        <v>4650</v>
      </c>
      <c r="H1483" t="s">
        <v>498</v>
      </c>
      <c r="J1483">
        <v>500000</v>
      </c>
      <c r="M1483" t="s">
        <v>1431</v>
      </c>
      <c r="P1483" t="s">
        <v>72</v>
      </c>
      <c r="R1483" t="s">
        <v>741</v>
      </c>
      <c r="S1483" t="s">
        <v>4653</v>
      </c>
      <c r="T1483" t="s">
        <v>4654</v>
      </c>
      <c r="V1483" t="s">
        <v>1365</v>
      </c>
      <c r="W1483" t="s">
        <v>73</v>
      </c>
      <c r="AE1483" t="s">
        <v>478</v>
      </c>
      <c r="AF1483" t="s">
        <v>479</v>
      </c>
      <c r="AL1483" t="s">
        <v>919</v>
      </c>
      <c r="AM1483" t="s">
        <v>919</v>
      </c>
      <c r="AO1483" t="s">
        <v>480</v>
      </c>
      <c r="AP1483" t="s">
        <v>481</v>
      </c>
      <c r="AQ1483" t="s">
        <v>757</v>
      </c>
      <c r="AR1483" t="s">
        <v>482</v>
      </c>
      <c r="BF1483" s="1"/>
      <c r="BH1483" t="s">
        <v>1366</v>
      </c>
      <c r="BP1483" t="s">
        <v>1489</v>
      </c>
    </row>
    <row r="1484" spans="1:68" x14ac:dyDescent="0.25">
      <c r="A1484" t="s">
        <v>5713</v>
      </c>
      <c r="B1484" t="s">
        <v>474</v>
      </c>
      <c r="C1484" t="s">
        <v>1990</v>
      </c>
      <c r="E1484" t="s">
        <v>480</v>
      </c>
      <c r="G1484" s="1" t="s">
        <v>4655</v>
      </c>
      <c r="H1484" t="s">
        <v>476</v>
      </c>
      <c r="J1484">
        <v>500000</v>
      </c>
      <c r="M1484" t="s">
        <v>1420</v>
      </c>
      <c r="P1484" t="s">
        <v>119</v>
      </c>
      <c r="R1484" t="s">
        <v>593</v>
      </c>
      <c r="S1484" t="s">
        <v>4656</v>
      </c>
      <c r="T1484" t="s">
        <v>4657</v>
      </c>
      <c r="V1484" t="s">
        <v>1365</v>
      </c>
      <c r="W1484" t="s">
        <v>73</v>
      </c>
      <c r="AE1484" t="s">
        <v>478</v>
      </c>
      <c r="AF1484" t="s">
        <v>479</v>
      </c>
      <c r="AL1484" t="s">
        <v>919</v>
      </c>
      <c r="AM1484" t="s">
        <v>919</v>
      </c>
      <c r="AO1484" t="s">
        <v>480</v>
      </c>
      <c r="AP1484" t="s">
        <v>481</v>
      </c>
      <c r="AQ1484" t="s">
        <v>756</v>
      </c>
      <c r="AR1484" t="s">
        <v>482</v>
      </c>
      <c r="BF1484" s="1"/>
      <c r="BH1484" t="s">
        <v>1366</v>
      </c>
      <c r="BP1484" t="s">
        <v>1489</v>
      </c>
    </row>
    <row r="1485" spans="1:68" x14ac:dyDescent="0.25">
      <c r="A1485" t="s">
        <v>5713</v>
      </c>
      <c r="B1485" t="s">
        <v>474</v>
      </c>
      <c r="C1485" t="s">
        <v>1990</v>
      </c>
      <c r="E1485" t="s">
        <v>480</v>
      </c>
      <c r="G1485" s="1" t="s">
        <v>4655</v>
      </c>
      <c r="H1485" t="s">
        <v>498</v>
      </c>
      <c r="J1485">
        <v>500000</v>
      </c>
      <c r="M1485" t="s">
        <v>1421</v>
      </c>
      <c r="P1485" t="s">
        <v>126</v>
      </c>
      <c r="R1485" t="s">
        <v>524</v>
      </c>
      <c r="S1485" t="s">
        <v>4658</v>
      </c>
      <c r="T1485" t="s">
        <v>4659</v>
      </c>
      <c r="V1485" t="s">
        <v>1365</v>
      </c>
      <c r="W1485" t="s">
        <v>73</v>
      </c>
      <c r="AE1485" t="s">
        <v>478</v>
      </c>
      <c r="AF1485" t="s">
        <v>479</v>
      </c>
      <c r="AL1485" t="s">
        <v>919</v>
      </c>
      <c r="AM1485" t="s">
        <v>919</v>
      </c>
      <c r="AO1485" t="s">
        <v>480</v>
      </c>
      <c r="AP1485" t="s">
        <v>481</v>
      </c>
      <c r="AQ1485" t="s">
        <v>639</v>
      </c>
      <c r="AR1485" t="s">
        <v>482</v>
      </c>
      <c r="BF1485" s="1"/>
      <c r="BH1485" t="s">
        <v>1366</v>
      </c>
      <c r="BP1485" t="s">
        <v>1489</v>
      </c>
    </row>
    <row r="1486" spans="1:68" x14ac:dyDescent="0.25">
      <c r="A1486" t="s">
        <v>5713</v>
      </c>
      <c r="B1486" t="s">
        <v>474</v>
      </c>
      <c r="C1486" t="s">
        <v>1990</v>
      </c>
      <c r="E1486" t="s">
        <v>480</v>
      </c>
      <c r="G1486" s="1" t="s">
        <v>4655</v>
      </c>
      <c r="H1486" t="s">
        <v>517</v>
      </c>
      <c r="J1486">
        <v>500000</v>
      </c>
      <c r="M1486" t="s">
        <v>1422</v>
      </c>
      <c r="P1486" t="s">
        <v>77</v>
      </c>
      <c r="R1486" t="s">
        <v>605</v>
      </c>
      <c r="S1486" t="s">
        <v>4660</v>
      </c>
      <c r="T1486" t="s">
        <v>4661</v>
      </c>
      <c r="V1486" t="s">
        <v>1365</v>
      </c>
      <c r="W1486" t="s">
        <v>73</v>
      </c>
      <c r="AE1486" t="s">
        <v>478</v>
      </c>
      <c r="AF1486" t="s">
        <v>479</v>
      </c>
      <c r="AL1486" t="s">
        <v>919</v>
      </c>
      <c r="AM1486" t="s">
        <v>919</v>
      </c>
      <c r="AO1486" t="s">
        <v>480</v>
      </c>
      <c r="AP1486" t="s">
        <v>481</v>
      </c>
      <c r="AQ1486" t="s">
        <v>533</v>
      </c>
      <c r="AR1486" t="s">
        <v>482</v>
      </c>
      <c r="BF1486" s="1"/>
      <c r="BH1486" t="s">
        <v>1366</v>
      </c>
      <c r="BP1486" t="s">
        <v>1489</v>
      </c>
    </row>
    <row r="1487" spans="1:68" x14ac:dyDescent="0.25">
      <c r="A1487" t="s">
        <v>5713</v>
      </c>
      <c r="B1487" t="s">
        <v>474</v>
      </c>
      <c r="C1487" t="s">
        <v>1990</v>
      </c>
      <c r="E1487" t="s">
        <v>480</v>
      </c>
      <c r="G1487" s="1" t="s">
        <v>4655</v>
      </c>
      <c r="H1487" t="s">
        <v>542</v>
      </c>
      <c r="J1487">
        <v>500000</v>
      </c>
      <c r="M1487" t="s">
        <v>1423</v>
      </c>
      <c r="P1487" t="s">
        <v>124</v>
      </c>
      <c r="R1487" t="s">
        <v>846</v>
      </c>
      <c r="S1487" t="s">
        <v>4662</v>
      </c>
      <c r="T1487" t="s">
        <v>4663</v>
      </c>
      <c r="V1487" t="s">
        <v>1365</v>
      </c>
      <c r="W1487" t="s">
        <v>73</v>
      </c>
      <c r="AE1487" t="s">
        <v>478</v>
      </c>
      <c r="AF1487" t="s">
        <v>479</v>
      </c>
      <c r="AL1487" t="s">
        <v>919</v>
      </c>
      <c r="AM1487" t="s">
        <v>919</v>
      </c>
      <c r="AO1487" t="s">
        <v>480</v>
      </c>
      <c r="AP1487" t="s">
        <v>481</v>
      </c>
      <c r="AQ1487" t="s">
        <v>588</v>
      </c>
      <c r="AR1487" t="s">
        <v>482</v>
      </c>
      <c r="BF1487" s="1"/>
      <c r="BH1487" t="s">
        <v>1366</v>
      </c>
      <c r="BP1487" t="s">
        <v>1489</v>
      </c>
    </row>
    <row r="1488" spans="1:68" x14ac:dyDescent="0.25">
      <c r="A1488" t="s">
        <v>5713</v>
      </c>
      <c r="B1488" t="s">
        <v>474</v>
      </c>
      <c r="C1488" t="s">
        <v>1990</v>
      </c>
      <c r="E1488" t="s">
        <v>480</v>
      </c>
      <c r="G1488" s="1" t="s">
        <v>4655</v>
      </c>
      <c r="H1488" t="s">
        <v>549</v>
      </c>
      <c r="J1488">
        <v>500000</v>
      </c>
      <c r="M1488" t="s">
        <v>1414</v>
      </c>
      <c r="P1488" t="s">
        <v>169</v>
      </c>
      <c r="R1488" t="s">
        <v>780</v>
      </c>
      <c r="S1488" t="s">
        <v>4664</v>
      </c>
      <c r="T1488" t="s">
        <v>4665</v>
      </c>
      <c r="V1488" t="s">
        <v>1365</v>
      </c>
      <c r="W1488" t="s">
        <v>73</v>
      </c>
      <c r="AE1488" t="s">
        <v>478</v>
      </c>
      <c r="AF1488" t="s">
        <v>479</v>
      </c>
      <c r="AL1488" t="s">
        <v>919</v>
      </c>
      <c r="AM1488" t="s">
        <v>919</v>
      </c>
      <c r="AO1488" t="s">
        <v>480</v>
      </c>
      <c r="AP1488" t="s">
        <v>481</v>
      </c>
      <c r="AQ1488" t="s">
        <v>852</v>
      </c>
      <c r="AR1488" t="s">
        <v>482</v>
      </c>
      <c r="BF1488" s="1"/>
      <c r="BH1488" t="s">
        <v>1366</v>
      </c>
      <c r="BP1488" t="s">
        <v>1489</v>
      </c>
    </row>
    <row r="1489" spans="1:68" x14ac:dyDescent="0.25">
      <c r="A1489" t="s">
        <v>5713</v>
      </c>
      <c r="B1489" t="s">
        <v>474</v>
      </c>
      <c r="C1489" t="s">
        <v>1990</v>
      </c>
      <c r="E1489" t="s">
        <v>480</v>
      </c>
      <c r="G1489" s="1" t="s">
        <v>4666</v>
      </c>
      <c r="H1489" t="s">
        <v>476</v>
      </c>
      <c r="J1489">
        <v>500000</v>
      </c>
      <c r="M1489" t="s">
        <v>1417</v>
      </c>
      <c r="P1489" t="s">
        <v>143</v>
      </c>
      <c r="R1489" t="s">
        <v>899</v>
      </c>
      <c r="S1489" t="s">
        <v>4667</v>
      </c>
      <c r="T1489" t="s">
        <v>4668</v>
      </c>
      <c r="V1489" t="s">
        <v>1365</v>
      </c>
      <c r="W1489" t="s">
        <v>235</v>
      </c>
      <c r="AE1489" t="s">
        <v>478</v>
      </c>
      <c r="AF1489" t="s">
        <v>479</v>
      </c>
      <c r="AL1489" t="s">
        <v>919</v>
      </c>
      <c r="AM1489" t="s">
        <v>919</v>
      </c>
      <c r="AO1489" t="s">
        <v>480</v>
      </c>
      <c r="AP1489" t="s">
        <v>481</v>
      </c>
      <c r="AQ1489" t="s">
        <v>785</v>
      </c>
      <c r="AR1489" t="s">
        <v>482</v>
      </c>
      <c r="BF1489" s="1"/>
      <c r="BH1489" t="s">
        <v>1366</v>
      </c>
      <c r="BP1489" t="s">
        <v>1489</v>
      </c>
    </row>
    <row r="1490" spans="1:68" x14ac:dyDescent="0.25">
      <c r="A1490" t="s">
        <v>5713</v>
      </c>
      <c r="B1490" t="s">
        <v>474</v>
      </c>
      <c r="C1490" t="s">
        <v>1990</v>
      </c>
      <c r="E1490" t="s">
        <v>480</v>
      </c>
      <c r="G1490" s="1" t="s">
        <v>4666</v>
      </c>
      <c r="H1490" t="s">
        <v>498</v>
      </c>
      <c r="J1490">
        <v>500000</v>
      </c>
      <c r="M1490" t="s">
        <v>1424</v>
      </c>
      <c r="P1490" t="s">
        <v>90</v>
      </c>
      <c r="R1490" t="s">
        <v>568</v>
      </c>
      <c r="S1490" t="s">
        <v>4669</v>
      </c>
      <c r="T1490" t="s">
        <v>4670</v>
      </c>
      <c r="V1490" t="s">
        <v>1365</v>
      </c>
      <c r="W1490" t="s">
        <v>235</v>
      </c>
      <c r="AE1490" t="s">
        <v>478</v>
      </c>
      <c r="AF1490" t="s">
        <v>479</v>
      </c>
      <c r="AL1490" t="s">
        <v>919</v>
      </c>
      <c r="AM1490" t="s">
        <v>919</v>
      </c>
      <c r="AO1490" t="s">
        <v>480</v>
      </c>
      <c r="AP1490" t="s">
        <v>481</v>
      </c>
      <c r="AQ1490" t="s">
        <v>740</v>
      </c>
      <c r="AR1490" t="s">
        <v>482</v>
      </c>
      <c r="BF1490" s="1"/>
      <c r="BH1490" t="s">
        <v>1366</v>
      </c>
      <c r="BP1490" t="s">
        <v>1489</v>
      </c>
    </row>
    <row r="1491" spans="1:68" x14ac:dyDescent="0.25">
      <c r="A1491" t="s">
        <v>5713</v>
      </c>
      <c r="B1491" t="s">
        <v>474</v>
      </c>
      <c r="C1491" t="s">
        <v>1990</v>
      </c>
      <c r="E1491" t="s">
        <v>480</v>
      </c>
      <c r="G1491" s="1" t="s">
        <v>4671</v>
      </c>
      <c r="H1491" t="s">
        <v>476</v>
      </c>
      <c r="J1491">
        <v>500000</v>
      </c>
      <c r="M1491" t="s">
        <v>1417</v>
      </c>
      <c r="P1491" t="s">
        <v>143</v>
      </c>
      <c r="R1491" t="s">
        <v>568</v>
      </c>
      <c r="S1491" t="s">
        <v>4672</v>
      </c>
      <c r="T1491" t="s">
        <v>4673</v>
      </c>
      <c r="V1491" t="s">
        <v>1365</v>
      </c>
      <c r="W1491" t="s">
        <v>235</v>
      </c>
      <c r="AE1491" t="s">
        <v>478</v>
      </c>
      <c r="AF1491" t="s">
        <v>479</v>
      </c>
      <c r="AL1491" t="s">
        <v>919</v>
      </c>
      <c r="AM1491" t="s">
        <v>919</v>
      </c>
      <c r="AO1491" t="s">
        <v>480</v>
      </c>
      <c r="AP1491" t="s">
        <v>481</v>
      </c>
      <c r="AQ1491" t="s">
        <v>785</v>
      </c>
      <c r="AR1491" t="s">
        <v>482</v>
      </c>
      <c r="BF1491" s="1"/>
      <c r="BH1491" t="s">
        <v>1366</v>
      </c>
      <c r="BP1491" t="s">
        <v>1489</v>
      </c>
    </row>
    <row r="1492" spans="1:68" x14ac:dyDescent="0.25">
      <c r="A1492" t="s">
        <v>5713</v>
      </c>
      <c r="B1492" t="s">
        <v>474</v>
      </c>
      <c r="C1492" t="s">
        <v>1990</v>
      </c>
      <c r="E1492" t="s">
        <v>480</v>
      </c>
      <c r="G1492" s="1" t="s">
        <v>4674</v>
      </c>
      <c r="H1492" t="s">
        <v>476</v>
      </c>
      <c r="J1492">
        <v>500000</v>
      </c>
      <c r="M1492" t="s">
        <v>1425</v>
      </c>
      <c r="P1492" t="s">
        <v>92</v>
      </c>
      <c r="R1492" t="s">
        <v>488</v>
      </c>
      <c r="S1492" t="s">
        <v>4675</v>
      </c>
      <c r="T1492" t="s">
        <v>4676</v>
      </c>
      <c r="V1492" t="s">
        <v>1365</v>
      </c>
      <c r="W1492" t="s">
        <v>235</v>
      </c>
      <c r="AE1492" t="s">
        <v>478</v>
      </c>
      <c r="AF1492" t="s">
        <v>479</v>
      </c>
      <c r="AL1492" t="s">
        <v>919</v>
      </c>
      <c r="AM1492" t="s">
        <v>919</v>
      </c>
      <c r="AO1492" t="s">
        <v>480</v>
      </c>
      <c r="AP1492" t="s">
        <v>481</v>
      </c>
      <c r="AQ1492" t="s">
        <v>713</v>
      </c>
      <c r="AR1492" t="s">
        <v>482</v>
      </c>
      <c r="BF1492" s="1"/>
      <c r="BH1492" t="s">
        <v>1366</v>
      </c>
      <c r="BP1492" t="s">
        <v>1489</v>
      </c>
    </row>
    <row r="1493" spans="1:68" x14ac:dyDescent="0.25">
      <c r="A1493" t="s">
        <v>5713</v>
      </c>
      <c r="B1493" t="s">
        <v>474</v>
      </c>
      <c r="C1493" t="s">
        <v>1990</v>
      </c>
      <c r="E1493" t="s">
        <v>480</v>
      </c>
      <c r="G1493" s="1" t="s">
        <v>4674</v>
      </c>
      <c r="H1493" t="s">
        <v>498</v>
      </c>
      <c r="J1493">
        <v>500000</v>
      </c>
      <c r="M1493" t="s">
        <v>1414</v>
      </c>
      <c r="P1493" t="s">
        <v>91</v>
      </c>
      <c r="R1493" t="s">
        <v>855</v>
      </c>
      <c r="S1493" t="s">
        <v>4677</v>
      </c>
      <c r="T1493" t="s">
        <v>4678</v>
      </c>
      <c r="V1493" t="s">
        <v>1365</v>
      </c>
      <c r="W1493" t="s">
        <v>235</v>
      </c>
      <c r="AE1493" t="s">
        <v>478</v>
      </c>
      <c r="AF1493" t="s">
        <v>479</v>
      </c>
      <c r="AL1493" t="s">
        <v>919</v>
      </c>
      <c r="AM1493" t="s">
        <v>919</v>
      </c>
      <c r="AO1493" t="s">
        <v>480</v>
      </c>
      <c r="AP1493" t="s">
        <v>481</v>
      </c>
      <c r="AQ1493" t="s">
        <v>738</v>
      </c>
      <c r="AR1493" t="s">
        <v>482</v>
      </c>
      <c r="BF1493" s="1"/>
      <c r="BH1493" t="s">
        <v>1366</v>
      </c>
      <c r="BP1493" t="s">
        <v>1489</v>
      </c>
    </row>
    <row r="1494" spans="1:68" x14ac:dyDescent="0.25">
      <c r="A1494" t="s">
        <v>5713</v>
      </c>
      <c r="B1494" t="s">
        <v>474</v>
      </c>
      <c r="C1494" t="s">
        <v>1990</v>
      </c>
      <c r="E1494" t="s">
        <v>480</v>
      </c>
      <c r="G1494" s="1" t="s">
        <v>4674</v>
      </c>
      <c r="H1494" t="s">
        <v>517</v>
      </c>
      <c r="J1494">
        <v>500000</v>
      </c>
      <c r="M1494" t="s">
        <v>1417</v>
      </c>
      <c r="P1494" t="s">
        <v>143</v>
      </c>
      <c r="R1494" t="s">
        <v>640</v>
      </c>
      <c r="S1494" t="s">
        <v>4679</v>
      </c>
      <c r="T1494" t="s">
        <v>4680</v>
      </c>
      <c r="V1494" t="s">
        <v>1365</v>
      </c>
      <c r="W1494" t="s">
        <v>235</v>
      </c>
      <c r="AE1494" t="s">
        <v>478</v>
      </c>
      <c r="AF1494" t="s">
        <v>479</v>
      </c>
      <c r="AL1494" t="s">
        <v>919</v>
      </c>
      <c r="AM1494" t="s">
        <v>919</v>
      </c>
      <c r="AO1494" t="s">
        <v>480</v>
      </c>
      <c r="AP1494" t="s">
        <v>481</v>
      </c>
      <c r="AQ1494" t="s">
        <v>785</v>
      </c>
      <c r="AR1494" t="s">
        <v>482</v>
      </c>
      <c r="BF1494" s="1"/>
      <c r="BH1494" t="s">
        <v>1366</v>
      </c>
      <c r="BP1494" t="s">
        <v>1489</v>
      </c>
    </row>
    <row r="1495" spans="1:68" x14ac:dyDescent="0.25">
      <c r="A1495" t="s">
        <v>5713</v>
      </c>
      <c r="B1495" t="s">
        <v>474</v>
      </c>
      <c r="C1495" t="s">
        <v>1990</v>
      </c>
      <c r="E1495" t="s">
        <v>480</v>
      </c>
      <c r="G1495" s="1" t="s">
        <v>4674</v>
      </c>
      <c r="H1495" t="s">
        <v>542</v>
      </c>
      <c r="J1495">
        <v>500000</v>
      </c>
      <c r="M1495" t="s">
        <v>1414</v>
      </c>
      <c r="P1495" t="s">
        <v>91</v>
      </c>
      <c r="R1495" t="s">
        <v>2014</v>
      </c>
      <c r="S1495" t="s">
        <v>4681</v>
      </c>
      <c r="T1495" t="s">
        <v>4682</v>
      </c>
      <c r="V1495" t="s">
        <v>1365</v>
      </c>
      <c r="W1495" t="s">
        <v>235</v>
      </c>
      <c r="AE1495" t="s">
        <v>478</v>
      </c>
      <c r="AF1495" t="s">
        <v>479</v>
      </c>
      <c r="AL1495" t="s">
        <v>919</v>
      </c>
      <c r="AM1495" t="s">
        <v>919</v>
      </c>
      <c r="AO1495" t="s">
        <v>480</v>
      </c>
      <c r="AP1495" t="s">
        <v>481</v>
      </c>
      <c r="AQ1495" t="s">
        <v>738</v>
      </c>
      <c r="AR1495" t="s">
        <v>482</v>
      </c>
      <c r="BF1495" s="1"/>
      <c r="BH1495" t="s">
        <v>1366</v>
      </c>
      <c r="BP1495" t="s">
        <v>1489</v>
      </c>
    </row>
    <row r="1496" spans="1:68" x14ac:dyDescent="0.25">
      <c r="A1496" t="s">
        <v>5713</v>
      </c>
      <c r="B1496" t="s">
        <v>474</v>
      </c>
      <c r="C1496" t="s">
        <v>1990</v>
      </c>
      <c r="E1496" t="s">
        <v>480</v>
      </c>
      <c r="G1496" s="1" t="s">
        <v>4683</v>
      </c>
      <c r="H1496" t="s">
        <v>476</v>
      </c>
      <c r="J1496">
        <v>500000</v>
      </c>
      <c r="M1496" t="s">
        <v>1423</v>
      </c>
      <c r="P1496" t="s">
        <v>118</v>
      </c>
      <c r="R1496" t="s">
        <v>1992</v>
      </c>
      <c r="S1496" t="s">
        <v>4684</v>
      </c>
      <c r="T1496" t="s">
        <v>4685</v>
      </c>
      <c r="V1496" t="s">
        <v>1365</v>
      </c>
      <c r="W1496" t="s">
        <v>235</v>
      </c>
      <c r="AE1496" t="s">
        <v>478</v>
      </c>
      <c r="AF1496" t="s">
        <v>479</v>
      </c>
      <c r="AL1496" t="s">
        <v>919</v>
      </c>
      <c r="AM1496" t="s">
        <v>919</v>
      </c>
      <c r="AO1496" t="s">
        <v>480</v>
      </c>
      <c r="AP1496" t="s">
        <v>481</v>
      </c>
      <c r="AQ1496" t="s">
        <v>705</v>
      </c>
      <c r="AR1496" t="s">
        <v>482</v>
      </c>
      <c r="BF1496" s="1"/>
      <c r="BH1496" t="s">
        <v>1366</v>
      </c>
      <c r="BP1496" t="s">
        <v>1489</v>
      </c>
    </row>
    <row r="1497" spans="1:68" x14ac:dyDescent="0.25">
      <c r="A1497" t="s">
        <v>5713</v>
      </c>
      <c r="B1497" t="s">
        <v>474</v>
      </c>
      <c r="C1497" t="s">
        <v>2342</v>
      </c>
      <c r="E1497" t="s">
        <v>480</v>
      </c>
      <c r="G1497" s="1" t="s">
        <v>4686</v>
      </c>
      <c r="H1497" t="s">
        <v>476</v>
      </c>
      <c r="J1497">
        <v>500000</v>
      </c>
      <c r="M1497" t="s">
        <v>1416</v>
      </c>
      <c r="P1497" t="s">
        <v>83</v>
      </c>
      <c r="R1497" t="s">
        <v>1445</v>
      </c>
      <c r="S1497" t="s">
        <v>4687</v>
      </c>
      <c r="T1497" t="s">
        <v>4688</v>
      </c>
      <c r="V1497" t="s">
        <v>1365</v>
      </c>
      <c r="W1497" t="s">
        <v>70</v>
      </c>
      <c r="AE1497" t="s">
        <v>478</v>
      </c>
      <c r="AF1497" t="s">
        <v>479</v>
      </c>
      <c r="AL1497" t="s">
        <v>919</v>
      </c>
      <c r="AM1497" t="s">
        <v>919</v>
      </c>
      <c r="AO1497" t="s">
        <v>480</v>
      </c>
      <c r="AP1497" t="s">
        <v>481</v>
      </c>
      <c r="AQ1497" t="s">
        <v>497</v>
      </c>
      <c r="AR1497" t="s">
        <v>482</v>
      </c>
      <c r="BF1497" s="1"/>
      <c r="BH1497" t="s">
        <v>1366</v>
      </c>
      <c r="BP1497" t="s">
        <v>1489</v>
      </c>
    </row>
    <row r="1498" spans="1:68" x14ac:dyDescent="0.25">
      <c r="A1498" t="s">
        <v>5713</v>
      </c>
      <c r="B1498" t="s">
        <v>474</v>
      </c>
      <c r="C1498" t="s">
        <v>2342</v>
      </c>
      <c r="E1498" t="s">
        <v>480</v>
      </c>
      <c r="G1498" s="1" t="s">
        <v>4689</v>
      </c>
      <c r="H1498" t="s">
        <v>476</v>
      </c>
      <c r="J1498">
        <v>500000</v>
      </c>
      <c r="M1498" t="s">
        <v>1416</v>
      </c>
      <c r="P1498" t="s">
        <v>83</v>
      </c>
      <c r="R1498" t="s">
        <v>783</v>
      </c>
      <c r="S1498" t="s">
        <v>4690</v>
      </c>
      <c r="T1498" t="s">
        <v>4691</v>
      </c>
      <c r="V1498" t="s">
        <v>1365</v>
      </c>
      <c r="W1498" t="s">
        <v>70</v>
      </c>
      <c r="AE1498" t="s">
        <v>478</v>
      </c>
      <c r="AF1498" t="s">
        <v>479</v>
      </c>
      <c r="AL1498" t="s">
        <v>919</v>
      </c>
      <c r="AM1498" t="s">
        <v>919</v>
      </c>
      <c r="AO1498" t="s">
        <v>480</v>
      </c>
      <c r="AP1498" t="s">
        <v>481</v>
      </c>
      <c r="AQ1498" t="s">
        <v>497</v>
      </c>
      <c r="AR1498" t="s">
        <v>482</v>
      </c>
      <c r="BF1498" s="1"/>
      <c r="BH1498" t="s">
        <v>1366</v>
      </c>
      <c r="BP1498" t="s">
        <v>1489</v>
      </c>
    </row>
    <row r="1499" spans="1:68" x14ac:dyDescent="0.25">
      <c r="A1499" t="s">
        <v>5713</v>
      </c>
      <c r="B1499" t="s">
        <v>474</v>
      </c>
      <c r="C1499" t="s">
        <v>2342</v>
      </c>
      <c r="E1499" t="s">
        <v>480</v>
      </c>
      <c r="G1499" s="1" t="s">
        <v>4689</v>
      </c>
      <c r="H1499" t="s">
        <v>498</v>
      </c>
      <c r="J1499">
        <v>500000</v>
      </c>
      <c r="M1499" t="s">
        <v>1416</v>
      </c>
      <c r="P1499" t="s">
        <v>151</v>
      </c>
      <c r="R1499" t="s">
        <v>778</v>
      </c>
      <c r="S1499" t="s">
        <v>4692</v>
      </c>
      <c r="T1499" t="s">
        <v>4693</v>
      </c>
      <c r="V1499" t="s">
        <v>1365</v>
      </c>
      <c r="W1499" t="s">
        <v>70</v>
      </c>
      <c r="AE1499" t="s">
        <v>478</v>
      </c>
      <c r="AF1499" t="s">
        <v>479</v>
      </c>
      <c r="AL1499" t="s">
        <v>919</v>
      </c>
      <c r="AM1499" t="s">
        <v>919</v>
      </c>
      <c r="AO1499" t="s">
        <v>480</v>
      </c>
      <c r="AP1499" t="s">
        <v>481</v>
      </c>
      <c r="AQ1499" t="s">
        <v>773</v>
      </c>
      <c r="AR1499" t="s">
        <v>482</v>
      </c>
      <c r="BF1499" s="1"/>
      <c r="BH1499" t="s">
        <v>1366</v>
      </c>
      <c r="BP1499" t="s">
        <v>1489</v>
      </c>
    </row>
    <row r="1500" spans="1:68" x14ac:dyDescent="0.25">
      <c r="A1500" t="s">
        <v>5713</v>
      </c>
      <c r="B1500" t="s">
        <v>474</v>
      </c>
      <c r="C1500" t="s">
        <v>2342</v>
      </c>
      <c r="E1500" t="s">
        <v>480</v>
      </c>
      <c r="G1500" s="1" t="s">
        <v>4694</v>
      </c>
      <c r="H1500" t="s">
        <v>476</v>
      </c>
      <c r="J1500">
        <v>500000</v>
      </c>
      <c r="M1500" t="s">
        <v>1415</v>
      </c>
      <c r="P1500" t="s">
        <v>127</v>
      </c>
      <c r="R1500" t="s">
        <v>1983</v>
      </c>
      <c r="S1500" t="s">
        <v>4695</v>
      </c>
      <c r="T1500" t="s">
        <v>4696</v>
      </c>
      <c r="V1500" t="s">
        <v>1365</v>
      </c>
      <c r="W1500" t="s">
        <v>70</v>
      </c>
      <c r="AE1500" t="s">
        <v>478</v>
      </c>
      <c r="AF1500" t="s">
        <v>479</v>
      </c>
      <c r="AL1500" t="s">
        <v>919</v>
      </c>
      <c r="AM1500" t="s">
        <v>919</v>
      </c>
      <c r="AO1500" t="s">
        <v>480</v>
      </c>
      <c r="AP1500" t="s">
        <v>481</v>
      </c>
      <c r="AQ1500" t="s">
        <v>489</v>
      </c>
      <c r="AR1500" t="s">
        <v>482</v>
      </c>
      <c r="BF1500" s="1"/>
      <c r="BH1500" t="s">
        <v>1366</v>
      </c>
      <c r="BP1500" t="s">
        <v>1489</v>
      </c>
    </row>
    <row r="1501" spans="1:68" x14ac:dyDescent="0.25">
      <c r="A1501" t="s">
        <v>5713</v>
      </c>
      <c r="B1501" t="s">
        <v>474</v>
      </c>
      <c r="C1501" t="s">
        <v>2342</v>
      </c>
      <c r="E1501" t="s">
        <v>480</v>
      </c>
      <c r="G1501" s="1" t="s">
        <v>4697</v>
      </c>
      <c r="H1501" t="s">
        <v>476</v>
      </c>
      <c r="J1501">
        <v>500000</v>
      </c>
      <c r="M1501" t="s">
        <v>1417</v>
      </c>
      <c r="P1501" t="s">
        <v>121</v>
      </c>
      <c r="R1501" t="s">
        <v>1986</v>
      </c>
      <c r="S1501" t="s">
        <v>4698</v>
      </c>
      <c r="T1501" t="s">
        <v>4699</v>
      </c>
      <c r="V1501" t="s">
        <v>1365</v>
      </c>
      <c r="W1501" t="s">
        <v>70</v>
      </c>
      <c r="AE1501" t="s">
        <v>478</v>
      </c>
      <c r="AF1501" t="s">
        <v>479</v>
      </c>
      <c r="AL1501" t="s">
        <v>919</v>
      </c>
      <c r="AM1501" t="s">
        <v>919</v>
      </c>
      <c r="AO1501" t="s">
        <v>480</v>
      </c>
      <c r="AP1501" t="s">
        <v>481</v>
      </c>
      <c r="AQ1501" t="s">
        <v>499</v>
      </c>
      <c r="AR1501" t="s">
        <v>482</v>
      </c>
      <c r="BF1501" s="1"/>
      <c r="BH1501" t="s">
        <v>1366</v>
      </c>
      <c r="BP1501" t="s">
        <v>1489</v>
      </c>
    </row>
    <row r="1502" spans="1:68" x14ac:dyDescent="0.25">
      <c r="A1502" t="s">
        <v>5713</v>
      </c>
      <c r="B1502" t="s">
        <v>474</v>
      </c>
      <c r="C1502" t="s">
        <v>2259</v>
      </c>
      <c r="E1502" t="s">
        <v>480</v>
      </c>
      <c r="G1502" s="1" t="s">
        <v>4700</v>
      </c>
      <c r="H1502" t="s">
        <v>476</v>
      </c>
      <c r="J1502">
        <v>500000</v>
      </c>
      <c r="M1502" t="s">
        <v>1425</v>
      </c>
      <c r="P1502" t="s">
        <v>92</v>
      </c>
      <c r="R1502" t="s">
        <v>2274</v>
      </c>
      <c r="S1502" t="s">
        <v>4701</v>
      </c>
      <c r="T1502" t="s">
        <v>4702</v>
      </c>
      <c r="V1502" t="s">
        <v>1365</v>
      </c>
      <c r="W1502" t="s">
        <v>235</v>
      </c>
      <c r="AE1502" t="s">
        <v>478</v>
      </c>
      <c r="AF1502" t="s">
        <v>479</v>
      </c>
      <c r="AL1502" t="s">
        <v>919</v>
      </c>
      <c r="AM1502" t="s">
        <v>919</v>
      </c>
      <c r="AO1502" t="s">
        <v>480</v>
      </c>
      <c r="AP1502" t="s">
        <v>481</v>
      </c>
      <c r="AQ1502" t="s">
        <v>713</v>
      </c>
      <c r="AR1502" t="s">
        <v>482</v>
      </c>
      <c r="BF1502" s="1"/>
      <c r="BH1502" t="s">
        <v>1366</v>
      </c>
      <c r="BP1502" t="s">
        <v>1489</v>
      </c>
    </row>
    <row r="1503" spans="1:68" x14ac:dyDescent="0.25">
      <c r="A1503" t="s">
        <v>5713</v>
      </c>
      <c r="B1503" t="s">
        <v>474</v>
      </c>
      <c r="C1503" t="s">
        <v>2259</v>
      </c>
      <c r="E1503" t="s">
        <v>480</v>
      </c>
      <c r="G1503" s="1" t="s">
        <v>4703</v>
      </c>
      <c r="H1503" t="s">
        <v>476</v>
      </c>
      <c r="J1503">
        <v>500000</v>
      </c>
      <c r="M1503" t="s">
        <v>1425</v>
      </c>
      <c r="P1503" t="s">
        <v>92</v>
      </c>
      <c r="R1503" t="s">
        <v>710</v>
      </c>
      <c r="S1503" t="s">
        <v>1371</v>
      </c>
      <c r="T1503" t="s">
        <v>1372</v>
      </c>
      <c r="V1503" t="s">
        <v>1365</v>
      </c>
      <c r="W1503" t="s">
        <v>235</v>
      </c>
      <c r="AE1503" t="s">
        <v>478</v>
      </c>
      <c r="AF1503" t="s">
        <v>479</v>
      </c>
      <c r="AL1503" t="s">
        <v>919</v>
      </c>
      <c r="AM1503" t="s">
        <v>919</v>
      </c>
      <c r="AO1503" t="s">
        <v>480</v>
      </c>
      <c r="AP1503" t="s">
        <v>481</v>
      </c>
      <c r="AQ1503" t="s">
        <v>713</v>
      </c>
      <c r="AR1503" t="s">
        <v>482</v>
      </c>
      <c r="BF1503" s="1"/>
      <c r="BH1503" t="s">
        <v>1366</v>
      </c>
      <c r="BP1503" t="s">
        <v>1489</v>
      </c>
    </row>
    <row r="1504" spans="1:68" x14ac:dyDescent="0.25">
      <c r="A1504" t="s">
        <v>5713</v>
      </c>
      <c r="B1504" t="s">
        <v>474</v>
      </c>
      <c r="C1504" t="s">
        <v>2259</v>
      </c>
      <c r="E1504" t="s">
        <v>480</v>
      </c>
      <c r="G1504" s="1" t="s">
        <v>4704</v>
      </c>
      <c r="H1504" t="s">
        <v>476</v>
      </c>
      <c r="J1504">
        <v>500000</v>
      </c>
      <c r="M1504" t="s">
        <v>1414</v>
      </c>
      <c r="P1504" t="s">
        <v>117</v>
      </c>
      <c r="R1504" t="s">
        <v>731</v>
      </c>
      <c r="S1504" t="s">
        <v>4705</v>
      </c>
      <c r="T1504" t="s">
        <v>4706</v>
      </c>
      <c r="V1504" t="s">
        <v>1365</v>
      </c>
      <c r="W1504" t="s">
        <v>235</v>
      </c>
      <c r="AE1504" t="s">
        <v>478</v>
      </c>
      <c r="AF1504" t="s">
        <v>479</v>
      </c>
      <c r="AL1504" t="s">
        <v>919</v>
      </c>
      <c r="AM1504" t="s">
        <v>919</v>
      </c>
      <c r="AO1504" t="s">
        <v>480</v>
      </c>
      <c r="AP1504" t="s">
        <v>481</v>
      </c>
      <c r="AQ1504" t="s">
        <v>718</v>
      </c>
      <c r="AR1504" t="s">
        <v>482</v>
      </c>
      <c r="BF1504" s="1"/>
      <c r="BH1504" t="s">
        <v>1366</v>
      </c>
      <c r="BP1504" t="s">
        <v>1489</v>
      </c>
    </row>
    <row r="1505" spans="1:68" x14ac:dyDescent="0.25">
      <c r="A1505" t="s">
        <v>5713</v>
      </c>
      <c r="B1505" t="s">
        <v>474</v>
      </c>
      <c r="C1505" t="s">
        <v>2259</v>
      </c>
      <c r="E1505" t="s">
        <v>480</v>
      </c>
      <c r="G1505" s="1" t="s">
        <v>4707</v>
      </c>
      <c r="H1505" t="s">
        <v>476</v>
      </c>
      <c r="J1505">
        <v>500000</v>
      </c>
      <c r="M1505" t="s">
        <v>1424</v>
      </c>
      <c r="P1505" t="s">
        <v>96</v>
      </c>
      <c r="R1505" t="s">
        <v>734</v>
      </c>
      <c r="S1505" t="s">
        <v>1452</v>
      </c>
      <c r="T1505" t="s">
        <v>1453</v>
      </c>
      <c r="V1505" t="s">
        <v>1365</v>
      </c>
      <c r="W1505" t="s">
        <v>235</v>
      </c>
      <c r="AE1505" t="s">
        <v>478</v>
      </c>
      <c r="AF1505" t="s">
        <v>479</v>
      </c>
      <c r="AL1505" t="s">
        <v>919</v>
      </c>
      <c r="AM1505" t="s">
        <v>919</v>
      </c>
      <c r="AO1505" t="s">
        <v>480</v>
      </c>
      <c r="AP1505" t="s">
        <v>481</v>
      </c>
      <c r="AQ1505" t="s">
        <v>737</v>
      </c>
      <c r="AR1505" t="s">
        <v>482</v>
      </c>
      <c r="BF1505" s="1"/>
      <c r="BH1505" t="s">
        <v>1366</v>
      </c>
      <c r="BP1505" t="s">
        <v>1489</v>
      </c>
    </row>
    <row r="1506" spans="1:68" x14ac:dyDescent="0.25">
      <c r="A1506" t="s">
        <v>5713</v>
      </c>
      <c r="B1506" t="s">
        <v>474</v>
      </c>
      <c r="C1506" t="s">
        <v>2259</v>
      </c>
      <c r="E1506" t="s">
        <v>480</v>
      </c>
      <c r="G1506" s="1" t="s">
        <v>4708</v>
      </c>
      <c r="H1506" t="s">
        <v>476</v>
      </c>
      <c r="J1506">
        <v>500000</v>
      </c>
      <c r="M1506" t="s">
        <v>1425</v>
      </c>
      <c r="P1506" t="s">
        <v>92</v>
      </c>
      <c r="R1506" t="s">
        <v>2042</v>
      </c>
      <c r="S1506" t="s">
        <v>4709</v>
      </c>
      <c r="T1506" t="s">
        <v>4710</v>
      </c>
      <c r="V1506" t="s">
        <v>1365</v>
      </c>
      <c r="W1506" t="s">
        <v>235</v>
      </c>
      <c r="AE1506" t="s">
        <v>478</v>
      </c>
      <c r="AF1506" t="s">
        <v>479</v>
      </c>
      <c r="AL1506" t="s">
        <v>919</v>
      </c>
      <c r="AM1506" t="s">
        <v>919</v>
      </c>
      <c r="AO1506" t="s">
        <v>480</v>
      </c>
      <c r="AP1506" t="s">
        <v>481</v>
      </c>
      <c r="AQ1506" t="s">
        <v>713</v>
      </c>
      <c r="AR1506" t="s">
        <v>482</v>
      </c>
      <c r="BF1506" s="1"/>
      <c r="BH1506" t="s">
        <v>1366</v>
      </c>
      <c r="BP1506" t="s">
        <v>1489</v>
      </c>
    </row>
    <row r="1507" spans="1:68" x14ac:dyDescent="0.25">
      <c r="A1507" t="s">
        <v>5713</v>
      </c>
      <c r="B1507" t="s">
        <v>474</v>
      </c>
      <c r="C1507" t="s">
        <v>1655</v>
      </c>
      <c r="E1507" t="s">
        <v>480</v>
      </c>
      <c r="G1507" s="1" t="s">
        <v>4711</v>
      </c>
      <c r="H1507" t="s">
        <v>476</v>
      </c>
      <c r="J1507">
        <v>500000</v>
      </c>
      <c r="M1507" t="s">
        <v>1416</v>
      </c>
      <c r="P1507" t="s">
        <v>135</v>
      </c>
      <c r="R1507" t="s">
        <v>554</v>
      </c>
      <c r="S1507" t="s">
        <v>4712</v>
      </c>
      <c r="T1507" t="s">
        <v>4713</v>
      </c>
      <c r="V1507" t="s">
        <v>1365</v>
      </c>
      <c r="W1507" t="s">
        <v>73</v>
      </c>
      <c r="AE1507" t="s">
        <v>478</v>
      </c>
      <c r="AF1507" t="s">
        <v>479</v>
      </c>
      <c r="AL1507" t="s">
        <v>919</v>
      </c>
      <c r="AM1507" t="s">
        <v>919</v>
      </c>
      <c r="AO1507" t="s">
        <v>480</v>
      </c>
      <c r="AP1507" t="s">
        <v>481</v>
      </c>
      <c r="AQ1507" t="s">
        <v>574</v>
      </c>
      <c r="AR1507" t="s">
        <v>482</v>
      </c>
      <c r="BF1507" s="1"/>
      <c r="BH1507" t="s">
        <v>1366</v>
      </c>
      <c r="BP1507" t="s">
        <v>1489</v>
      </c>
    </row>
    <row r="1508" spans="1:68" x14ac:dyDescent="0.25">
      <c r="A1508" t="s">
        <v>5713</v>
      </c>
      <c r="B1508" t="s">
        <v>474</v>
      </c>
      <c r="C1508" t="s">
        <v>1655</v>
      </c>
      <c r="E1508" t="s">
        <v>480</v>
      </c>
      <c r="G1508" s="1" t="s">
        <v>4711</v>
      </c>
      <c r="H1508" t="s">
        <v>498</v>
      </c>
      <c r="J1508">
        <v>500000</v>
      </c>
      <c r="M1508" t="s">
        <v>1422</v>
      </c>
      <c r="P1508" t="s">
        <v>120</v>
      </c>
      <c r="R1508" t="s">
        <v>623</v>
      </c>
      <c r="S1508" t="s">
        <v>4714</v>
      </c>
      <c r="T1508" t="s">
        <v>4715</v>
      </c>
      <c r="V1508" t="s">
        <v>1365</v>
      </c>
      <c r="W1508" t="s">
        <v>73</v>
      </c>
      <c r="AE1508" t="s">
        <v>478</v>
      </c>
      <c r="AF1508" t="s">
        <v>479</v>
      </c>
      <c r="AL1508" t="s">
        <v>919</v>
      </c>
      <c r="AM1508" t="s">
        <v>919</v>
      </c>
      <c r="AO1508" t="s">
        <v>480</v>
      </c>
      <c r="AP1508" t="s">
        <v>481</v>
      </c>
      <c r="AQ1508" t="s">
        <v>632</v>
      </c>
      <c r="AR1508" t="s">
        <v>482</v>
      </c>
      <c r="BF1508" s="1"/>
      <c r="BH1508" t="s">
        <v>1366</v>
      </c>
      <c r="BP1508" t="s">
        <v>1489</v>
      </c>
    </row>
    <row r="1509" spans="1:68" x14ac:dyDescent="0.25">
      <c r="A1509" t="s">
        <v>5713</v>
      </c>
      <c r="B1509" t="s">
        <v>474</v>
      </c>
      <c r="C1509" t="s">
        <v>1655</v>
      </c>
      <c r="E1509" t="s">
        <v>480</v>
      </c>
      <c r="G1509" s="1" t="s">
        <v>4711</v>
      </c>
      <c r="H1509" t="s">
        <v>517</v>
      </c>
      <c r="J1509">
        <v>500000</v>
      </c>
      <c r="M1509" t="s">
        <v>1431</v>
      </c>
      <c r="P1509" t="s">
        <v>72</v>
      </c>
      <c r="R1509" t="s">
        <v>601</v>
      </c>
      <c r="S1509" t="s">
        <v>4716</v>
      </c>
      <c r="T1509" t="s">
        <v>4717</v>
      </c>
      <c r="V1509" t="s">
        <v>1365</v>
      </c>
      <c r="W1509" t="s">
        <v>73</v>
      </c>
      <c r="AE1509" t="s">
        <v>478</v>
      </c>
      <c r="AF1509" t="s">
        <v>479</v>
      </c>
      <c r="AL1509" t="s">
        <v>919</v>
      </c>
      <c r="AM1509" t="s">
        <v>919</v>
      </c>
      <c r="AO1509" t="s">
        <v>480</v>
      </c>
      <c r="AP1509" t="s">
        <v>481</v>
      </c>
      <c r="AQ1509" t="s">
        <v>757</v>
      </c>
      <c r="AR1509" t="s">
        <v>482</v>
      </c>
      <c r="BF1509" s="1"/>
      <c r="BH1509" t="s">
        <v>1366</v>
      </c>
      <c r="BP1509" t="s">
        <v>1489</v>
      </c>
    </row>
    <row r="1510" spans="1:68" x14ac:dyDescent="0.25">
      <c r="A1510" t="s">
        <v>5713</v>
      </c>
      <c r="B1510" t="s">
        <v>474</v>
      </c>
      <c r="C1510" t="s">
        <v>1655</v>
      </c>
      <c r="E1510" t="s">
        <v>480</v>
      </c>
      <c r="G1510" s="1" t="s">
        <v>4711</v>
      </c>
      <c r="H1510" t="s">
        <v>542</v>
      </c>
      <c r="J1510">
        <v>500000</v>
      </c>
      <c r="M1510" t="s">
        <v>1414</v>
      </c>
      <c r="P1510" t="s">
        <v>148</v>
      </c>
      <c r="R1510" t="s">
        <v>579</v>
      </c>
      <c r="S1510" t="s">
        <v>4718</v>
      </c>
      <c r="T1510" t="s">
        <v>4719</v>
      </c>
      <c r="V1510" t="s">
        <v>1365</v>
      </c>
      <c r="W1510" t="s">
        <v>73</v>
      </c>
      <c r="AE1510" t="s">
        <v>478</v>
      </c>
      <c r="AF1510" t="s">
        <v>479</v>
      </c>
      <c r="AL1510" t="s">
        <v>919</v>
      </c>
      <c r="AM1510" t="s">
        <v>919</v>
      </c>
      <c r="AO1510" t="s">
        <v>480</v>
      </c>
      <c r="AP1510" t="s">
        <v>481</v>
      </c>
      <c r="AQ1510" t="s">
        <v>591</v>
      </c>
      <c r="AR1510" t="s">
        <v>482</v>
      </c>
      <c r="BF1510" s="1"/>
      <c r="BH1510" t="s">
        <v>1366</v>
      </c>
      <c r="BP1510" t="s">
        <v>1489</v>
      </c>
    </row>
    <row r="1511" spans="1:68" x14ac:dyDescent="0.25">
      <c r="A1511" t="s">
        <v>5713</v>
      </c>
      <c r="B1511" t="s">
        <v>474</v>
      </c>
      <c r="C1511" t="s">
        <v>1655</v>
      </c>
      <c r="E1511" t="s">
        <v>480</v>
      </c>
      <c r="G1511" s="1" t="s">
        <v>4711</v>
      </c>
      <c r="H1511" t="s">
        <v>549</v>
      </c>
      <c r="J1511">
        <v>500000</v>
      </c>
      <c r="M1511" t="s">
        <v>1425</v>
      </c>
      <c r="P1511" t="s">
        <v>116</v>
      </c>
      <c r="R1511" t="s">
        <v>827</v>
      </c>
      <c r="S1511" t="s">
        <v>4720</v>
      </c>
      <c r="T1511" t="s">
        <v>4721</v>
      </c>
      <c r="V1511" t="s">
        <v>1365</v>
      </c>
      <c r="W1511" t="s">
        <v>73</v>
      </c>
      <c r="AE1511" t="s">
        <v>478</v>
      </c>
      <c r="AF1511" t="s">
        <v>479</v>
      </c>
      <c r="AL1511" t="s">
        <v>919</v>
      </c>
      <c r="AM1511" t="s">
        <v>919</v>
      </c>
      <c r="AO1511" t="s">
        <v>480</v>
      </c>
      <c r="AP1511" t="s">
        <v>481</v>
      </c>
      <c r="AQ1511" t="s">
        <v>645</v>
      </c>
      <c r="AR1511" t="s">
        <v>482</v>
      </c>
      <c r="BF1511" s="1"/>
      <c r="BH1511" t="s">
        <v>1366</v>
      </c>
      <c r="BP1511" t="s">
        <v>1489</v>
      </c>
    </row>
    <row r="1512" spans="1:68" x14ac:dyDescent="0.25">
      <c r="A1512" t="s">
        <v>5713</v>
      </c>
      <c r="B1512" t="s">
        <v>474</v>
      </c>
      <c r="C1512" t="s">
        <v>1655</v>
      </c>
      <c r="E1512" t="s">
        <v>480</v>
      </c>
      <c r="G1512" s="1" t="s">
        <v>4711</v>
      </c>
      <c r="H1512" t="s">
        <v>556</v>
      </c>
      <c r="J1512">
        <v>500000</v>
      </c>
      <c r="M1512" t="s">
        <v>1420</v>
      </c>
      <c r="P1512" t="s">
        <v>136</v>
      </c>
      <c r="R1512" t="s">
        <v>613</v>
      </c>
      <c r="S1512" t="s">
        <v>4722</v>
      </c>
      <c r="T1512" t="s">
        <v>4723</v>
      </c>
      <c r="V1512" t="s">
        <v>1365</v>
      </c>
      <c r="W1512" t="s">
        <v>73</v>
      </c>
      <c r="AE1512" t="s">
        <v>478</v>
      </c>
      <c r="AF1512" t="s">
        <v>479</v>
      </c>
      <c r="AL1512" t="s">
        <v>919</v>
      </c>
      <c r="AM1512" t="s">
        <v>919</v>
      </c>
      <c r="AO1512" t="s">
        <v>480</v>
      </c>
      <c r="AP1512" t="s">
        <v>481</v>
      </c>
      <c r="AQ1512" t="s">
        <v>790</v>
      </c>
      <c r="AR1512" t="s">
        <v>482</v>
      </c>
      <c r="BF1512" s="1"/>
      <c r="BH1512" t="s">
        <v>1366</v>
      </c>
      <c r="BP1512" t="s">
        <v>1489</v>
      </c>
    </row>
    <row r="1513" spans="1:68" x14ac:dyDescent="0.25">
      <c r="A1513" t="s">
        <v>5713</v>
      </c>
      <c r="B1513" t="s">
        <v>474</v>
      </c>
      <c r="C1513" t="s">
        <v>1655</v>
      </c>
      <c r="E1513" t="s">
        <v>480</v>
      </c>
      <c r="G1513" s="1" t="s">
        <v>4711</v>
      </c>
      <c r="H1513" t="s">
        <v>562</v>
      </c>
      <c r="J1513">
        <v>500000</v>
      </c>
      <c r="M1513" t="s">
        <v>1415</v>
      </c>
      <c r="P1513" t="s">
        <v>129</v>
      </c>
      <c r="R1513" t="s">
        <v>901</v>
      </c>
      <c r="S1513" t="s">
        <v>1442</v>
      </c>
      <c r="T1513" t="s">
        <v>1443</v>
      </c>
      <c r="V1513" t="s">
        <v>1365</v>
      </c>
      <c r="W1513" t="s">
        <v>73</v>
      </c>
      <c r="AE1513" t="s">
        <v>478</v>
      </c>
      <c r="AF1513" t="s">
        <v>479</v>
      </c>
      <c r="AL1513" t="s">
        <v>919</v>
      </c>
      <c r="AM1513" t="s">
        <v>919</v>
      </c>
      <c r="AO1513" t="s">
        <v>480</v>
      </c>
      <c r="AP1513" t="s">
        <v>481</v>
      </c>
      <c r="AQ1513" t="s">
        <v>691</v>
      </c>
      <c r="AR1513" t="s">
        <v>482</v>
      </c>
      <c r="BF1513" s="1"/>
      <c r="BH1513" t="s">
        <v>1366</v>
      </c>
      <c r="BP1513" t="s">
        <v>1489</v>
      </c>
    </row>
    <row r="1514" spans="1:68" x14ac:dyDescent="0.25">
      <c r="A1514" t="s">
        <v>5713</v>
      </c>
      <c r="B1514" t="s">
        <v>474</v>
      </c>
      <c r="C1514" t="s">
        <v>1655</v>
      </c>
      <c r="E1514" t="s">
        <v>480</v>
      </c>
      <c r="G1514" s="1" t="s">
        <v>4711</v>
      </c>
      <c r="H1514" t="s">
        <v>567</v>
      </c>
      <c r="J1514">
        <v>500000</v>
      </c>
      <c r="M1514" t="s">
        <v>1422</v>
      </c>
      <c r="P1514" t="s">
        <v>112</v>
      </c>
      <c r="R1514" t="s">
        <v>832</v>
      </c>
      <c r="S1514" t="s">
        <v>4724</v>
      </c>
      <c r="T1514" t="s">
        <v>4725</v>
      </c>
      <c r="V1514" t="s">
        <v>1365</v>
      </c>
      <c r="W1514" t="s">
        <v>73</v>
      </c>
      <c r="AE1514" t="s">
        <v>478</v>
      </c>
      <c r="AF1514" t="s">
        <v>479</v>
      </c>
      <c r="AL1514" t="s">
        <v>919</v>
      </c>
      <c r="AM1514" t="s">
        <v>919</v>
      </c>
      <c r="AO1514" t="s">
        <v>480</v>
      </c>
      <c r="AP1514" t="s">
        <v>481</v>
      </c>
      <c r="AQ1514" t="s">
        <v>577</v>
      </c>
      <c r="AR1514" t="s">
        <v>482</v>
      </c>
      <c r="BF1514" s="1"/>
      <c r="BH1514" t="s">
        <v>1366</v>
      </c>
      <c r="BP1514" t="s">
        <v>1489</v>
      </c>
    </row>
    <row r="1515" spans="1:68" x14ac:dyDescent="0.25">
      <c r="A1515" t="s">
        <v>5713</v>
      </c>
      <c r="B1515" t="s">
        <v>474</v>
      </c>
      <c r="C1515" t="s">
        <v>1655</v>
      </c>
      <c r="E1515" t="s">
        <v>480</v>
      </c>
      <c r="G1515" s="1" t="s">
        <v>4711</v>
      </c>
      <c r="H1515" t="s">
        <v>575</v>
      </c>
      <c r="J1515">
        <v>500000</v>
      </c>
      <c r="M1515" t="s">
        <v>1425</v>
      </c>
      <c r="P1515" t="s">
        <v>101</v>
      </c>
      <c r="R1515" t="s">
        <v>565</v>
      </c>
      <c r="S1515" t="s">
        <v>4726</v>
      </c>
      <c r="T1515" t="s">
        <v>4727</v>
      </c>
      <c r="V1515" t="s">
        <v>1365</v>
      </c>
      <c r="W1515" t="s">
        <v>73</v>
      </c>
      <c r="AE1515" t="s">
        <v>478</v>
      </c>
      <c r="AF1515" t="s">
        <v>479</v>
      </c>
      <c r="AL1515" t="s">
        <v>919</v>
      </c>
      <c r="AM1515" t="s">
        <v>919</v>
      </c>
      <c r="AO1515" t="s">
        <v>480</v>
      </c>
      <c r="AP1515" t="s">
        <v>481</v>
      </c>
      <c r="AQ1515" t="s">
        <v>699</v>
      </c>
      <c r="AR1515" t="s">
        <v>482</v>
      </c>
      <c r="BF1515" s="1"/>
      <c r="BH1515" t="s">
        <v>1366</v>
      </c>
      <c r="BP1515" t="s">
        <v>1489</v>
      </c>
    </row>
    <row r="1516" spans="1:68" x14ac:dyDescent="0.25">
      <c r="A1516" t="s">
        <v>5713</v>
      </c>
      <c r="B1516" t="s">
        <v>474</v>
      </c>
      <c r="C1516" t="s">
        <v>1655</v>
      </c>
      <c r="E1516" t="s">
        <v>480</v>
      </c>
      <c r="G1516" s="1" t="s">
        <v>4711</v>
      </c>
      <c r="H1516" t="s">
        <v>581</v>
      </c>
      <c r="J1516">
        <v>500000</v>
      </c>
      <c r="M1516" t="s">
        <v>1422</v>
      </c>
      <c r="P1516" t="s">
        <v>77</v>
      </c>
      <c r="R1516" t="s">
        <v>663</v>
      </c>
      <c r="S1516" t="s">
        <v>4728</v>
      </c>
      <c r="T1516" t="s">
        <v>4729</v>
      </c>
      <c r="V1516" t="s">
        <v>1365</v>
      </c>
      <c r="W1516" t="s">
        <v>73</v>
      </c>
      <c r="AE1516" t="s">
        <v>478</v>
      </c>
      <c r="AF1516" t="s">
        <v>479</v>
      </c>
      <c r="AL1516" t="s">
        <v>919</v>
      </c>
      <c r="AM1516" t="s">
        <v>919</v>
      </c>
      <c r="AO1516" t="s">
        <v>480</v>
      </c>
      <c r="AP1516" t="s">
        <v>481</v>
      </c>
      <c r="AQ1516" t="s">
        <v>533</v>
      </c>
      <c r="AR1516" t="s">
        <v>482</v>
      </c>
      <c r="BF1516" s="1"/>
      <c r="BH1516" t="s">
        <v>1366</v>
      </c>
      <c r="BP1516" t="s">
        <v>1489</v>
      </c>
    </row>
    <row r="1517" spans="1:68" x14ac:dyDescent="0.25">
      <c r="A1517" t="s">
        <v>5713</v>
      </c>
      <c r="B1517" t="s">
        <v>474</v>
      </c>
      <c r="C1517" t="s">
        <v>1655</v>
      </c>
      <c r="E1517" t="s">
        <v>480</v>
      </c>
      <c r="G1517" s="1" t="s">
        <v>4711</v>
      </c>
      <c r="H1517" t="s">
        <v>589</v>
      </c>
      <c r="J1517">
        <v>500000</v>
      </c>
      <c r="M1517" t="s">
        <v>1425</v>
      </c>
      <c r="P1517" t="s">
        <v>170</v>
      </c>
      <c r="R1517" t="s">
        <v>786</v>
      </c>
      <c r="S1517" t="s">
        <v>4730</v>
      </c>
      <c r="T1517" t="s">
        <v>4731</v>
      </c>
      <c r="V1517" t="s">
        <v>1365</v>
      </c>
      <c r="W1517" t="s">
        <v>73</v>
      </c>
      <c r="AE1517" t="s">
        <v>478</v>
      </c>
      <c r="AF1517" t="s">
        <v>479</v>
      </c>
      <c r="AL1517" t="s">
        <v>919</v>
      </c>
      <c r="AM1517" t="s">
        <v>919</v>
      </c>
      <c r="AO1517" t="s">
        <v>480</v>
      </c>
      <c r="AP1517" t="s">
        <v>481</v>
      </c>
      <c r="AQ1517" t="s">
        <v>854</v>
      </c>
      <c r="AR1517" t="s">
        <v>482</v>
      </c>
      <c r="BF1517" s="1"/>
      <c r="BH1517" t="s">
        <v>1366</v>
      </c>
      <c r="BP1517" t="s">
        <v>1489</v>
      </c>
    </row>
    <row r="1518" spans="1:68" x14ac:dyDescent="0.25">
      <c r="A1518" t="s">
        <v>5713</v>
      </c>
      <c r="B1518" t="s">
        <v>474</v>
      </c>
      <c r="C1518" t="s">
        <v>1655</v>
      </c>
      <c r="E1518" t="s">
        <v>480</v>
      </c>
      <c r="G1518" s="1" t="s">
        <v>4711</v>
      </c>
      <c r="H1518" t="s">
        <v>598</v>
      </c>
      <c r="J1518">
        <v>500000</v>
      </c>
      <c r="M1518" t="s">
        <v>1427</v>
      </c>
      <c r="P1518" t="s">
        <v>104</v>
      </c>
      <c r="R1518" t="s">
        <v>821</v>
      </c>
      <c r="S1518" t="s">
        <v>4732</v>
      </c>
      <c r="T1518" t="s">
        <v>4733</v>
      </c>
      <c r="V1518" t="s">
        <v>1365</v>
      </c>
      <c r="W1518" t="s">
        <v>73</v>
      </c>
      <c r="AE1518" t="s">
        <v>478</v>
      </c>
      <c r="AF1518" t="s">
        <v>479</v>
      </c>
      <c r="AL1518" t="s">
        <v>919</v>
      </c>
      <c r="AM1518" t="s">
        <v>919</v>
      </c>
      <c r="AO1518" t="s">
        <v>480</v>
      </c>
      <c r="AP1518" t="s">
        <v>481</v>
      </c>
      <c r="AQ1518" t="s">
        <v>637</v>
      </c>
      <c r="AR1518" t="s">
        <v>482</v>
      </c>
      <c r="BF1518" s="1"/>
      <c r="BH1518" t="s">
        <v>1366</v>
      </c>
      <c r="BP1518" t="s">
        <v>1489</v>
      </c>
    </row>
    <row r="1519" spans="1:68" x14ac:dyDescent="0.25">
      <c r="A1519" t="s">
        <v>5713</v>
      </c>
      <c r="B1519" t="s">
        <v>474</v>
      </c>
      <c r="C1519" t="s">
        <v>1655</v>
      </c>
      <c r="E1519" t="s">
        <v>480</v>
      </c>
      <c r="G1519" s="1" t="s">
        <v>4711</v>
      </c>
      <c r="H1519" t="s">
        <v>604</v>
      </c>
      <c r="J1519">
        <v>500000</v>
      </c>
      <c r="M1519" t="s">
        <v>1420</v>
      </c>
      <c r="P1519" t="s">
        <v>156</v>
      </c>
      <c r="R1519" t="s">
        <v>623</v>
      </c>
      <c r="S1519" t="s">
        <v>4462</v>
      </c>
      <c r="T1519" t="s">
        <v>4463</v>
      </c>
      <c r="V1519" t="s">
        <v>1365</v>
      </c>
      <c r="W1519" t="s">
        <v>73</v>
      </c>
      <c r="AE1519" t="s">
        <v>478</v>
      </c>
      <c r="AF1519" t="s">
        <v>479</v>
      </c>
      <c r="AL1519" t="s">
        <v>919</v>
      </c>
      <c r="AM1519" t="s">
        <v>919</v>
      </c>
      <c r="AO1519" t="s">
        <v>480</v>
      </c>
      <c r="AP1519" t="s">
        <v>481</v>
      </c>
      <c r="AQ1519" t="s">
        <v>615</v>
      </c>
      <c r="AR1519" t="s">
        <v>482</v>
      </c>
      <c r="BF1519" s="1"/>
      <c r="BH1519" t="s">
        <v>1366</v>
      </c>
      <c r="BP1519" t="s">
        <v>1489</v>
      </c>
    </row>
    <row r="1520" spans="1:68" x14ac:dyDescent="0.25">
      <c r="A1520" t="s">
        <v>5713</v>
      </c>
      <c r="B1520" t="s">
        <v>474</v>
      </c>
      <c r="C1520" t="s">
        <v>1655</v>
      </c>
      <c r="E1520" t="s">
        <v>480</v>
      </c>
      <c r="G1520" s="1" t="s">
        <v>4711</v>
      </c>
      <c r="H1520" t="s">
        <v>611</v>
      </c>
      <c r="J1520">
        <v>500000</v>
      </c>
      <c r="M1520" t="s">
        <v>1423</v>
      </c>
      <c r="P1520" t="s">
        <v>115</v>
      </c>
      <c r="R1520" t="s">
        <v>543</v>
      </c>
      <c r="S1520" t="s">
        <v>4734</v>
      </c>
      <c r="T1520" t="s">
        <v>4735</v>
      </c>
      <c r="V1520" t="s">
        <v>1365</v>
      </c>
      <c r="W1520" t="s">
        <v>73</v>
      </c>
      <c r="AE1520" t="s">
        <v>478</v>
      </c>
      <c r="AF1520" t="s">
        <v>479</v>
      </c>
      <c r="AL1520" t="s">
        <v>919</v>
      </c>
      <c r="AM1520" t="s">
        <v>919</v>
      </c>
      <c r="AO1520" t="s">
        <v>480</v>
      </c>
      <c r="AP1520" t="s">
        <v>481</v>
      </c>
      <c r="AQ1520" t="s">
        <v>626</v>
      </c>
      <c r="AR1520" t="s">
        <v>482</v>
      </c>
      <c r="BF1520" s="1"/>
      <c r="BH1520" t="s">
        <v>1366</v>
      </c>
      <c r="BP1520" t="s">
        <v>1489</v>
      </c>
    </row>
    <row r="1521" spans="1:68" x14ac:dyDescent="0.25">
      <c r="A1521" t="s">
        <v>5713</v>
      </c>
      <c r="B1521" t="s">
        <v>474</v>
      </c>
      <c r="C1521" t="s">
        <v>1655</v>
      </c>
      <c r="E1521" t="s">
        <v>480</v>
      </c>
      <c r="G1521" s="1" t="s">
        <v>4736</v>
      </c>
      <c r="H1521" t="s">
        <v>476</v>
      </c>
      <c r="J1521">
        <v>500000</v>
      </c>
      <c r="M1521" t="s">
        <v>1431</v>
      </c>
      <c r="P1521" t="s">
        <v>72</v>
      </c>
      <c r="R1521" t="s">
        <v>565</v>
      </c>
      <c r="S1521" t="s">
        <v>4737</v>
      </c>
      <c r="T1521" t="s">
        <v>4738</v>
      </c>
      <c r="V1521" t="s">
        <v>1365</v>
      </c>
      <c r="W1521" t="s">
        <v>73</v>
      </c>
      <c r="AE1521" t="s">
        <v>478</v>
      </c>
      <c r="AF1521" t="s">
        <v>479</v>
      </c>
      <c r="AL1521" t="s">
        <v>919</v>
      </c>
      <c r="AM1521" t="s">
        <v>919</v>
      </c>
      <c r="AO1521" t="s">
        <v>480</v>
      </c>
      <c r="AP1521" t="s">
        <v>481</v>
      </c>
      <c r="AQ1521" t="s">
        <v>757</v>
      </c>
      <c r="AR1521" t="s">
        <v>482</v>
      </c>
      <c r="BF1521" s="1"/>
      <c r="BH1521" t="s">
        <v>1366</v>
      </c>
      <c r="BP1521" t="s">
        <v>1489</v>
      </c>
    </row>
    <row r="1522" spans="1:68" x14ac:dyDescent="0.25">
      <c r="A1522" t="s">
        <v>5713</v>
      </c>
      <c r="B1522" t="s">
        <v>474</v>
      </c>
      <c r="C1522" t="s">
        <v>1655</v>
      </c>
      <c r="E1522" t="s">
        <v>480</v>
      </c>
      <c r="G1522" s="1" t="s">
        <v>4736</v>
      </c>
      <c r="H1522" t="s">
        <v>498</v>
      </c>
      <c r="J1522">
        <v>500000</v>
      </c>
      <c r="M1522" t="s">
        <v>1425</v>
      </c>
      <c r="P1522" t="s">
        <v>170</v>
      </c>
      <c r="R1522" t="s">
        <v>804</v>
      </c>
      <c r="S1522" t="s">
        <v>4739</v>
      </c>
      <c r="T1522" t="s">
        <v>4740</v>
      </c>
      <c r="V1522" t="s">
        <v>1365</v>
      </c>
      <c r="W1522" t="s">
        <v>73</v>
      </c>
      <c r="AE1522" t="s">
        <v>478</v>
      </c>
      <c r="AF1522" t="s">
        <v>479</v>
      </c>
      <c r="AL1522" t="s">
        <v>919</v>
      </c>
      <c r="AM1522" t="s">
        <v>919</v>
      </c>
      <c r="AO1522" t="s">
        <v>480</v>
      </c>
      <c r="AP1522" t="s">
        <v>481</v>
      </c>
      <c r="AQ1522" t="s">
        <v>854</v>
      </c>
      <c r="AR1522" t="s">
        <v>482</v>
      </c>
      <c r="BF1522" s="1"/>
      <c r="BH1522" t="s">
        <v>1366</v>
      </c>
      <c r="BP1522" t="s">
        <v>1489</v>
      </c>
    </row>
    <row r="1523" spans="1:68" x14ac:dyDescent="0.25">
      <c r="A1523" t="s">
        <v>5713</v>
      </c>
      <c r="B1523" t="s">
        <v>474</v>
      </c>
      <c r="C1523" t="s">
        <v>1655</v>
      </c>
      <c r="E1523" t="s">
        <v>480</v>
      </c>
      <c r="G1523" s="1" t="s">
        <v>4736</v>
      </c>
      <c r="H1523" t="s">
        <v>517</v>
      </c>
      <c r="J1523">
        <v>500000</v>
      </c>
      <c r="M1523" t="s">
        <v>1420</v>
      </c>
      <c r="P1523" t="s">
        <v>119</v>
      </c>
      <c r="R1523" t="s">
        <v>693</v>
      </c>
      <c r="S1523" t="s">
        <v>4741</v>
      </c>
      <c r="T1523" t="s">
        <v>4742</v>
      </c>
      <c r="V1523" t="s">
        <v>1365</v>
      </c>
      <c r="W1523" t="s">
        <v>73</v>
      </c>
      <c r="AE1523" t="s">
        <v>478</v>
      </c>
      <c r="AF1523" t="s">
        <v>479</v>
      </c>
      <c r="AL1523" t="s">
        <v>919</v>
      </c>
      <c r="AM1523" t="s">
        <v>919</v>
      </c>
      <c r="AO1523" t="s">
        <v>480</v>
      </c>
      <c r="AP1523" t="s">
        <v>481</v>
      </c>
      <c r="AQ1523" t="s">
        <v>756</v>
      </c>
      <c r="AR1523" t="s">
        <v>482</v>
      </c>
      <c r="BF1523" s="1"/>
      <c r="BH1523" t="s">
        <v>1366</v>
      </c>
      <c r="BP1523" t="s">
        <v>1489</v>
      </c>
    </row>
    <row r="1524" spans="1:68" x14ac:dyDescent="0.25">
      <c r="A1524" t="s">
        <v>5713</v>
      </c>
      <c r="B1524" t="s">
        <v>474</v>
      </c>
      <c r="C1524" t="s">
        <v>1655</v>
      </c>
      <c r="E1524" t="s">
        <v>480</v>
      </c>
      <c r="G1524" s="1" t="s">
        <v>4736</v>
      </c>
      <c r="H1524" t="s">
        <v>542</v>
      </c>
      <c r="J1524">
        <v>500000</v>
      </c>
      <c r="M1524" t="s">
        <v>1425</v>
      </c>
      <c r="P1524" t="s">
        <v>110</v>
      </c>
      <c r="R1524" t="s">
        <v>613</v>
      </c>
      <c r="S1524" t="s">
        <v>4743</v>
      </c>
      <c r="T1524" t="s">
        <v>4744</v>
      </c>
      <c r="V1524" t="s">
        <v>1365</v>
      </c>
      <c r="W1524" t="s">
        <v>73</v>
      </c>
      <c r="AE1524" t="s">
        <v>478</v>
      </c>
      <c r="AF1524" t="s">
        <v>479</v>
      </c>
      <c r="AL1524" t="s">
        <v>919</v>
      </c>
      <c r="AM1524" t="s">
        <v>919</v>
      </c>
      <c r="AO1524" t="s">
        <v>480</v>
      </c>
      <c r="AP1524" t="s">
        <v>481</v>
      </c>
      <c r="AQ1524" t="s">
        <v>624</v>
      </c>
      <c r="AR1524" t="s">
        <v>482</v>
      </c>
      <c r="BF1524" s="1"/>
      <c r="BH1524" t="s">
        <v>1366</v>
      </c>
      <c r="BP1524" t="s">
        <v>1489</v>
      </c>
    </row>
    <row r="1525" spans="1:68" x14ac:dyDescent="0.25">
      <c r="A1525" t="s">
        <v>5713</v>
      </c>
      <c r="B1525" t="s">
        <v>474</v>
      </c>
      <c r="C1525" t="s">
        <v>1655</v>
      </c>
      <c r="E1525" t="s">
        <v>480</v>
      </c>
      <c r="G1525" s="1" t="s">
        <v>4736</v>
      </c>
      <c r="H1525" t="s">
        <v>549</v>
      </c>
      <c r="J1525">
        <v>500000</v>
      </c>
      <c r="M1525" t="s">
        <v>1423</v>
      </c>
      <c r="P1525" t="s">
        <v>80</v>
      </c>
      <c r="R1525" t="s">
        <v>672</v>
      </c>
      <c r="S1525" t="s">
        <v>4745</v>
      </c>
      <c r="T1525" t="s">
        <v>4746</v>
      </c>
      <c r="V1525" t="s">
        <v>1365</v>
      </c>
      <c r="W1525" t="s">
        <v>73</v>
      </c>
      <c r="AE1525" t="s">
        <v>478</v>
      </c>
      <c r="AF1525" t="s">
        <v>479</v>
      </c>
      <c r="AL1525" t="s">
        <v>919</v>
      </c>
      <c r="AM1525" t="s">
        <v>919</v>
      </c>
      <c r="AO1525" t="s">
        <v>480</v>
      </c>
      <c r="AP1525" t="s">
        <v>481</v>
      </c>
      <c r="AQ1525" t="s">
        <v>603</v>
      </c>
      <c r="AR1525" t="s">
        <v>482</v>
      </c>
      <c r="BF1525" s="1"/>
      <c r="BH1525" t="s">
        <v>1366</v>
      </c>
      <c r="BP1525" t="s">
        <v>1489</v>
      </c>
    </row>
    <row r="1526" spans="1:68" x14ac:dyDescent="0.25">
      <c r="A1526" t="s">
        <v>5713</v>
      </c>
      <c r="B1526" t="s">
        <v>474</v>
      </c>
      <c r="C1526" t="s">
        <v>1655</v>
      </c>
      <c r="E1526" t="s">
        <v>480</v>
      </c>
      <c r="G1526" s="1" t="s">
        <v>4736</v>
      </c>
      <c r="H1526" t="s">
        <v>556</v>
      </c>
      <c r="J1526">
        <v>500000</v>
      </c>
      <c r="M1526" t="s">
        <v>1424</v>
      </c>
      <c r="P1526" t="s">
        <v>157</v>
      </c>
      <c r="R1526" t="s">
        <v>753</v>
      </c>
      <c r="S1526" t="s">
        <v>4747</v>
      </c>
      <c r="T1526" t="s">
        <v>4748</v>
      </c>
      <c r="V1526" t="s">
        <v>1365</v>
      </c>
      <c r="W1526" t="s">
        <v>73</v>
      </c>
      <c r="AE1526" t="s">
        <v>478</v>
      </c>
      <c r="AF1526" t="s">
        <v>479</v>
      </c>
      <c r="AL1526" t="s">
        <v>919</v>
      </c>
      <c r="AM1526" t="s">
        <v>919</v>
      </c>
      <c r="AO1526" t="s">
        <v>480</v>
      </c>
      <c r="AP1526" t="s">
        <v>481</v>
      </c>
      <c r="AQ1526" t="s">
        <v>667</v>
      </c>
      <c r="AR1526" t="s">
        <v>482</v>
      </c>
      <c r="BF1526" s="1"/>
      <c r="BH1526" t="s">
        <v>1366</v>
      </c>
      <c r="BP1526" t="s">
        <v>1489</v>
      </c>
    </row>
    <row r="1527" spans="1:68" x14ac:dyDescent="0.25">
      <c r="A1527" t="s">
        <v>5713</v>
      </c>
      <c r="B1527" t="s">
        <v>474</v>
      </c>
      <c r="C1527" t="s">
        <v>1655</v>
      </c>
      <c r="E1527" t="s">
        <v>480</v>
      </c>
      <c r="G1527" s="1" t="s">
        <v>4736</v>
      </c>
      <c r="H1527" t="s">
        <v>562</v>
      </c>
      <c r="J1527">
        <v>500000</v>
      </c>
      <c r="M1527" t="s">
        <v>1427</v>
      </c>
      <c r="P1527" t="s">
        <v>104</v>
      </c>
      <c r="R1527" t="s">
        <v>593</v>
      </c>
      <c r="S1527" t="s">
        <v>4749</v>
      </c>
      <c r="T1527" t="s">
        <v>4750</v>
      </c>
      <c r="V1527" t="s">
        <v>1365</v>
      </c>
      <c r="W1527" t="s">
        <v>73</v>
      </c>
      <c r="AE1527" t="s">
        <v>478</v>
      </c>
      <c r="AF1527" t="s">
        <v>479</v>
      </c>
      <c r="AL1527" t="s">
        <v>919</v>
      </c>
      <c r="AM1527" t="s">
        <v>919</v>
      </c>
      <c r="AO1527" t="s">
        <v>480</v>
      </c>
      <c r="AP1527" t="s">
        <v>481</v>
      </c>
      <c r="AQ1527" t="s">
        <v>637</v>
      </c>
      <c r="AR1527" t="s">
        <v>482</v>
      </c>
      <c r="BF1527" s="1"/>
      <c r="BH1527" t="s">
        <v>1366</v>
      </c>
      <c r="BP1527" t="s">
        <v>1489</v>
      </c>
    </row>
    <row r="1528" spans="1:68" x14ac:dyDescent="0.25">
      <c r="A1528" t="s">
        <v>5713</v>
      </c>
      <c r="B1528" t="s">
        <v>474</v>
      </c>
      <c r="C1528" t="s">
        <v>1655</v>
      </c>
      <c r="E1528" t="s">
        <v>480</v>
      </c>
      <c r="G1528" s="1" t="s">
        <v>4736</v>
      </c>
      <c r="H1528" t="s">
        <v>567</v>
      </c>
      <c r="J1528">
        <v>500000</v>
      </c>
      <c r="M1528" t="s">
        <v>1420</v>
      </c>
      <c r="P1528" t="s">
        <v>78</v>
      </c>
      <c r="R1528" t="s">
        <v>623</v>
      </c>
      <c r="S1528" t="s">
        <v>4751</v>
      </c>
      <c r="T1528" t="s">
        <v>4752</v>
      </c>
      <c r="V1528" t="s">
        <v>1365</v>
      </c>
      <c r="W1528" t="s">
        <v>73</v>
      </c>
      <c r="AE1528" t="s">
        <v>478</v>
      </c>
      <c r="AF1528" t="s">
        <v>479</v>
      </c>
      <c r="AL1528" t="s">
        <v>919</v>
      </c>
      <c r="AM1528" t="s">
        <v>919</v>
      </c>
      <c r="AO1528" t="s">
        <v>480</v>
      </c>
      <c r="AP1528" t="s">
        <v>481</v>
      </c>
      <c r="AQ1528" t="s">
        <v>631</v>
      </c>
      <c r="AR1528" t="s">
        <v>482</v>
      </c>
      <c r="BF1528" s="1"/>
      <c r="BH1528" t="s">
        <v>1366</v>
      </c>
      <c r="BP1528" t="s">
        <v>1489</v>
      </c>
    </row>
    <row r="1529" spans="1:68" x14ac:dyDescent="0.25">
      <c r="A1529" t="s">
        <v>5713</v>
      </c>
      <c r="B1529" t="s">
        <v>474</v>
      </c>
      <c r="C1529" t="s">
        <v>1655</v>
      </c>
      <c r="E1529" t="s">
        <v>480</v>
      </c>
      <c r="G1529" s="1" t="s">
        <v>4736</v>
      </c>
      <c r="H1529" t="s">
        <v>575</v>
      </c>
      <c r="J1529">
        <v>500000</v>
      </c>
      <c r="M1529" t="s">
        <v>1416</v>
      </c>
      <c r="P1529" t="s">
        <v>94</v>
      </c>
      <c r="R1529" t="s">
        <v>653</v>
      </c>
      <c r="S1529" t="s">
        <v>4753</v>
      </c>
      <c r="T1529" t="s">
        <v>4754</v>
      </c>
      <c r="V1529" t="s">
        <v>1365</v>
      </c>
      <c r="W1529" t="s">
        <v>73</v>
      </c>
      <c r="AE1529" t="s">
        <v>478</v>
      </c>
      <c r="AF1529" t="s">
        <v>479</v>
      </c>
      <c r="AL1529" t="s">
        <v>919</v>
      </c>
      <c r="AM1529" t="s">
        <v>919</v>
      </c>
      <c r="AO1529" t="s">
        <v>480</v>
      </c>
      <c r="AP1529" t="s">
        <v>481</v>
      </c>
      <c r="AQ1529" t="s">
        <v>555</v>
      </c>
      <c r="AR1529" t="s">
        <v>482</v>
      </c>
      <c r="BF1529" s="1"/>
      <c r="BH1529" t="s">
        <v>1366</v>
      </c>
      <c r="BP1529" t="s">
        <v>1489</v>
      </c>
    </row>
    <row r="1530" spans="1:68" x14ac:dyDescent="0.25">
      <c r="A1530" t="s">
        <v>5713</v>
      </c>
      <c r="B1530" t="s">
        <v>474</v>
      </c>
      <c r="C1530" t="s">
        <v>1655</v>
      </c>
      <c r="E1530" t="s">
        <v>480</v>
      </c>
      <c r="G1530" s="1" t="s">
        <v>4736</v>
      </c>
      <c r="H1530" t="s">
        <v>581</v>
      </c>
      <c r="J1530">
        <v>500000</v>
      </c>
      <c r="M1530" t="s">
        <v>1425</v>
      </c>
      <c r="P1530" t="s">
        <v>101</v>
      </c>
      <c r="R1530" t="s">
        <v>830</v>
      </c>
      <c r="S1530" t="s">
        <v>4755</v>
      </c>
      <c r="T1530" t="s">
        <v>4756</v>
      </c>
      <c r="V1530" t="s">
        <v>1365</v>
      </c>
      <c r="W1530" t="s">
        <v>73</v>
      </c>
      <c r="AE1530" t="s">
        <v>478</v>
      </c>
      <c r="AF1530" t="s">
        <v>479</v>
      </c>
      <c r="AL1530" t="s">
        <v>919</v>
      </c>
      <c r="AM1530" t="s">
        <v>919</v>
      </c>
      <c r="AO1530" t="s">
        <v>480</v>
      </c>
      <c r="AP1530" t="s">
        <v>481</v>
      </c>
      <c r="AQ1530" t="s">
        <v>699</v>
      </c>
      <c r="AR1530" t="s">
        <v>482</v>
      </c>
      <c r="BF1530" s="1"/>
      <c r="BH1530" t="s">
        <v>1366</v>
      </c>
      <c r="BP1530" t="s">
        <v>1489</v>
      </c>
    </row>
    <row r="1531" spans="1:68" x14ac:dyDescent="0.25">
      <c r="A1531" t="s">
        <v>5713</v>
      </c>
      <c r="B1531" t="s">
        <v>474</v>
      </c>
      <c r="C1531" t="s">
        <v>1655</v>
      </c>
      <c r="E1531" t="s">
        <v>480</v>
      </c>
      <c r="G1531" s="1" t="s">
        <v>4736</v>
      </c>
      <c r="H1531" t="s">
        <v>589</v>
      </c>
      <c r="J1531">
        <v>500000</v>
      </c>
      <c r="M1531" t="s">
        <v>1422</v>
      </c>
      <c r="P1531" t="s">
        <v>75</v>
      </c>
      <c r="R1531" t="s">
        <v>565</v>
      </c>
      <c r="S1531" t="s">
        <v>4757</v>
      </c>
      <c r="T1531" t="s">
        <v>4758</v>
      </c>
      <c r="V1531" t="s">
        <v>1365</v>
      </c>
      <c r="W1531" t="s">
        <v>73</v>
      </c>
      <c r="AE1531" t="s">
        <v>478</v>
      </c>
      <c r="AF1531" t="s">
        <v>479</v>
      </c>
      <c r="AL1531" t="s">
        <v>919</v>
      </c>
      <c r="AM1531" t="s">
        <v>919</v>
      </c>
      <c r="AO1531" t="s">
        <v>480</v>
      </c>
      <c r="AP1531" t="s">
        <v>481</v>
      </c>
      <c r="AQ1531" t="s">
        <v>599</v>
      </c>
      <c r="AR1531" t="s">
        <v>482</v>
      </c>
      <c r="BF1531" s="1"/>
      <c r="BH1531" t="s">
        <v>1366</v>
      </c>
      <c r="BP1531" t="s">
        <v>1489</v>
      </c>
    </row>
    <row r="1532" spans="1:68" x14ac:dyDescent="0.25">
      <c r="A1532" t="s">
        <v>5713</v>
      </c>
      <c r="B1532" t="s">
        <v>474</v>
      </c>
      <c r="C1532" t="s">
        <v>1679</v>
      </c>
      <c r="E1532" t="s">
        <v>480</v>
      </c>
      <c r="G1532" s="1" t="s">
        <v>4759</v>
      </c>
      <c r="H1532" t="s">
        <v>476</v>
      </c>
      <c r="J1532">
        <v>500000</v>
      </c>
      <c r="M1532" t="s">
        <v>1420</v>
      </c>
      <c r="P1532" t="s">
        <v>119</v>
      </c>
      <c r="R1532" t="s">
        <v>593</v>
      </c>
      <c r="S1532" t="s">
        <v>4656</v>
      </c>
      <c r="T1532" t="s">
        <v>4657</v>
      </c>
      <c r="V1532" t="s">
        <v>1365</v>
      </c>
      <c r="W1532" t="s">
        <v>73</v>
      </c>
      <c r="AE1532" t="s">
        <v>478</v>
      </c>
      <c r="AF1532" t="s">
        <v>479</v>
      </c>
      <c r="AL1532" t="s">
        <v>919</v>
      </c>
      <c r="AM1532" t="s">
        <v>919</v>
      </c>
      <c r="AO1532" t="s">
        <v>480</v>
      </c>
      <c r="AP1532" t="s">
        <v>481</v>
      </c>
      <c r="AQ1532" t="s">
        <v>756</v>
      </c>
      <c r="AR1532" t="s">
        <v>482</v>
      </c>
      <c r="BF1532" s="1"/>
      <c r="BH1532" t="s">
        <v>1366</v>
      </c>
      <c r="BP1532" t="s">
        <v>1489</v>
      </c>
    </row>
    <row r="1533" spans="1:68" x14ac:dyDescent="0.25">
      <c r="A1533" t="s">
        <v>5713</v>
      </c>
      <c r="B1533" t="s">
        <v>474</v>
      </c>
      <c r="C1533" t="s">
        <v>1679</v>
      </c>
      <c r="E1533" t="s">
        <v>480</v>
      </c>
      <c r="G1533" s="1" t="s">
        <v>4760</v>
      </c>
      <c r="H1533" t="s">
        <v>476</v>
      </c>
      <c r="J1533">
        <v>500000</v>
      </c>
      <c r="M1533" t="s">
        <v>1427</v>
      </c>
      <c r="P1533" t="s">
        <v>104</v>
      </c>
      <c r="R1533" t="s">
        <v>878</v>
      </c>
      <c r="S1533" t="s">
        <v>4761</v>
      </c>
      <c r="T1533" t="s">
        <v>4762</v>
      </c>
      <c r="V1533" t="s">
        <v>1365</v>
      </c>
      <c r="W1533" t="s">
        <v>73</v>
      </c>
      <c r="AE1533" t="s">
        <v>478</v>
      </c>
      <c r="AF1533" t="s">
        <v>479</v>
      </c>
      <c r="AL1533" t="s">
        <v>919</v>
      </c>
      <c r="AM1533" t="s">
        <v>919</v>
      </c>
      <c r="AO1533" t="s">
        <v>480</v>
      </c>
      <c r="AP1533" t="s">
        <v>481</v>
      </c>
      <c r="AQ1533" t="s">
        <v>637</v>
      </c>
      <c r="AR1533" t="s">
        <v>482</v>
      </c>
      <c r="BF1533" s="1"/>
      <c r="BH1533" t="s">
        <v>1366</v>
      </c>
      <c r="BP1533" t="s">
        <v>1489</v>
      </c>
    </row>
    <row r="1534" spans="1:68" x14ac:dyDescent="0.25">
      <c r="A1534" t="s">
        <v>5713</v>
      </c>
      <c r="B1534" t="s">
        <v>474</v>
      </c>
      <c r="C1534" t="s">
        <v>1679</v>
      </c>
      <c r="E1534" t="s">
        <v>480</v>
      </c>
      <c r="G1534" s="1" t="s">
        <v>4760</v>
      </c>
      <c r="H1534" t="s">
        <v>498</v>
      </c>
      <c r="J1534">
        <v>500000</v>
      </c>
      <c r="M1534" t="s">
        <v>1425</v>
      </c>
      <c r="P1534" t="s">
        <v>116</v>
      </c>
      <c r="R1534" t="s">
        <v>753</v>
      </c>
      <c r="S1534" t="s">
        <v>4369</v>
      </c>
      <c r="T1534" t="s">
        <v>4370</v>
      </c>
      <c r="V1534" t="s">
        <v>1365</v>
      </c>
      <c r="W1534" t="s">
        <v>73</v>
      </c>
      <c r="AE1534" t="s">
        <v>478</v>
      </c>
      <c r="AF1534" t="s">
        <v>479</v>
      </c>
      <c r="AL1534" t="s">
        <v>919</v>
      </c>
      <c r="AM1534" t="s">
        <v>919</v>
      </c>
      <c r="AO1534" t="s">
        <v>480</v>
      </c>
      <c r="AP1534" t="s">
        <v>481</v>
      </c>
      <c r="AQ1534" t="s">
        <v>645</v>
      </c>
      <c r="AR1534" t="s">
        <v>482</v>
      </c>
      <c r="BF1534" s="1"/>
      <c r="BH1534" t="s">
        <v>1366</v>
      </c>
      <c r="BP1534" t="s">
        <v>1489</v>
      </c>
    </row>
    <row r="1535" spans="1:68" x14ac:dyDescent="0.25">
      <c r="A1535" t="s">
        <v>5713</v>
      </c>
      <c r="B1535" t="s">
        <v>474</v>
      </c>
      <c r="C1535" t="s">
        <v>1679</v>
      </c>
      <c r="E1535" t="s">
        <v>480</v>
      </c>
      <c r="G1535" s="1" t="s">
        <v>4760</v>
      </c>
      <c r="H1535" t="s">
        <v>517</v>
      </c>
      <c r="J1535">
        <v>500000</v>
      </c>
      <c r="M1535" t="s">
        <v>1423</v>
      </c>
      <c r="P1535" t="s">
        <v>140</v>
      </c>
      <c r="R1535" t="s">
        <v>684</v>
      </c>
      <c r="S1535" t="s">
        <v>4763</v>
      </c>
      <c r="T1535" t="s">
        <v>4764</v>
      </c>
      <c r="V1535" t="s">
        <v>1365</v>
      </c>
      <c r="W1535" t="s">
        <v>73</v>
      </c>
      <c r="AE1535" t="s">
        <v>478</v>
      </c>
      <c r="AF1535" t="s">
        <v>479</v>
      </c>
      <c r="AL1535" t="s">
        <v>919</v>
      </c>
      <c r="AM1535" t="s">
        <v>919</v>
      </c>
      <c r="AO1535" t="s">
        <v>480</v>
      </c>
      <c r="AP1535" t="s">
        <v>481</v>
      </c>
      <c r="AQ1535" t="s">
        <v>681</v>
      </c>
      <c r="AR1535" t="s">
        <v>482</v>
      </c>
      <c r="BF1535" s="1"/>
      <c r="BH1535" t="s">
        <v>1366</v>
      </c>
      <c r="BP1535" t="s">
        <v>1489</v>
      </c>
    </row>
    <row r="1536" spans="1:68" x14ac:dyDescent="0.25">
      <c r="A1536" t="s">
        <v>5713</v>
      </c>
      <c r="B1536" t="s">
        <v>474</v>
      </c>
      <c r="C1536" t="s">
        <v>1679</v>
      </c>
      <c r="E1536" t="s">
        <v>480</v>
      </c>
      <c r="G1536" s="1" t="s">
        <v>4760</v>
      </c>
      <c r="H1536" t="s">
        <v>542</v>
      </c>
      <c r="J1536">
        <v>500000</v>
      </c>
      <c r="M1536" t="s">
        <v>1416</v>
      </c>
      <c r="P1536" t="s">
        <v>150</v>
      </c>
      <c r="R1536" t="s">
        <v>909</v>
      </c>
      <c r="S1536" t="s">
        <v>4765</v>
      </c>
      <c r="T1536" t="s">
        <v>4766</v>
      </c>
      <c r="V1536" t="s">
        <v>1365</v>
      </c>
      <c r="W1536" t="s">
        <v>73</v>
      </c>
      <c r="AE1536" t="s">
        <v>478</v>
      </c>
      <c r="AF1536" t="s">
        <v>479</v>
      </c>
      <c r="AL1536" t="s">
        <v>919</v>
      </c>
      <c r="AM1536" t="s">
        <v>919</v>
      </c>
      <c r="AO1536" t="s">
        <v>480</v>
      </c>
      <c r="AP1536" t="s">
        <v>481</v>
      </c>
      <c r="AQ1536" t="s">
        <v>570</v>
      </c>
      <c r="AR1536" t="s">
        <v>482</v>
      </c>
      <c r="BF1536" s="1"/>
      <c r="BH1536" t="s">
        <v>1366</v>
      </c>
      <c r="BP1536" t="s">
        <v>1489</v>
      </c>
    </row>
    <row r="1537" spans="1:68" x14ac:dyDescent="0.25">
      <c r="A1537" t="s">
        <v>5713</v>
      </c>
      <c r="B1537" t="s">
        <v>474</v>
      </c>
      <c r="C1537" t="s">
        <v>1679</v>
      </c>
      <c r="E1537" t="s">
        <v>480</v>
      </c>
      <c r="G1537" s="1" t="s">
        <v>4760</v>
      </c>
      <c r="H1537" t="s">
        <v>549</v>
      </c>
      <c r="J1537">
        <v>500000</v>
      </c>
      <c r="M1537" t="s">
        <v>1420</v>
      </c>
      <c r="P1537" t="s">
        <v>119</v>
      </c>
      <c r="R1537" t="s">
        <v>739</v>
      </c>
      <c r="S1537" t="s">
        <v>1412</v>
      </c>
      <c r="T1537" t="s">
        <v>1413</v>
      </c>
      <c r="V1537" t="s">
        <v>1365</v>
      </c>
      <c r="W1537" t="s">
        <v>73</v>
      </c>
      <c r="AE1537" t="s">
        <v>478</v>
      </c>
      <c r="AF1537" t="s">
        <v>479</v>
      </c>
      <c r="AL1537" t="s">
        <v>919</v>
      </c>
      <c r="AM1537" t="s">
        <v>919</v>
      </c>
      <c r="AO1537" t="s">
        <v>480</v>
      </c>
      <c r="AP1537" t="s">
        <v>481</v>
      </c>
      <c r="AQ1537" t="s">
        <v>756</v>
      </c>
      <c r="AR1537" t="s">
        <v>482</v>
      </c>
      <c r="BF1537" s="1"/>
      <c r="BH1537" t="s">
        <v>1366</v>
      </c>
      <c r="BP1537" t="s">
        <v>1489</v>
      </c>
    </row>
    <row r="1538" spans="1:68" x14ac:dyDescent="0.25">
      <c r="A1538" t="s">
        <v>5713</v>
      </c>
      <c r="B1538" t="s">
        <v>474</v>
      </c>
      <c r="C1538" t="s">
        <v>1679</v>
      </c>
      <c r="E1538" t="s">
        <v>480</v>
      </c>
      <c r="G1538" s="1" t="s">
        <v>4760</v>
      </c>
      <c r="H1538" t="s">
        <v>556</v>
      </c>
      <c r="J1538">
        <v>500000</v>
      </c>
      <c r="M1538" t="s">
        <v>1425</v>
      </c>
      <c r="P1538" t="s">
        <v>170</v>
      </c>
      <c r="R1538" t="s">
        <v>653</v>
      </c>
      <c r="S1538" t="s">
        <v>4767</v>
      </c>
      <c r="T1538" t="s">
        <v>4768</v>
      </c>
      <c r="V1538" t="s">
        <v>1365</v>
      </c>
      <c r="W1538" t="s">
        <v>73</v>
      </c>
      <c r="AE1538" t="s">
        <v>478</v>
      </c>
      <c r="AF1538" t="s">
        <v>479</v>
      </c>
      <c r="AL1538" t="s">
        <v>919</v>
      </c>
      <c r="AM1538" t="s">
        <v>919</v>
      </c>
      <c r="AO1538" t="s">
        <v>480</v>
      </c>
      <c r="AP1538" t="s">
        <v>481</v>
      </c>
      <c r="AQ1538" t="s">
        <v>854</v>
      </c>
      <c r="AR1538" t="s">
        <v>482</v>
      </c>
      <c r="BF1538" s="1"/>
      <c r="BH1538" t="s">
        <v>1366</v>
      </c>
      <c r="BP1538" t="s">
        <v>1489</v>
      </c>
    </row>
    <row r="1539" spans="1:68" x14ac:dyDescent="0.25">
      <c r="A1539" t="s">
        <v>5713</v>
      </c>
      <c r="B1539" t="s">
        <v>474</v>
      </c>
      <c r="C1539" t="s">
        <v>1679</v>
      </c>
      <c r="E1539" t="s">
        <v>480</v>
      </c>
      <c r="G1539" s="1" t="s">
        <v>4760</v>
      </c>
      <c r="H1539" t="s">
        <v>562</v>
      </c>
      <c r="J1539">
        <v>500000</v>
      </c>
      <c r="M1539" t="s">
        <v>1420</v>
      </c>
      <c r="P1539" t="s">
        <v>109</v>
      </c>
      <c r="R1539" t="s">
        <v>796</v>
      </c>
      <c r="S1539" t="s">
        <v>4769</v>
      </c>
      <c r="T1539" t="s">
        <v>4770</v>
      </c>
      <c r="V1539" t="s">
        <v>1365</v>
      </c>
      <c r="W1539" t="s">
        <v>73</v>
      </c>
      <c r="AE1539" t="s">
        <v>478</v>
      </c>
      <c r="AF1539" t="s">
        <v>479</v>
      </c>
      <c r="AL1539" t="s">
        <v>919</v>
      </c>
      <c r="AM1539" t="s">
        <v>919</v>
      </c>
      <c r="AO1539" t="s">
        <v>480</v>
      </c>
      <c r="AP1539" t="s">
        <v>481</v>
      </c>
      <c r="AQ1539" t="s">
        <v>536</v>
      </c>
      <c r="AR1539" t="s">
        <v>482</v>
      </c>
      <c r="BF1539" s="1"/>
      <c r="BH1539" t="s">
        <v>1366</v>
      </c>
      <c r="BP1539" t="s">
        <v>1489</v>
      </c>
    </row>
    <row r="1540" spans="1:68" x14ac:dyDescent="0.25">
      <c r="A1540" t="s">
        <v>5713</v>
      </c>
      <c r="B1540" t="s">
        <v>474</v>
      </c>
      <c r="C1540" t="s">
        <v>1679</v>
      </c>
      <c r="E1540" t="s">
        <v>480</v>
      </c>
      <c r="G1540" s="1" t="s">
        <v>4760</v>
      </c>
      <c r="H1540" t="s">
        <v>567</v>
      </c>
      <c r="J1540">
        <v>500000</v>
      </c>
      <c r="M1540" t="s">
        <v>1415</v>
      </c>
      <c r="P1540" t="s">
        <v>87</v>
      </c>
      <c r="R1540" t="s">
        <v>534</v>
      </c>
      <c r="S1540" t="s">
        <v>4771</v>
      </c>
      <c r="T1540" t="s">
        <v>4772</v>
      </c>
      <c r="V1540" t="s">
        <v>1365</v>
      </c>
      <c r="W1540" t="s">
        <v>73</v>
      </c>
      <c r="AE1540" t="s">
        <v>478</v>
      </c>
      <c r="AF1540" t="s">
        <v>479</v>
      </c>
      <c r="AL1540" t="s">
        <v>919</v>
      </c>
      <c r="AM1540" t="s">
        <v>919</v>
      </c>
      <c r="AO1540" t="s">
        <v>480</v>
      </c>
      <c r="AP1540" t="s">
        <v>481</v>
      </c>
      <c r="AQ1540" t="s">
        <v>552</v>
      </c>
      <c r="AR1540" t="s">
        <v>482</v>
      </c>
      <c r="BF1540" s="1"/>
      <c r="BH1540" t="s">
        <v>1366</v>
      </c>
      <c r="BP1540" t="s">
        <v>1489</v>
      </c>
    </row>
    <row r="1541" spans="1:68" x14ac:dyDescent="0.25">
      <c r="A1541" t="s">
        <v>5713</v>
      </c>
      <c r="B1541" t="s">
        <v>474</v>
      </c>
      <c r="C1541" t="s">
        <v>1679</v>
      </c>
      <c r="E1541" t="s">
        <v>480</v>
      </c>
      <c r="G1541" s="1" t="s">
        <v>4773</v>
      </c>
      <c r="H1541" t="s">
        <v>476</v>
      </c>
      <c r="J1541">
        <v>500000</v>
      </c>
      <c r="M1541" t="s">
        <v>1431</v>
      </c>
      <c r="P1541" t="s">
        <v>72</v>
      </c>
      <c r="R1541" t="s">
        <v>753</v>
      </c>
      <c r="S1541" t="s">
        <v>4774</v>
      </c>
      <c r="T1541" t="s">
        <v>4775</v>
      </c>
      <c r="V1541" t="s">
        <v>1365</v>
      </c>
      <c r="W1541" t="s">
        <v>73</v>
      </c>
      <c r="AE1541" t="s">
        <v>478</v>
      </c>
      <c r="AF1541" t="s">
        <v>479</v>
      </c>
      <c r="AL1541" t="s">
        <v>919</v>
      </c>
      <c r="AM1541" t="s">
        <v>919</v>
      </c>
      <c r="AO1541" t="s">
        <v>480</v>
      </c>
      <c r="AP1541" t="s">
        <v>481</v>
      </c>
      <c r="AQ1541" t="s">
        <v>757</v>
      </c>
      <c r="AR1541" t="s">
        <v>482</v>
      </c>
      <c r="BF1541" s="1"/>
      <c r="BH1541" t="s">
        <v>1366</v>
      </c>
      <c r="BP1541" t="s">
        <v>1489</v>
      </c>
    </row>
    <row r="1542" spans="1:68" x14ac:dyDescent="0.25">
      <c r="A1542" t="s">
        <v>5713</v>
      </c>
      <c r="B1542" t="s">
        <v>474</v>
      </c>
      <c r="C1542" t="s">
        <v>1679</v>
      </c>
      <c r="E1542" t="s">
        <v>480</v>
      </c>
      <c r="G1542" s="1" t="s">
        <v>4773</v>
      </c>
      <c r="H1542" t="s">
        <v>498</v>
      </c>
      <c r="J1542">
        <v>500000</v>
      </c>
      <c r="M1542" t="s">
        <v>1420</v>
      </c>
      <c r="P1542" t="s">
        <v>89</v>
      </c>
      <c r="R1542" t="s">
        <v>653</v>
      </c>
      <c r="S1542" t="s">
        <v>1395</v>
      </c>
      <c r="T1542" t="s">
        <v>1396</v>
      </c>
      <c r="V1542" t="s">
        <v>1365</v>
      </c>
      <c r="W1542" t="s">
        <v>73</v>
      </c>
      <c r="AE1542" t="s">
        <v>478</v>
      </c>
      <c r="AF1542" t="s">
        <v>479</v>
      </c>
      <c r="AL1542" t="s">
        <v>919</v>
      </c>
      <c r="AM1542" t="s">
        <v>919</v>
      </c>
      <c r="AO1542" t="s">
        <v>480</v>
      </c>
      <c r="AP1542" t="s">
        <v>481</v>
      </c>
      <c r="AQ1542" t="s">
        <v>561</v>
      </c>
      <c r="AR1542" t="s">
        <v>482</v>
      </c>
      <c r="BF1542" s="1"/>
      <c r="BH1542" t="s">
        <v>1366</v>
      </c>
      <c r="BP1542" t="s">
        <v>1489</v>
      </c>
    </row>
    <row r="1543" spans="1:68" x14ac:dyDescent="0.25">
      <c r="A1543" t="s">
        <v>5713</v>
      </c>
      <c r="B1543" t="s">
        <v>474</v>
      </c>
      <c r="C1543" t="s">
        <v>1679</v>
      </c>
      <c r="E1543" t="s">
        <v>480</v>
      </c>
      <c r="G1543" s="1" t="s">
        <v>4773</v>
      </c>
      <c r="H1543" t="s">
        <v>517</v>
      </c>
      <c r="J1543">
        <v>500000</v>
      </c>
      <c r="M1543" t="s">
        <v>1423</v>
      </c>
      <c r="P1543" t="s">
        <v>124</v>
      </c>
      <c r="R1543" t="s">
        <v>1607</v>
      </c>
      <c r="S1543" t="s">
        <v>4776</v>
      </c>
      <c r="T1543" t="s">
        <v>4777</v>
      </c>
      <c r="V1543" t="s">
        <v>1365</v>
      </c>
      <c r="W1543" t="s">
        <v>73</v>
      </c>
      <c r="AE1543" t="s">
        <v>478</v>
      </c>
      <c r="AF1543" t="s">
        <v>479</v>
      </c>
      <c r="AL1543" t="s">
        <v>919</v>
      </c>
      <c r="AM1543" t="s">
        <v>919</v>
      </c>
      <c r="AO1543" t="s">
        <v>480</v>
      </c>
      <c r="AP1543" t="s">
        <v>481</v>
      </c>
      <c r="AQ1543" t="s">
        <v>588</v>
      </c>
      <c r="AR1543" t="s">
        <v>482</v>
      </c>
      <c r="BF1543" s="1"/>
      <c r="BH1543" t="s">
        <v>1366</v>
      </c>
      <c r="BP1543" t="s">
        <v>1489</v>
      </c>
    </row>
    <row r="1544" spans="1:68" x14ac:dyDescent="0.25">
      <c r="A1544" t="s">
        <v>5713</v>
      </c>
      <c r="B1544" t="s">
        <v>474</v>
      </c>
      <c r="C1544" t="s">
        <v>1679</v>
      </c>
      <c r="E1544" t="s">
        <v>480</v>
      </c>
      <c r="G1544" s="1" t="s">
        <v>4773</v>
      </c>
      <c r="H1544" t="s">
        <v>542</v>
      </c>
      <c r="J1544">
        <v>500000</v>
      </c>
      <c r="M1544" t="s">
        <v>1424</v>
      </c>
      <c r="P1544" t="s">
        <v>157</v>
      </c>
      <c r="R1544" t="s">
        <v>848</v>
      </c>
      <c r="S1544" t="s">
        <v>4778</v>
      </c>
      <c r="T1544" t="s">
        <v>4779</v>
      </c>
      <c r="V1544" t="s">
        <v>1365</v>
      </c>
      <c r="W1544" t="s">
        <v>73</v>
      </c>
      <c r="AE1544" t="s">
        <v>478</v>
      </c>
      <c r="AF1544" t="s">
        <v>479</v>
      </c>
      <c r="AL1544" t="s">
        <v>919</v>
      </c>
      <c r="AM1544" t="s">
        <v>919</v>
      </c>
      <c r="AO1544" t="s">
        <v>480</v>
      </c>
      <c r="AP1544" t="s">
        <v>481</v>
      </c>
      <c r="AQ1544" t="s">
        <v>667</v>
      </c>
      <c r="AR1544" t="s">
        <v>482</v>
      </c>
      <c r="BF1544" s="1"/>
      <c r="BH1544" t="s">
        <v>1366</v>
      </c>
      <c r="BP1544" t="s">
        <v>1489</v>
      </c>
    </row>
    <row r="1545" spans="1:68" x14ac:dyDescent="0.25">
      <c r="A1545" t="s">
        <v>5713</v>
      </c>
      <c r="B1545" t="s">
        <v>474</v>
      </c>
      <c r="C1545" t="s">
        <v>1679</v>
      </c>
      <c r="E1545" t="s">
        <v>480</v>
      </c>
      <c r="G1545" s="1" t="s">
        <v>4773</v>
      </c>
      <c r="H1545" t="s">
        <v>549</v>
      </c>
      <c r="J1545">
        <v>500000</v>
      </c>
      <c r="M1545" t="s">
        <v>1424</v>
      </c>
      <c r="P1545" t="s">
        <v>76</v>
      </c>
      <c r="R1545" t="s">
        <v>848</v>
      </c>
      <c r="S1545" t="s">
        <v>4780</v>
      </c>
      <c r="T1545" t="s">
        <v>4781</v>
      </c>
      <c r="V1545" t="s">
        <v>1365</v>
      </c>
      <c r="W1545" t="s">
        <v>73</v>
      </c>
      <c r="AE1545" t="s">
        <v>478</v>
      </c>
      <c r="AF1545" t="s">
        <v>479</v>
      </c>
      <c r="AL1545" t="s">
        <v>919</v>
      </c>
      <c r="AM1545" t="s">
        <v>919</v>
      </c>
      <c r="AO1545" t="s">
        <v>480</v>
      </c>
      <c r="AP1545" t="s">
        <v>481</v>
      </c>
      <c r="AQ1545" t="s">
        <v>558</v>
      </c>
      <c r="AR1545" t="s">
        <v>482</v>
      </c>
      <c r="BF1545" s="1"/>
      <c r="BH1545" t="s">
        <v>1366</v>
      </c>
      <c r="BP1545" t="s">
        <v>1489</v>
      </c>
    </row>
    <row r="1546" spans="1:68" x14ac:dyDescent="0.25">
      <c r="A1546" t="s">
        <v>5713</v>
      </c>
      <c r="B1546" t="s">
        <v>474</v>
      </c>
      <c r="C1546" t="s">
        <v>1679</v>
      </c>
      <c r="E1546" t="s">
        <v>480</v>
      </c>
      <c r="G1546" s="1" t="s">
        <v>4773</v>
      </c>
      <c r="H1546" t="s">
        <v>556</v>
      </c>
      <c r="J1546">
        <v>500000</v>
      </c>
      <c r="M1546" t="s">
        <v>1425</v>
      </c>
      <c r="P1546" t="s">
        <v>110</v>
      </c>
      <c r="R1546" t="s">
        <v>1616</v>
      </c>
      <c r="S1546" t="s">
        <v>4782</v>
      </c>
      <c r="T1546" t="s">
        <v>4783</v>
      </c>
      <c r="V1546" t="s">
        <v>1365</v>
      </c>
      <c r="W1546" t="s">
        <v>73</v>
      </c>
      <c r="AE1546" t="s">
        <v>478</v>
      </c>
      <c r="AF1546" t="s">
        <v>479</v>
      </c>
      <c r="AL1546" t="s">
        <v>919</v>
      </c>
      <c r="AM1546" t="s">
        <v>919</v>
      </c>
      <c r="AO1546" t="s">
        <v>480</v>
      </c>
      <c r="AP1546" t="s">
        <v>481</v>
      </c>
      <c r="AQ1546" t="s">
        <v>624</v>
      </c>
      <c r="AR1546" t="s">
        <v>482</v>
      </c>
      <c r="BF1546" s="1"/>
      <c r="BH1546" t="s">
        <v>1366</v>
      </c>
      <c r="BP1546" t="s">
        <v>1489</v>
      </c>
    </row>
    <row r="1547" spans="1:68" x14ac:dyDescent="0.25">
      <c r="A1547" t="s">
        <v>5713</v>
      </c>
      <c r="B1547" t="s">
        <v>474</v>
      </c>
      <c r="C1547" t="s">
        <v>1679</v>
      </c>
      <c r="E1547" t="s">
        <v>480</v>
      </c>
      <c r="G1547" s="1" t="s">
        <v>4773</v>
      </c>
      <c r="H1547" t="s">
        <v>562</v>
      </c>
      <c r="J1547">
        <v>500000</v>
      </c>
      <c r="M1547" t="s">
        <v>1420</v>
      </c>
      <c r="P1547" t="s">
        <v>108</v>
      </c>
      <c r="R1547" t="s">
        <v>753</v>
      </c>
      <c r="S1547" t="s">
        <v>4784</v>
      </c>
      <c r="T1547" t="s">
        <v>4785</v>
      </c>
      <c r="V1547" t="s">
        <v>1365</v>
      </c>
      <c r="W1547" t="s">
        <v>73</v>
      </c>
      <c r="AE1547" t="s">
        <v>478</v>
      </c>
      <c r="AF1547" t="s">
        <v>479</v>
      </c>
      <c r="AL1547" t="s">
        <v>919</v>
      </c>
      <c r="AM1547" t="s">
        <v>919</v>
      </c>
      <c r="AO1547" t="s">
        <v>480</v>
      </c>
      <c r="AP1547" t="s">
        <v>481</v>
      </c>
      <c r="AQ1547" t="s">
        <v>520</v>
      </c>
      <c r="AR1547" t="s">
        <v>482</v>
      </c>
      <c r="BF1547" s="1"/>
      <c r="BH1547" t="s">
        <v>1366</v>
      </c>
      <c r="BP1547" t="s">
        <v>1489</v>
      </c>
    </row>
    <row r="1548" spans="1:68" x14ac:dyDescent="0.25">
      <c r="A1548" t="s">
        <v>5713</v>
      </c>
      <c r="B1548" t="s">
        <v>474</v>
      </c>
      <c r="C1548" t="s">
        <v>1679</v>
      </c>
      <c r="E1548" t="s">
        <v>480</v>
      </c>
      <c r="G1548" s="1" t="s">
        <v>4773</v>
      </c>
      <c r="H1548" t="s">
        <v>567</v>
      </c>
      <c r="J1548">
        <v>500000</v>
      </c>
      <c r="M1548" t="s">
        <v>1427</v>
      </c>
      <c r="P1548" t="s">
        <v>104</v>
      </c>
      <c r="R1548" t="s">
        <v>739</v>
      </c>
      <c r="S1548" t="s">
        <v>4786</v>
      </c>
      <c r="T1548" t="s">
        <v>4787</v>
      </c>
      <c r="V1548" t="s">
        <v>1365</v>
      </c>
      <c r="W1548" t="s">
        <v>73</v>
      </c>
      <c r="AE1548" t="s">
        <v>478</v>
      </c>
      <c r="AF1548" t="s">
        <v>479</v>
      </c>
      <c r="AL1548" t="s">
        <v>919</v>
      </c>
      <c r="AM1548" t="s">
        <v>919</v>
      </c>
      <c r="AO1548" t="s">
        <v>480</v>
      </c>
      <c r="AP1548" t="s">
        <v>481</v>
      </c>
      <c r="AQ1548" t="s">
        <v>637</v>
      </c>
      <c r="AR1548" t="s">
        <v>482</v>
      </c>
      <c r="BF1548" s="1"/>
      <c r="BH1548" t="s">
        <v>1366</v>
      </c>
      <c r="BP1548" t="s">
        <v>1489</v>
      </c>
    </row>
    <row r="1549" spans="1:68" x14ac:dyDescent="0.25">
      <c r="A1549" t="s">
        <v>5713</v>
      </c>
      <c r="B1549" t="s">
        <v>474</v>
      </c>
      <c r="C1549" t="s">
        <v>1679</v>
      </c>
      <c r="E1549" t="s">
        <v>480</v>
      </c>
      <c r="G1549" s="1" t="s">
        <v>4788</v>
      </c>
      <c r="H1549" t="s">
        <v>476</v>
      </c>
      <c r="J1549">
        <v>500000</v>
      </c>
      <c r="M1549" t="s">
        <v>1414</v>
      </c>
      <c r="P1549" t="s">
        <v>169</v>
      </c>
      <c r="R1549" t="s">
        <v>702</v>
      </c>
      <c r="S1549" t="s">
        <v>1400</v>
      </c>
      <c r="T1549" t="s">
        <v>1401</v>
      </c>
      <c r="V1549" t="s">
        <v>1365</v>
      </c>
      <c r="W1549" t="s">
        <v>73</v>
      </c>
      <c r="AE1549" t="s">
        <v>478</v>
      </c>
      <c r="AF1549" t="s">
        <v>479</v>
      </c>
      <c r="AL1549" t="s">
        <v>919</v>
      </c>
      <c r="AM1549" t="s">
        <v>919</v>
      </c>
      <c r="AO1549" t="s">
        <v>480</v>
      </c>
      <c r="AP1549" t="s">
        <v>481</v>
      </c>
      <c r="AQ1549" t="s">
        <v>852</v>
      </c>
      <c r="AR1549" t="s">
        <v>482</v>
      </c>
      <c r="BF1549" s="1"/>
      <c r="BH1549" t="s">
        <v>1366</v>
      </c>
      <c r="BP1549" t="s">
        <v>1489</v>
      </c>
    </row>
    <row r="1550" spans="1:68" x14ac:dyDescent="0.25">
      <c r="A1550" t="s">
        <v>5713</v>
      </c>
      <c r="B1550" t="s">
        <v>474</v>
      </c>
      <c r="C1550" t="s">
        <v>1990</v>
      </c>
      <c r="E1550" t="s">
        <v>480</v>
      </c>
      <c r="G1550" s="1" t="s">
        <v>4789</v>
      </c>
      <c r="H1550" t="s">
        <v>476</v>
      </c>
      <c r="J1550">
        <v>500000</v>
      </c>
      <c r="M1550" t="s">
        <v>1423</v>
      </c>
      <c r="P1550" t="s">
        <v>118</v>
      </c>
      <c r="R1550" t="s">
        <v>894</v>
      </c>
      <c r="S1550" t="s">
        <v>4790</v>
      </c>
      <c r="T1550" t="s">
        <v>4791</v>
      </c>
      <c r="V1550" t="s">
        <v>1365</v>
      </c>
      <c r="W1550" t="s">
        <v>235</v>
      </c>
      <c r="AE1550" t="s">
        <v>478</v>
      </c>
      <c r="AF1550" t="s">
        <v>479</v>
      </c>
      <c r="AL1550" t="s">
        <v>919</v>
      </c>
      <c r="AM1550" t="s">
        <v>919</v>
      </c>
      <c r="AO1550" t="s">
        <v>480</v>
      </c>
      <c r="AP1550" t="s">
        <v>481</v>
      </c>
      <c r="AQ1550" t="s">
        <v>705</v>
      </c>
      <c r="AR1550" t="s">
        <v>482</v>
      </c>
      <c r="BF1550" s="1"/>
      <c r="BH1550" t="s">
        <v>1366</v>
      </c>
      <c r="BP1550" t="s">
        <v>1489</v>
      </c>
    </row>
    <row r="1551" spans="1:68" x14ac:dyDescent="0.25">
      <c r="A1551" t="s">
        <v>5713</v>
      </c>
      <c r="B1551" t="s">
        <v>474</v>
      </c>
      <c r="C1551" t="s">
        <v>1655</v>
      </c>
      <c r="E1551" t="s">
        <v>480</v>
      </c>
      <c r="G1551" s="1" t="s">
        <v>4792</v>
      </c>
      <c r="H1551" t="s">
        <v>476</v>
      </c>
      <c r="J1551">
        <v>500000</v>
      </c>
      <c r="M1551" t="s">
        <v>1420</v>
      </c>
      <c r="P1551" t="s">
        <v>139</v>
      </c>
      <c r="R1551" t="s">
        <v>590</v>
      </c>
      <c r="S1551" t="s">
        <v>4793</v>
      </c>
      <c r="T1551" t="s">
        <v>4794</v>
      </c>
      <c r="V1551" t="s">
        <v>1365</v>
      </c>
      <c r="W1551" t="s">
        <v>73</v>
      </c>
      <c r="AE1551" t="s">
        <v>478</v>
      </c>
      <c r="AF1551" t="s">
        <v>479</v>
      </c>
      <c r="AL1551" t="s">
        <v>919</v>
      </c>
      <c r="AM1551" t="s">
        <v>919</v>
      </c>
      <c r="AO1551" t="s">
        <v>480</v>
      </c>
      <c r="AP1551" t="s">
        <v>481</v>
      </c>
      <c r="AQ1551" t="s">
        <v>618</v>
      </c>
      <c r="AR1551" t="s">
        <v>482</v>
      </c>
      <c r="BF1551" s="1"/>
      <c r="BH1551" t="s">
        <v>1366</v>
      </c>
      <c r="BP1551" t="s">
        <v>1489</v>
      </c>
    </row>
    <row r="1552" spans="1:68" x14ac:dyDescent="0.25">
      <c r="A1552" t="s">
        <v>5713</v>
      </c>
      <c r="B1552" t="s">
        <v>474</v>
      </c>
      <c r="C1552" t="s">
        <v>1655</v>
      </c>
      <c r="E1552" t="s">
        <v>480</v>
      </c>
      <c r="G1552" s="1" t="s">
        <v>4795</v>
      </c>
      <c r="H1552" t="s">
        <v>476</v>
      </c>
      <c r="J1552">
        <v>500000</v>
      </c>
      <c r="M1552" t="s">
        <v>1420</v>
      </c>
      <c r="P1552" t="s">
        <v>139</v>
      </c>
      <c r="R1552" t="s">
        <v>623</v>
      </c>
      <c r="S1552" t="s">
        <v>4796</v>
      </c>
      <c r="T1552" t="s">
        <v>4797</v>
      </c>
      <c r="V1552" t="s">
        <v>1365</v>
      </c>
      <c r="W1552" t="s">
        <v>73</v>
      </c>
      <c r="AE1552" t="s">
        <v>478</v>
      </c>
      <c r="AF1552" t="s">
        <v>479</v>
      </c>
      <c r="AL1552" t="s">
        <v>919</v>
      </c>
      <c r="AM1552" t="s">
        <v>919</v>
      </c>
      <c r="AO1552" t="s">
        <v>480</v>
      </c>
      <c r="AP1552" t="s">
        <v>481</v>
      </c>
      <c r="AQ1552" t="s">
        <v>618</v>
      </c>
      <c r="AR1552" t="s">
        <v>482</v>
      </c>
      <c r="BF1552" s="1"/>
      <c r="BH1552" t="s">
        <v>1366</v>
      </c>
      <c r="BP1552" t="s">
        <v>1489</v>
      </c>
    </row>
    <row r="1553" spans="1:68" x14ac:dyDescent="0.25">
      <c r="A1553" t="s">
        <v>5713</v>
      </c>
      <c r="B1553" t="s">
        <v>474</v>
      </c>
      <c r="C1553" t="s">
        <v>1655</v>
      </c>
      <c r="E1553" t="s">
        <v>480</v>
      </c>
      <c r="G1553" s="1" t="s">
        <v>4798</v>
      </c>
      <c r="H1553" t="s">
        <v>476</v>
      </c>
      <c r="J1553">
        <v>500000</v>
      </c>
      <c r="M1553" t="s">
        <v>1425</v>
      </c>
      <c r="P1553" t="s">
        <v>101</v>
      </c>
      <c r="R1553" t="s">
        <v>909</v>
      </c>
      <c r="S1553" t="s">
        <v>4799</v>
      </c>
      <c r="T1553" t="s">
        <v>4800</v>
      </c>
      <c r="V1553" t="s">
        <v>1365</v>
      </c>
      <c r="W1553" t="s">
        <v>73</v>
      </c>
      <c r="AE1553" t="s">
        <v>478</v>
      </c>
      <c r="AF1553" t="s">
        <v>479</v>
      </c>
      <c r="AL1553" t="s">
        <v>919</v>
      </c>
      <c r="AM1553" t="s">
        <v>919</v>
      </c>
      <c r="AO1553" t="s">
        <v>480</v>
      </c>
      <c r="AP1553" t="s">
        <v>481</v>
      </c>
      <c r="AQ1553" t="s">
        <v>699</v>
      </c>
      <c r="AR1553" t="s">
        <v>482</v>
      </c>
      <c r="BF1553" s="1"/>
      <c r="BH1553" t="s">
        <v>1366</v>
      </c>
      <c r="BP1553" t="s">
        <v>1489</v>
      </c>
    </row>
    <row r="1554" spans="1:68" x14ac:dyDescent="0.25">
      <c r="A1554" t="s">
        <v>5713</v>
      </c>
      <c r="B1554" t="s">
        <v>474</v>
      </c>
      <c r="C1554" t="s">
        <v>1655</v>
      </c>
      <c r="E1554" t="s">
        <v>480</v>
      </c>
      <c r="G1554" s="1" t="s">
        <v>4798</v>
      </c>
      <c r="H1554" t="s">
        <v>498</v>
      </c>
      <c r="J1554">
        <v>500000</v>
      </c>
      <c r="M1554" t="s">
        <v>1425</v>
      </c>
      <c r="P1554" t="s">
        <v>170</v>
      </c>
      <c r="R1554" t="s">
        <v>915</v>
      </c>
      <c r="S1554" t="s">
        <v>4801</v>
      </c>
      <c r="T1554" t="s">
        <v>4802</v>
      </c>
      <c r="V1554" t="s">
        <v>1365</v>
      </c>
      <c r="W1554" t="s">
        <v>73</v>
      </c>
      <c r="AE1554" t="s">
        <v>478</v>
      </c>
      <c r="AF1554" t="s">
        <v>479</v>
      </c>
      <c r="AL1554" t="s">
        <v>919</v>
      </c>
      <c r="AM1554" t="s">
        <v>919</v>
      </c>
      <c r="AO1554" t="s">
        <v>480</v>
      </c>
      <c r="AP1554" t="s">
        <v>481</v>
      </c>
      <c r="AQ1554" t="s">
        <v>854</v>
      </c>
      <c r="AR1554" t="s">
        <v>482</v>
      </c>
      <c r="BF1554" s="1"/>
      <c r="BH1554" t="s">
        <v>1366</v>
      </c>
      <c r="BP1554" t="s">
        <v>1489</v>
      </c>
    </row>
    <row r="1555" spans="1:68" x14ac:dyDescent="0.25">
      <c r="A1555" t="s">
        <v>5713</v>
      </c>
      <c r="B1555" t="s">
        <v>474</v>
      </c>
      <c r="C1555" t="s">
        <v>1655</v>
      </c>
      <c r="E1555" t="s">
        <v>480</v>
      </c>
      <c r="G1555" s="1" t="s">
        <v>4798</v>
      </c>
      <c r="H1555" t="s">
        <v>517</v>
      </c>
      <c r="J1555">
        <v>500000</v>
      </c>
      <c r="M1555" t="s">
        <v>1424</v>
      </c>
      <c r="P1555" t="s">
        <v>76</v>
      </c>
      <c r="R1555" t="s">
        <v>572</v>
      </c>
      <c r="S1555" t="s">
        <v>4803</v>
      </c>
      <c r="T1555" t="s">
        <v>4804</v>
      </c>
      <c r="V1555" t="s">
        <v>1365</v>
      </c>
      <c r="W1555" t="s">
        <v>73</v>
      </c>
      <c r="AE1555" t="s">
        <v>478</v>
      </c>
      <c r="AF1555" t="s">
        <v>479</v>
      </c>
      <c r="AL1555" t="s">
        <v>919</v>
      </c>
      <c r="AM1555" t="s">
        <v>919</v>
      </c>
      <c r="AO1555" t="s">
        <v>480</v>
      </c>
      <c r="AP1555" t="s">
        <v>481</v>
      </c>
      <c r="AQ1555" t="s">
        <v>558</v>
      </c>
      <c r="AR1555" t="s">
        <v>482</v>
      </c>
      <c r="BF1555" s="1"/>
      <c r="BH1555" t="s">
        <v>1366</v>
      </c>
      <c r="BP1555" t="s">
        <v>1489</v>
      </c>
    </row>
    <row r="1556" spans="1:68" x14ac:dyDescent="0.25">
      <c r="A1556" t="s">
        <v>5713</v>
      </c>
      <c r="B1556" t="s">
        <v>474</v>
      </c>
      <c r="C1556" t="s">
        <v>1655</v>
      </c>
      <c r="E1556" t="s">
        <v>480</v>
      </c>
      <c r="G1556" s="1" t="s">
        <v>4798</v>
      </c>
      <c r="H1556" t="s">
        <v>542</v>
      </c>
      <c r="J1556">
        <v>500000</v>
      </c>
      <c r="M1556" t="s">
        <v>1420</v>
      </c>
      <c r="P1556" t="s">
        <v>119</v>
      </c>
      <c r="R1556" t="s">
        <v>679</v>
      </c>
      <c r="S1556" t="s">
        <v>4805</v>
      </c>
      <c r="T1556" t="s">
        <v>4806</v>
      </c>
      <c r="V1556" t="s">
        <v>1365</v>
      </c>
      <c r="W1556" t="s">
        <v>73</v>
      </c>
      <c r="AE1556" t="s">
        <v>478</v>
      </c>
      <c r="AF1556" t="s">
        <v>479</v>
      </c>
      <c r="AL1556" t="s">
        <v>919</v>
      </c>
      <c r="AM1556" t="s">
        <v>919</v>
      </c>
      <c r="AO1556" t="s">
        <v>480</v>
      </c>
      <c r="AP1556" t="s">
        <v>481</v>
      </c>
      <c r="AQ1556" t="s">
        <v>756</v>
      </c>
      <c r="AR1556" t="s">
        <v>482</v>
      </c>
      <c r="BF1556" s="1"/>
      <c r="BH1556" t="s">
        <v>1366</v>
      </c>
      <c r="BP1556" t="s">
        <v>1489</v>
      </c>
    </row>
    <row r="1557" spans="1:68" x14ac:dyDescent="0.25">
      <c r="A1557" t="s">
        <v>5713</v>
      </c>
      <c r="B1557" t="s">
        <v>474</v>
      </c>
      <c r="C1557" t="s">
        <v>1655</v>
      </c>
      <c r="E1557" t="s">
        <v>480</v>
      </c>
      <c r="G1557" s="1" t="s">
        <v>4798</v>
      </c>
      <c r="H1557" t="s">
        <v>549</v>
      </c>
      <c r="J1557">
        <v>500000</v>
      </c>
      <c r="M1557" t="s">
        <v>1423</v>
      </c>
      <c r="P1557" t="s">
        <v>80</v>
      </c>
      <c r="R1557" t="s">
        <v>1640</v>
      </c>
      <c r="S1557" t="s">
        <v>4807</v>
      </c>
      <c r="T1557" t="s">
        <v>4808</v>
      </c>
      <c r="V1557" t="s">
        <v>1365</v>
      </c>
      <c r="W1557" t="s">
        <v>73</v>
      </c>
      <c r="AE1557" t="s">
        <v>478</v>
      </c>
      <c r="AF1557" t="s">
        <v>479</v>
      </c>
      <c r="AL1557" t="s">
        <v>919</v>
      </c>
      <c r="AM1557" t="s">
        <v>919</v>
      </c>
      <c r="AO1557" t="s">
        <v>480</v>
      </c>
      <c r="AP1557" t="s">
        <v>481</v>
      </c>
      <c r="AQ1557" t="s">
        <v>603</v>
      </c>
      <c r="AR1557" t="s">
        <v>482</v>
      </c>
      <c r="BF1557" s="1"/>
      <c r="BH1557" t="s">
        <v>1366</v>
      </c>
      <c r="BP1557" t="s">
        <v>1489</v>
      </c>
    </row>
    <row r="1558" spans="1:68" x14ac:dyDescent="0.25">
      <c r="A1558" t="s">
        <v>5713</v>
      </c>
      <c r="B1558" t="s">
        <v>474</v>
      </c>
      <c r="C1558" t="s">
        <v>1655</v>
      </c>
      <c r="E1558" t="s">
        <v>480</v>
      </c>
      <c r="G1558" s="1" t="s">
        <v>4798</v>
      </c>
      <c r="H1558" t="s">
        <v>556</v>
      </c>
      <c r="J1558">
        <v>500000</v>
      </c>
      <c r="M1558" t="s">
        <v>1423</v>
      </c>
      <c r="P1558" t="s">
        <v>115</v>
      </c>
      <c r="R1558" t="s">
        <v>1644</v>
      </c>
      <c r="S1558" t="s">
        <v>4809</v>
      </c>
      <c r="T1558" t="s">
        <v>4810</v>
      </c>
      <c r="V1558" t="s">
        <v>1365</v>
      </c>
      <c r="W1558" t="s">
        <v>73</v>
      </c>
      <c r="AE1558" t="s">
        <v>478</v>
      </c>
      <c r="AF1558" t="s">
        <v>479</v>
      </c>
      <c r="AL1558" t="s">
        <v>919</v>
      </c>
      <c r="AM1558" t="s">
        <v>919</v>
      </c>
      <c r="AO1558" t="s">
        <v>480</v>
      </c>
      <c r="AP1558" t="s">
        <v>481</v>
      </c>
      <c r="AQ1558" t="s">
        <v>626</v>
      </c>
      <c r="AR1558" t="s">
        <v>482</v>
      </c>
      <c r="BF1558" s="1"/>
      <c r="BH1558" t="s">
        <v>1366</v>
      </c>
      <c r="BP1558" t="s">
        <v>1489</v>
      </c>
    </row>
    <row r="1559" spans="1:68" x14ac:dyDescent="0.25">
      <c r="A1559" t="s">
        <v>5713</v>
      </c>
      <c r="B1559" t="s">
        <v>474</v>
      </c>
      <c r="C1559" t="s">
        <v>1655</v>
      </c>
      <c r="E1559" t="s">
        <v>480</v>
      </c>
      <c r="G1559" s="1" t="s">
        <v>4798</v>
      </c>
      <c r="H1559" t="s">
        <v>562</v>
      </c>
      <c r="J1559">
        <v>500000</v>
      </c>
      <c r="M1559" t="s">
        <v>1420</v>
      </c>
      <c r="P1559" t="s">
        <v>108</v>
      </c>
      <c r="R1559" t="s">
        <v>739</v>
      </c>
      <c r="S1559" t="s">
        <v>4811</v>
      </c>
      <c r="T1559" t="s">
        <v>4812</v>
      </c>
      <c r="V1559" t="s">
        <v>1365</v>
      </c>
      <c r="W1559" t="s">
        <v>73</v>
      </c>
      <c r="AE1559" t="s">
        <v>478</v>
      </c>
      <c r="AF1559" t="s">
        <v>479</v>
      </c>
      <c r="AL1559" t="s">
        <v>919</v>
      </c>
      <c r="AM1559" t="s">
        <v>919</v>
      </c>
      <c r="AO1559" t="s">
        <v>480</v>
      </c>
      <c r="AP1559" t="s">
        <v>481</v>
      </c>
      <c r="AQ1559" t="s">
        <v>520</v>
      </c>
      <c r="AR1559" t="s">
        <v>482</v>
      </c>
      <c r="BF1559" s="1"/>
      <c r="BH1559" t="s">
        <v>1366</v>
      </c>
      <c r="BP1559" t="s">
        <v>1489</v>
      </c>
    </row>
    <row r="1560" spans="1:68" x14ac:dyDescent="0.25">
      <c r="A1560" t="s">
        <v>5713</v>
      </c>
      <c r="B1560" t="s">
        <v>474</v>
      </c>
      <c r="C1560" t="s">
        <v>1655</v>
      </c>
      <c r="E1560" t="s">
        <v>480</v>
      </c>
      <c r="G1560" s="1" t="s">
        <v>4798</v>
      </c>
      <c r="H1560" t="s">
        <v>567</v>
      </c>
      <c r="J1560">
        <v>500000</v>
      </c>
      <c r="M1560" t="s">
        <v>1422</v>
      </c>
      <c r="P1560" t="s">
        <v>75</v>
      </c>
      <c r="R1560" t="s">
        <v>623</v>
      </c>
      <c r="S1560" t="s">
        <v>4813</v>
      </c>
      <c r="T1560" t="s">
        <v>4814</v>
      </c>
      <c r="V1560" t="s">
        <v>1365</v>
      </c>
      <c r="W1560" t="s">
        <v>73</v>
      </c>
      <c r="AE1560" t="s">
        <v>478</v>
      </c>
      <c r="AF1560" t="s">
        <v>479</v>
      </c>
      <c r="AL1560" t="s">
        <v>919</v>
      </c>
      <c r="AM1560" t="s">
        <v>919</v>
      </c>
      <c r="AO1560" t="s">
        <v>480</v>
      </c>
      <c r="AP1560" t="s">
        <v>481</v>
      </c>
      <c r="AQ1560" t="s">
        <v>599</v>
      </c>
      <c r="AR1560" t="s">
        <v>482</v>
      </c>
      <c r="BF1560" s="1"/>
      <c r="BH1560" t="s">
        <v>1366</v>
      </c>
      <c r="BP1560" t="s">
        <v>1489</v>
      </c>
    </row>
    <row r="1561" spans="1:68" x14ac:dyDescent="0.25">
      <c r="A1561" t="s">
        <v>5713</v>
      </c>
      <c r="B1561" t="s">
        <v>474</v>
      </c>
      <c r="C1561" t="s">
        <v>1655</v>
      </c>
      <c r="E1561" t="s">
        <v>480</v>
      </c>
      <c r="G1561" s="1" t="s">
        <v>4798</v>
      </c>
      <c r="H1561" t="s">
        <v>575</v>
      </c>
      <c r="J1561">
        <v>500000</v>
      </c>
      <c r="M1561" t="s">
        <v>1422</v>
      </c>
      <c r="P1561" t="s">
        <v>77</v>
      </c>
      <c r="R1561" t="s">
        <v>557</v>
      </c>
      <c r="S1561" t="s">
        <v>4815</v>
      </c>
      <c r="T1561" t="s">
        <v>4816</v>
      </c>
      <c r="V1561" t="s">
        <v>1365</v>
      </c>
      <c r="W1561" t="s">
        <v>73</v>
      </c>
      <c r="AE1561" t="s">
        <v>478</v>
      </c>
      <c r="AF1561" t="s">
        <v>479</v>
      </c>
      <c r="AL1561" t="s">
        <v>919</v>
      </c>
      <c r="AM1561" t="s">
        <v>919</v>
      </c>
      <c r="AO1561" t="s">
        <v>480</v>
      </c>
      <c r="AP1561" t="s">
        <v>481</v>
      </c>
      <c r="AQ1561" t="s">
        <v>533</v>
      </c>
      <c r="AR1561" t="s">
        <v>482</v>
      </c>
      <c r="BF1561" s="1"/>
      <c r="BH1561" t="s">
        <v>1366</v>
      </c>
      <c r="BP1561" t="s">
        <v>1489</v>
      </c>
    </row>
    <row r="1562" spans="1:68" x14ac:dyDescent="0.25">
      <c r="A1562" t="s">
        <v>5713</v>
      </c>
      <c r="B1562" t="s">
        <v>474</v>
      </c>
      <c r="C1562" t="s">
        <v>1655</v>
      </c>
      <c r="E1562" t="s">
        <v>480</v>
      </c>
      <c r="G1562" s="1" t="s">
        <v>4817</v>
      </c>
      <c r="H1562" t="s">
        <v>476</v>
      </c>
      <c r="J1562">
        <v>500000</v>
      </c>
      <c r="M1562" t="s">
        <v>1414</v>
      </c>
      <c r="P1562" t="s">
        <v>169</v>
      </c>
      <c r="R1562" t="s">
        <v>702</v>
      </c>
      <c r="S1562" t="s">
        <v>1400</v>
      </c>
      <c r="T1562" t="s">
        <v>1401</v>
      </c>
      <c r="V1562" t="s">
        <v>1365</v>
      </c>
      <c r="W1562" t="s">
        <v>73</v>
      </c>
      <c r="AE1562" t="s">
        <v>478</v>
      </c>
      <c r="AF1562" t="s">
        <v>479</v>
      </c>
      <c r="AL1562" t="s">
        <v>919</v>
      </c>
      <c r="AM1562" t="s">
        <v>919</v>
      </c>
      <c r="AO1562" t="s">
        <v>480</v>
      </c>
      <c r="AP1562" t="s">
        <v>481</v>
      </c>
      <c r="AQ1562" t="s">
        <v>852</v>
      </c>
      <c r="AR1562" t="s">
        <v>482</v>
      </c>
      <c r="BF1562" s="1"/>
      <c r="BH1562" t="s">
        <v>1366</v>
      </c>
      <c r="BP1562" t="s">
        <v>1489</v>
      </c>
    </row>
    <row r="1563" spans="1:68" x14ac:dyDescent="0.25">
      <c r="A1563" t="s">
        <v>5713</v>
      </c>
      <c r="B1563" t="s">
        <v>474</v>
      </c>
      <c r="C1563" t="s">
        <v>1655</v>
      </c>
      <c r="E1563" t="s">
        <v>480</v>
      </c>
      <c r="G1563" s="1" t="s">
        <v>4818</v>
      </c>
      <c r="H1563" t="s">
        <v>476</v>
      </c>
      <c r="J1563">
        <v>500000</v>
      </c>
      <c r="M1563" t="s">
        <v>1429</v>
      </c>
      <c r="P1563" t="s">
        <v>144</v>
      </c>
      <c r="R1563" t="s">
        <v>722</v>
      </c>
      <c r="S1563" t="s">
        <v>1381</v>
      </c>
      <c r="T1563" t="s">
        <v>1382</v>
      </c>
      <c r="V1563" t="s">
        <v>1365</v>
      </c>
      <c r="W1563" t="s">
        <v>70</v>
      </c>
      <c r="AE1563" t="s">
        <v>478</v>
      </c>
      <c r="AF1563" t="s">
        <v>479</v>
      </c>
      <c r="AL1563" t="s">
        <v>919</v>
      </c>
      <c r="AM1563" t="s">
        <v>919</v>
      </c>
      <c r="AO1563" t="s">
        <v>480</v>
      </c>
      <c r="AP1563" t="s">
        <v>481</v>
      </c>
      <c r="AQ1563" t="s">
        <v>726</v>
      </c>
      <c r="AR1563" t="s">
        <v>482</v>
      </c>
      <c r="BF1563" s="1"/>
      <c r="BH1563" t="s">
        <v>1366</v>
      </c>
      <c r="BP1563" t="s">
        <v>1489</v>
      </c>
    </row>
    <row r="1564" spans="1:68" x14ac:dyDescent="0.25">
      <c r="A1564" t="s">
        <v>5713</v>
      </c>
      <c r="B1564" t="s">
        <v>474</v>
      </c>
      <c r="C1564" t="s">
        <v>1679</v>
      </c>
      <c r="E1564" t="s">
        <v>480</v>
      </c>
      <c r="G1564" s="1" t="s">
        <v>4819</v>
      </c>
      <c r="H1564" t="s">
        <v>476</v>
      </c>
      <c r="J1564">
        <v>500000</v>
      </c>
      <c r="M1564" t="s">
        <v>1425</v>
      </c>
      <c r="P1564" t="s">
        <v>92</v>
      </c>
      <c r="R1564" t="s">
        <v>710</v>
      </c>
      <c r="S1564" t="s">
        <v>1371</v>
      </c>
      <c r="T1564" t="s">
        <v>1372</v>
      </c>
      <c r="V1564" t="s">
        <v>1365</v>
      </c>
      <c r="W1564" t="s">
        <v>235</v>
      </c>
      <c r="AE1564" t="s">
        <v>478</v>
      </c>
      <c r="AF1564" t="s">
        <v>479</v>
      </c>
      <c r="AL1564" t="s">
        <v>919</v>
      </c>
      <c r="AM1564" t="s">
        <v>919</v>
      </c>
      <c r="AO1564" t="s">
        <v>480</v>
      </c>
      <c r="AP1564" t="s">
        <v>481</v>
      </c>
      <c r="AQ1564" t="s">
        <v>713</v>
      </c>
      <c r="AR1564" t="s">
        <v>482</v>
      </c>
      <c r="BF1564" s="1"/>
      <c r="BH1564" t="s">
        <v>1366</v>
      </c>
      <c r="BP1564" t="s">
        <v>1489</v>
      </c>
    </row>
    <row r="1565" spans="1:68" x14ac:dyDescent="0.25">
      <c r="A1565" t="s">
        <v>5713</v>
      </c>
      <c r="B1565" t="s">
        <v>474</v>
      </c>
      <c r="C1565" t="s">
        <v>1679</v>
      </c>
      <c r="E1565" t="s">
        <v>480</v>
      </c>
      <c r="G1565" s="1" t="s">
        <v>4820</v>
      </c>
      <c r="H1565" t="s">
        <v>476</v>
      </c>
      <c r="J1565">
        <v>500000</v>
      </c>
      <c r="M1565" t="s">
        <v>1425</v>
      </c>
      <c r="P1565" t="s">
        <v>92</v>
      </c>
      <c r="R1565" t="s">
        <v>710</v>
      </c>
      <c r="S1565" t="s">
        <v>1371</v>
      </c>
      <c r="T1565" t="s">
        <v>1372</v>
      </c>
      <c r="V1565" t="s">
        <v>1365</v>
      </c>
      <c r="W1565" t="s">
        <v>235</v>
      </c>
      <c r="AE1565" t="s">
        <v>478</v>
      </c>
      <c r="AF1565" t="s">
        <v>479</v>
      </c>
      <c r="AL1565" t="s">
        <v>919</v>
      </c>
      <c r="AM1565" t="s">
        <v>919</v>
      </c>
      <c r="AO1565" t="s">
        <v>480</v>
      </c>
      <c r="AP1565" t="s">
        <v>481</v>
      </c>
      <c r="AQ1565" t="s">
        <v>713</v>
      </c>
      <c r="AR1565" t="s">
        <v>482</v>
      </c>
      <c r="BF1565" s="1"/>
      <c r="BH1565" t="s">
        <v>1366</v>
      </c>
      <c r="BP1565" t="s">
        <v>1489</v>
      </c>
    </row>
    <row r="1566" spans="1:68" x14ac:dyDescent="0.25">
      <c r="A1566" t="s">
        <v>5713</v>
      </c>
      <c r="B1566" t="s">
        <v>474</v>
      </c>
      <c r="C1566" t="s">
        <v>1679</v>
      </c>
      <c r="E1566" t="s">
        <v>480</v>
      </c>
      <c r="G1566" s="1" t="s">
        <v>4821</v>
      </c>
      <c r="H1566" t="s">
        <v>476</v>
      </c>
      <c r="J1566">
        <v>500000</v>
      </c>
      <c r="M1566" t="s">
        <v>1414</v>
      </c>
      <c r="P1566" t="s">
        <v>117</v>
      </c>
      <c r="R1566" t="s">
        <v>715</v>
      </c>
      <c r="S1566" t="s">
        <v>1373</v>
      </c>
      <c r="T1566" t="s">
        <v>1374</v>
      </c>
      <c r="V1566" t="s">
        <v>1365</v>
      </c>
      <c r="W1566" t="s">
        <v>235</v>
      </c>
      <c r="AE1566" t="s">
        <v>478</v>
      </c>
      <c r="AF1566" t="s">
        <v>479</v>
      </c>
      <c r="AL1566" t="s">
        <v>919</v>
      </c>
      <c r="AM1566" t="s">
        <v>919</v>
      </c>
      <c r="AO1566" t="s">
        <v>480</v>
      </c>
      <c r="AP1566" t="s">
        <v>481</v>
      </c>
      <c r="AQ1566" t="s">
        <v>718</v>
      </c>
      <c r="AR1566" t="s">
        <v>482</v>
      </c>
      <c r="BF1566" s="1"/>
      <c r="BH1566" t="s">
        <v>1366</v>
      </c>
      <c r="BP1566" t="s">
        <v>1489</v>
      </c>
    </row>
    <row r="1567" spans="1:68" x14ac:dyDescent="0.25">
      <c r="A1567" t="s">
        <v>5713</v>
      </c>
      <c r="B1567" t="s">
        <v>474</v>
      </c>
      <c r="C1567" t="s">
        <v>1679</v>
      </c>
      <c r="E1567" t="s">
        <v>480</v>
      </c>
      <c r="G1567" s="1" t="s">
        <v>4822</v>
      </c>
      <c r="H1567" t="s">
        <v>476</v>
      </c>
      <c r="J1567">
        <v>500000</v>
      </c>
      <c r="M1567" t="s">
        <v>1423</v>
      </c>
      <c r="P1567" t="s">
        <v>118</v>
      </c>
      <c r="R1567" t="s">
        <v>702</v>
      </c>
      <c r="S1567" t="s">
        <v>1367</v>
      </c>
      <c r="T1567" t="s">
        <v>1368</v>
      </c>
      <c r="V1567" t="s">
        <v>1365</v>
      </c>
      <c r="W1567" t="s">
        <v>235</v>
      </c>
      <c r="AE1567" t="s">
        <v>478</v>
      </c>
      <c r="AF1567" t="s">
        <v>479</v>
      </c>
      <c r="AL1567" t="s">
        <v>919</v>
      </c>
      <c r="AM1567" t="s">
        <v>919</v>
      </c>
      <c r="AO1567" t="s">
        <v>480</v>
      </c>
      <c r="AP1567" t="s">
        <v>481</v>
      </c>
      <c r="AQ1567" t="s">
        <v>705</v>
      </c>
      <c r="AR1567" t="s">
        <v>482</v>
      </c>
      <c r="BF1567" s="1"/>
      <c r="BH1567" t="s">
        <v>1366</v>
      </c>
      <c r="BP1567" t="s">
        <v>1489</v>
      </c>
    </row>
    <row r="1568" spans="1:68" x14ac:dyDescent="0.25">
      <c r="A1568" t="s">
        <v>5713</v>
      </c>
      <c r="B1568" t="s">
        <v>474</v>
      </c>
      <c r="C1568" t="s">
        <v>1679</v>
      </c>
      <c r="E1568" t="s">
        <v>480</v>
      </c>
      <c r="G1568" s="1" t="s">
        <v>4823</v>
      </c>
      <c r="H1568" t="s">
        <v>476</v>
      </c>
      <c r="J1568">
        <v>500000</v>
      </c>
      <c r="M1568" t="s">
        <v>1425</v>
      </c>
      <c r="P1568" t="s">
        <v>92</v>
      </c>
      <c r="R1568" t="s">
        <v>710</v>
      </c>
      <c r="S1568" t="s">
        <v>1371</v>
      </c>
      <c r="T1568" t="s">
        <v>1372</v>
      </c>
      <c r="V1568" t="s">
        <v>1365</v>
      </c>
      <c r="W1568" t="s">
        <v>235</v>
      </c>
      <c r="AE1568" t="s">
        <v>478</v>
      </c>
      <c r="AF1568" t="s">
        <v>479</v>
      </c>
      <c r="AL1568" t="s">
        <v>919</v>
      </c>
      <c r="AM1568" t="s">
        <v>919</v>
      </c>
      <c r="AO1568" t="s">
        <v>480</v>
      </c>
      <c r="AP1568" t="s">
        <v>481</v>
      </c>
      <c r="AQ1568" t="s">
        <v>713</v>
      </c>
      <c r="AR1568" t="s">
        <v>482</v>
      </c>
      <c r="BF1568" s="1"/>
      <c r="BH1568" t="s">
        <v>1366</v>
      </c>
      <c r="BP1568" t="s">
        <v>1489</v>
      </c>
    </row>
    <row r="1569" spans="1:68" x14ac:dyDescent="0.25">
      <c r="A1569" t="s">
        <v>5713</v>
      </c>
      <c r="B1569" t="s">
        <v>474</v>
      </c>
      <c r="C1569" t="s">
        <v>1679</v>
      </c>
      <c r="E1569" t="s">
        <v>480</v>
      </c>
      <c r="G1569" s="1" t="s">
        <v>4824</v>
      </c>
      <c r="H1569" t="s">
        <v>476</v>
      </c>
      <c r="J1569">
        <v>500000</v>
      </c>
      <c r="M1569" t="s">
        <v>1425</v>
      </c>
      <c r="P1569" t="s">
        <v>92</v>
      </c>
      <c r="R1569" t="s">
        <v>710</v>
      </c>
      <c r="S1569" t="s">
        <v>1371</v>
      </c>
      <c r="T1569" t="s">
        <v>1372</v>
      </c>
      <c r="V1569" t="s">
        <v>1365</v>
      </c>
      <c r="W1569" t="s">
        <v>235</v>
      </c>
      <c r="AE1569" t="s">
        <v>478</v>
      </c>
      <c r="AF1569" t="s">
        <v>479</v>
      </c>
      <c r="AL1569" t="s">
        <v>919</v>
      </c>
      <c r="AM1569" t="s">
        <v>919</v>
      </c>
      <c r="AO1569" t="s">
        <v>480</v>
      </c>
      <c r="AP1569" t="s">
        <v>481</v>
      </c>
      <c r="AQ1569" t="s">
        <v>713</v>
      </c>
      <c r="AR1569" t="s">
        <v>482</v>
      </c>
      <c r="BF1569" s="1"/>
      <c r="BH1569" t="s">
        <v>1366</v>
      </c>
      <c r="BP1569" t="s">
        <v>1489</v>
      </c>
    </row>
    <row r="1570" spans="1:68" x14ac:dyDescent="0.25">
      <c r="A1570" t="s">
        <v>5713</v>
      </c>
      <c r="B1570" t="s">
        <v>474</v>
      </c>
      <c r="C1570" t="s">
        <v>1679</v>
      </c>
      <c r="E1570" t="s">
        <v>480</v>
      </c>
      <c r="G1570" s="1" t="s">
        <v>4825</v>
      </c>
      <c r="H1570" t="s">
        <v>476</v>
      </c>
      <c r="J1570">
        <v>500000</v>
      </c>
      <c r="M1570" t="s">
        <v>1420</v>
      </c>
      <c r="P1570" t="s">
        <v>139</v>
      </c>
      <c r="R1570" t="s">
        <v>582</v>
      </c>
      <c r="S1570" t="s">
        <v>4826</v>
      </c>
      <c r="T1570" t="s">
        <v>4827</v>
      </c>
      <c r="V1570" t="s">
        <v>1365</v>
      </c>
      <c r="W1570" t="s">
        <v>73</v>
      </c>
      <c r="AE1570" t="s">
        <v>478</v>
      </c>
      <c r="AF1570" t="s">
        <v>479</v>
      </c>
      <c r="AL1570" t="s">
        <v>919</v>
      </c>
      <c r="AM1570" t="s">
        <v>919</v>
      </c>
      <c r="AO1570" t="s">
        <v>480</v>
      </c>
      <c r="AP1570" t="s">
        <v>481</v>
      </c>
      <c r="AQ1570" t="s">
        <v>618</v>
      </c>
      <c r="AR1570" t="s">
        <v>482</v>
      </c>
      <c r="BF1570" s="1"/>
      <c r="BH1570" t="s">
        <v>1366</v>
      </c>
      <c r="BP1570" t="s">
        <v>1489</v>
      </c>
    </row>
    <row r="1571" spans="1:68" x14ac:dyDescent="0.25">
      <c r="A1571" t="s">
        <v>5713</v>
      </c>
      <c r="B1571" t="s">
        <v>474</v>
      </c>
      <c r="C1571" t="s">
        <v>1679</v>
      </c>
      <c r="E1571" t="s">
        <v>480</v>
      </c>
      <c r="G1571" s="1" t="s">
        <v>4825</v>
      </c>
      <c r="H1571" t="s">
        <v>498</v>
      </c>
      <c r="J1571">
        <v>500000</v>
      </c>
      <c r="M1571" t="s">
        <v>1426</v>
      </c>
      <c r="P1571" t="s">
        <v>155</v>
      </c>
      <c r="R1571" t="s">
        <v>605</v>
      </c>
      <c r="S1571" t="s">
        <v>4828</v>
      </c>
      <c r="T1571" t="s">
        <v>4829</v>
      </c>
      <c r="V1571" t="s">
        <v>1365</v>
      </c>
      <c r="W1571" t="s">
        <v>73</v>
      </c>
      <c r="AE1571" t="s">
        <v>478</v>
      </c>
      <c r="AF1571" t="s">
        <v>479</v>
      </c>
      <c r="AL1571" t="s">
        <v>919</v>
      </c>
      <c r="AM1571" t="s">
        <v>919</v>
      </c>
      <c r="AO1571" t="s">
        <v>480</v>
      </c>
      <c r="AP1571" t="s">
        <v>481</v>
      </c>
      <c r="AQ1571" t="s">
        <v>610</v>
      </c>
      <c r="AR1571" t="s">
        <v>482</v>
      </c>
      <c r="BF1571" s="1"/>
      <c r="BH1571" t="s">
        <v>1366</v>
      </c>
      <c r="BP1571" t="s">
        <v>1489</v>
      </c>
    </row>
    <row r="1572" spans="1:68" x14ac:dyDescent="0.25">
      <c r="A1572" t="s">
        <v>5713</v>
      </c>
      <c r="B1572" t="s">
        <v>474</v>
      </c>
      <c r="C1572" t="s">
        <v>1679</v>
      </c>
      <c r="E1572" t="s">
        <v>480</v>
      </c>
      <c r="G1572" s="1" t="s">
        <v>4830</v>
      </c>
      <c r="H1572" t="s">
        <v>476</v>
      </c>
      <c r="J1572">
        <v>500000</v>
      </c>
      <c r="M1572" t="s">
        <v>1415</v>
      </c>
      <c r="P1572" t="s">
        <v>82</v>
      </c>
      <c r="R1572" t="s">
        <v>579</v>
      </c>
      <c r="S1572" t="s">
        <v>4831</v>
      </c>
      <c r="T1572" t="s">
        <v>4832</v>
      </c>
      <c r="V1572" t="s">
        <v>1365</v>
      </c>
      <c r="W1572" t="s">
        <v>73</v>
      </c>
      <c r="AE1572" t="s">
        <v>478</v>
      </c>
      <c r="AF1572" t="s">
        <v>479</v>
      </c>
      <c r="AL1572" t="s">
        <v>919</v>
      </c>
      <c r="AM1572" t="s">
        <v>919</v>
      </c>
      <c r="AO1572" t="s">
        <v>480</v>
      </c>
      <c r="AP1572" t="s">
        <v>481</v>
      </c>
      <c r="AQ1572" t="s">
        <v>541</v>
      </c>
      <c r="AR1572" t="s">
        <v>482</v>
      </c>
      <c r="BF1572" s="1"/>
      <c r="BH1572" t="s">
        <v>1366</v>
      </c>
      <c r="BP1572" t="s">
        <v>1489</v>
      </c>
    </row>
    <row r="1573" spans="1:68" x14ac:dyDescent="0.25">
      <c r="A1573" t="s">
        <v>5713</v>
      </c>
      <c r="B1573" t="s">
        <v>474</v>
      </c>
      <c r="C1573" t="s">
        <v>1679</v>
      </c>
      <c r="E1573" t="s">
        <v>480</v>
      </c>
      <c r="G1573" s="1" t="s">
        <v>4830</v>
      </c>
      <c r="H1573" t="s">
        <v>498</v>
      </c>
      <c r="J1573">
        <v>500000</v>
      </c>
      <c r="M1573" t="s">
        <v>1423</v>
      </c>
      <c r="P1573" t="s">
        <v>124</v>
      </c>
      <c r="R1573" t="s">
        <v>1561</v>
      </c>
      <c r="S1573" t="s">
        <v>4833</v>
      </c>
      <c r="T1573" t="s">
        <v>4834</v>
      </c>
      <c r="V1573" t="s">
        <v>1365</v>
      </c>
      <c r="W1573" t="s">
        <v>73</v>
      </c>
      <c r="AE1573" t="s">
        <v>478</v>
      </c>
      <c r="AF1573" t="s">
        <v>479</v>
      </c>
      <c r="AL1573" t="s">
        <v>919</v>
      </c>
      <c r="AM1573" t="s">
        <v>919</v>
      </c>
      <c r="AO1573" t="s">
        <v>480</v>
      </c>
      <c r="AP1573" t="s">
        <v>481</v>
      </c>
      <c r="AQ1573" t="s">
        <v>588</v>
      </c>
      <c r="AR1573" t="s">
        <v>482</v>
      </c>
      <c r="BF1573" s="1"/>
      <c r="BH1573" t="s">
        <v>1366</v>
      </c>
      <c r="BP1573" t="s">
        <v>1489</v>
      </c>
    </row>
    <row r="1574" spans="1:68" x14ac:dyDescent="0.25">
      <c r="A1574" t="s">
        <v>5713</v>
      </c>
      <c r="B1574" t="s">
        <v>474</v>
      </c>
      <c r="C1574" t="s">
        <v>1679</v>
      </c>
      <c r="E1574" t="s">
        <v>480</v>
      </c>
      <c r="G1574" s="1" t="s">
        <v>4830</v>
      </c>
      <c r="H1574" t="s">
        <v>517</v>
      </c>
      <c r="J1574">
        <v>500000</v>
      </c>
      <c r="M1574" t="s">
        <v>1431</v>
      </c>
      <c r="P1574" t="s">
        <v>72</v>
      </c>
      <c r="R1574" t="s">
        <v>623</v>
      </c>
      <c r="S1574" t="s">
        <v>4835</v>
      </c>
      <c r="T1574" t="s">
        <v>4836</v>
      </c>
      <c r="V1574" t="s">
        <v>1365</v>
      </c>
      <c r="W1574" t="s">
        <v>73</v>
      </c>
      <c r="AE1574" t="s">
        <v>478</v>
      </c>
      <c r="AF1574" t="s">
        <v>479</v>
      </c>
      <c r="AL1574" t="s">
        <v>919</v>
      </c>
      <c r="AM1574" t="s">
        <v>919</v>
      </c>
      <c r="AO1574" t="s">
        <v>480</v>
      </c>
      <c r="AP1574" t="s">
        <v>481</v>
      </c>
      <c r="AQ1574" t="s">
        <v>757</v>
      </c>
      <c r="AR1574" t="s">
        <v>482</v>
      </c>
      <c r="BF1574" s="1"/>
      <c r="BH1574" t="s">
        <v>1366</v>
      </c>
      <c r="BP1574" t="s">
        <v>1489</v>
      </c>
    </row>
    <row r="1575" spans="1:68" x14ac:dyDescent="0.25">
      <c r="A1575" t="s">
        <v>5713</v>
      </c>
      <c r="B1575" t="s">
        <v>474</v>
      </c>
      <c r="C1575" t="s">
        <v>1679</v>
      </c>
      <c r="E1575" t="s">
        <v>480</v>
      </c>
      <c r="G1575" s="1" t="s">
        <v>4830</v>
      </c>
      <c r="H1575" t="s">
        <v>542</v>
      </c>
      <c r="J1575">
        <v>500000</v>
      </c>
      <c r="M1575" t="s">
        <v>1420</v>
      </c>
      <c r="P1575" t="s">
        <v>103</v>
      </c>
      <c r="R1575" t="s">
        <v>524</v>
      </c>
      <c r="S1575" t="s">
        <v>4837</v>
      </c>
      <c r="T1575" t="s">
        <v>4838</v>
      </c>
      <c r="V1575" t="s">
        <v>1365</v>
      </c>
      <c r="W1575" t="s">
        <v>73</v>
      </c>
      <c r="AE1575" t="s">
        <v>478</v>
      </c>
      <c r="AF1575" t="s">
        <v>479</v>
      </c>
      <c r="AL1575" t="s">
        <v>919</v>
      </c>
      <c r="AM1575" t="s">
        <v>919</v>
      </c>
      <c r="AO1575" t="s">
        <v>480</v>
      </c>
      <c r="AP1575" t="s">
        <v>481</v>
      </c>
      <c r="AQ1575" t="s">
        <v>545</v>
      </c>
      <c r="AR1575" t="s">
        <v>482</v>
      </c>
      <c r="BF1575" s="1"/>
      <c r="BH1575" t="s">
        <v>1366</v>
      </c>
      <c r="BP1575" t="s">
        <v>1489</v>
      </c>
    </row>
    <row r="1576" spans="1:68" x14ac:dyDescent="0.25">
      <c r="A1576" t="s">
        <v>5713</v>
      </c>
      <c r="B1576" t="s">
        <v>474</v>
      </c>
      <c r="C1576" t="s">
        <v>1679</v>
      </c>
      <c r="E1576" t="s">
        <v>480</v>
      </c>
      <c r="G1576" s="1" t="s">
        <v>4830</v>
      </c>
      <c r="H1576" t="s">
        <v>549</v>
      </c>
      <c r="J1576">
        <v>500000</v>
      </c>
      <c r="M1576" t="s">
        <v>1428</v>
      </c>
      <c r="P1576" t="s">
        <v>113</v>
      </c>
      <c r="R1576" t="s">
        <v>853</v>
      </c>
      <c r="S1576" t="s">
        <v>4839</v>
      </c>
      <c r="T1576" t="s">
        <v>4840</v>
      </c>
      <c r="V1576" t="s">
        <v>1365</v>
      </c>
      <c r="W1576" t="s">
        <v>73</v>
      </c>
      <c r="AE1576" t="s">
        <v>478</v>
      </c>
      <c r="AF1576" t="s">
        <v>479</v>
      </c>
      <c r="AL1576" t="s">
        <v>919</v>
      </c>
      <c r="AM1576" t="s">
        <v>919</v>
      </c>
      <c r="AO1576" t="s">
        <v>480</v>
      </c>
      <c r="AP1576" t="s">
        <v>481</v>
      </c>
      <c r="AQ1576" t="s">
        <v>657</v>
      </c>
      <c r="AR1576" t="s">
        <v>482</v>
      </c>
      <c r="BF1576" s="1"/>
      <c r="BH1576" t="s">
        <v>1366</v>
      </c>
      <c r="BP1576" t="s">
        <v>1489</v>
      </c>
    </row>
    <row r="1577" spans="1:68" x14ac:dyDescent="0.25">
      <c r="A1577" t="s">
        <v>5713</v>
      </c>
      <c r="B1577" t="s">
        <v>474</v>
      </c>
      <c r="C1577" t="s">
        <v>1679</v>
      </c>
      <c r="E1577" t="s">
        <v>480</v>
      </c>
      <c r="G1577" s="1" t="s">
        <v>4830</v>
      </c>
      <c r="H1577" t="s">
        <v>556</v>
      </c>
      <c r="J1577">
        <v>500000</v>
      </c>
      <c r="M1577" t="s">
        <v>1424</v>
      </c>
      <c r="P1577" t="s">
        <v>157</v>
      </c>
      <c r="R1577" t="s">
        <v>605</v>
      </c>
      <c r="S1577" t="s">
        <v>1391</v>
      </c>
      <c r="T1577" t="s">
        <v>1392</v>
      </c>
      <c r="V1577" t="s">
        <v>1365</v>
      </c>
      <c r="W1577" t="s">
        <v>73</v>
      </c>
      <c r="AE1577" t="s">
        <v>478</v>
      </c>
      <c r="AF1577" t="s">
        <v>479</v>
      </c>
      <c r="AL1577" t="s">
        <v>919</v>
      </c>
      <c r="AM1577" t="s">
        <v>919</v>
      </c>
      <c r="AO1577" t="s">
        <v>480</v>
      </c>
      <c r="AP1577" t="s">
        <v>481</v>
      </c>
      <c r="AQ1577" t="s">
        <v>667</v>
      </c>
      <c r="AR1577" t="s">
        <v>482</v>
      </c>
      <c r="BF1577" s="1"/>
      <c r="BH1577" t="s">
        <v>1366</v>
      </c>
      <c r="BP1577" t="s">
        <v>1489</v>
      </c>
    </row>
    <row r="1578" spans="1:68" x14ac:dyDescent="0.25">
      <c r="A1578" t="s">
        <v>5713</v>
      </c>
      <c r="B1578" t="s">
        <v>474</v>
      </c>
      <c r="C1578" t="s">
        <v>1679</v>
      </c>
      <c r="E1578" t="s">
        <v>480</v>
      </c>
      <c r="G1578" s="1" t="s">
        <v>4830</v>
      </c>
      <c r="H1578" t="s">
        <v>562</v>
      </c>
      <c r="J1578">
        <v>500000</v>
      </c>
      <c r="M1578" t="s">
        <v>1420</v>
      </c>
      <c r="P1578" t="s">
        <v>78</v>
      </c>
      <c r="R1578" t="s">
        <v>518</v>
      </c>
      <c r="S1578" t="s">
        <v>4841</v>
      </c>
      <c r="T1578" t="s">
        <v>4842</v>
      </c>
      <c r="V1578" t="s">
        <v>1365</v>
      </c>
      <c r="W1578" t="s">
        <v>73</v>
      </c>
      <c r="AE1578" t="s">
        <v>478</v>
      </c>
      <c r="AF1578" t="s">
        <v>479</v>
      </c>
      <c r="AL1578" t="s">
        <v>919</v>
      </c>
      <c r="AM1578" t="s">
        <v>919</v>
      </c>
      <c r="AO1578" t="s">
        <v>480</v>
      </c>
      <c r="AP1578" t="s">
        <v>481</v>
      </c>
      <c r="AQ1578" t="s">
        <v>631</v>
      </c>
      <c r="AR1578" t="s">
        <v>482</v>
      </c>
      <c r="BF1578" s="1"/>
      <c r="BH1578" t="s">
        <v>1366</v>
      </c>
      <c r="BP1578" t="s">
        <v>1489</v>
      </c>
    </row>
    <row r="1579" spans="1:68" x14ac:dyDescent="0.25">
      <c r="A1579" t="s">
        <v>5713</v>
      </c>
      <c r="B1579" t="s">
        <v>474</v>
      </c>
      <c r="C1579" t="s">
        <v>1679</v>
      </c>
      <c r="E1579" t="s">
        <v>480</v>
      </c>
      <c r="G1579" s="1" t="s">
        <v>4830</v>
      </c>
      <c r="H1579" t="s">
        <v>567</v>
      </c>
      <c r="J1579">
        <v>500000</v>
      </c>
      <c r="M1579" t="s">
        <v>1422</v>
      </c>
      <c r="P1579" t="s">
        <v>77</v>
      </c>
      <c r="R1579" t="s">
        <v>679</v>
      </c>
      <c r="S1579" t="s">
        <v>4843</v>
      </c>
      <c r="T1579" t="s">
        <v>4844</v>
      </c>
      <c r="V1579" t="s">
        <v>1365</v>
      </c>
      <c r="W1579" t="s">
        <v>73</v>
      </c>
      <c r="AE1579" t="s">
        <v>478</v>
      </c>
      <c r="AF1579" t="s">
        <v>479</v>
      </c>
      <c r="AL1579" t="s">
        <v>919</v>
      </c>
      <c r="AM1579" t="s">
        <v>919</v>
      </c>
      <c r="AO1579" t="s">
        <v>480</v>
      </c>
      <c r="AP1579" t="s">
        <v>481</v>
      </c>
      <c r="AQ1579" t="s">
        <v>533</v>
      </c>
      <c r="AR1579" t="s">
        <v>482</v>
      </c>
      <c r="BF1579" s="1"/>
      <c r="BH1579" t="s">
        <v>1366</v>
      </c>
      <c r="BP1579" t="s">
        <v>1489</v>
      </c>
    </row>
    <row r="1580" spans="1:68" x14ac:dyDescent="0.25">
      <c r="A1580" t="s">
        <v>5713</v>
      </c>
      <c r="B1580" t="s">
        <v>474</v>
      </c>
      <c r="C1580" t="s">
        <v>1679</v>
      </c>
      <c r="E1580" t="s">
        <v>480</v>
      </c>
      <c r="G1580" s="1" t="s">
        <v>4830</v>
      </c>
      <c r="H1580" t="s">
        <v>575</v>
      </c>
      <c r="J1580">
        <v>500000</v>
      </c>
      <c r="M1580" t="s">
        <v>1425</v>
      </c>
      <c r="P1580" t="s">
        <v>170</v>
      </c>
      <c r="R1580" t="s">
        <v>836</v>
      </c>
      <c r="S1580" t="s">
        <v>4845</v>
      </c>
      <c r="T1580" t="s">
        <v>4846</v>
      </c>
      <c r="V1580" t="s">
        <v>1365</v>
      </c>
      <c r="W1580" t="s">
        <v>73</v>
      </c>
      <c r="AE1580" t="s">
        <v>478</v>
      </c>
      <c r="AF1580" t="s">
        <v>479</v>
      </c>
      <c r="AL1580" t="s">
        <v>919</v>
      </c>
      <c r="AM1580" t="s">
        <v>919</v>
      </c>
      <c r="AO1580" t="s">
        <v>480</v>
      </c>
      <c r="AP1580" t="s">
        <v>481</v>
      </c>
      <c r="AQ1580" t="s">
        <v>854</v>
      </c>
      <c r="AR1580" t="s">
        <v>482</v>
      </c>
      <c r="BF1580" s="1"/>
      <c r="BH1580" t="s">
        <v>1366</v>
      </c>
      <c r="BP1580" t="s">
        <v>1489</v>
      </c>
    </row>
    <row r="1581" spans="1:68" x14ac:dyDescent="0.25">
      <c r="A1581" t="s">
        <v>5713</v>
      </c>
      <c r="B1581" t="s">
        <v>474</v>
      </c>
      <c r="C1581" t="s">
        <v>1679</v>
      </c>
      <c r="E1581" t="s">
        <v>480</v>
      </c>
      <c r="G1581" s="1" t="s">
        <v>4830</v>
      </c>
      <c r="H1581" t="s">
        <v>581</v>
      </c>
      <c r="J1581">
        <v>500000</v>
      </c>
      <c r="M1581" t="s">
        <v>1425</v>
      </c>
      <c r="P1581" t="s">
        <v>116</v>
      </c>
      <c r="R1581" t="s">
        <v>568</v>
      </c>
      <c r="S1581" t="s">
        <v>4847</v>
      </c>
      <c r="T1581" t="s">
        <v>4848</v>
      </c>
      <c r="V1581" t="s">
        <v>1365</v>
      </c>
      <c r="W1581" t="s">
        <v>73</v>
      </c>
      <c r="AE1581" t="s">
        <v>478</v>
      </c>
      <c r="AF1581" t="s">
        <v>479</v>
      </c>
      <c r="AL1581" t="s">
        <v>919</v>
      </c>
      <c r="AM1581" t="s">
        <v>919</v>
      </c>
      <c r="AO1581" t="s">
        <v>480</v>
      </c>
      <c r="AP1581" t="s">
        <v>481</v>
      </c>
      <c r="AQ1581" t="s">
        <v>645</v>
      </c>
      <c r="AR1581" t="s">
        <v>482</v>
      </c>
      <c r="BF1581" s="1"/>
      <c r="BH1581" t="s">
        <v>1366</v>
      </c>
      <c r="BP1581" t="s">
        <v>1489</v>
      </c>
    </row>
    <row r="1582" spans="1:68" x14ac:dyDescent="0.25">
      <c r="A1582" t="s">
        <v>5713</v>
      </c>
      <c r="B1582" t="s">
        <v>474</v>
      </c>
      <c r="C1582" t="s">
        <v>1679</v>
      </c>
      <c r="E1582" t="s">
        <v>480</v>
      </c>
      <c r="G1582" s="1" t="s">
        <v>4830</v>
      </c>
      <c r="H1582" t="s">
        <v>589</v>
      </c>
      <c r="J1582">
        <v>500000</v>
      </c>
      <c r="M1582" t="s">
        <v>1426</v>
      </c>
      <c r="P1582" t="s">
        <v>155</v>
      </c>
      <c r="R1582" t="s">
        <v>605</v>
      </c>
      <c r="S1582" t="s">
        <v>4828</v>
      </c>
      <c r="T1582" t="s">
        <v>4829</v>
      </c>
      <c r="V1582" t="s">
        <v>1365</v>
      </c>
      <c r="W1582" t="s">
        <v>73</v>
      </c>
      <c r="AE1582" t="s">
        <v>478</v>
      </c>
      <c r="AF1582" t="s">
        <v>479</v>
      </c>
      <c r="AL1582" t="s">
        <v>919</v>
      </c>
      <c r="AM1582" t="s">
        <v>919</v>
      </c>
      <c r="AO1582" t="s">
        <v>480</v>
      </c>
      <c r="AP1582" t="s">
        <v>481</v>
      </c>
      <c r="AQ1582" t="s">
        <v>610</v>
      </c>
      <c r="AR1582" t="s">
        <v>482</v>
      </c>
      <c r="BF1582" s="1"/>
      <c r="BH1582" t="s">
        <v>1366</v>
      </c>
      <c r="BP1582" t="s">
        <v>1489</v>
      </c>
    </row>
    <row r="1583" spans="1:68" x14ac:dyDescent="0.25">
      <c r="A1583" t="s">
        <v>5713</v>
      </c>
      <c r="B1583" t="s">
        <v>474</v>
      </c>
      <c r="C1583" t="s">
        <v>1679</v>
      </c>
      <c r="E1583" t="s">
        <v>480</v>
      </c>
      <c r="G1583" s="1" t="s">
        <v>4830</v>
      </c>
      <c r="H1583" t="s">
        <v>598</v>
      </c>
      <c r="J1583">
        <v>500000</v>
      </c>
      <c r="M1583" t="s">
        <v>1425</v>
      </c>
      <c r="P1583" t="s">
        <v>101</v>
      </c>
      <c r="R1583" t="s">
        <v>700</v>
      </c>
      <c r="S1583" t="s">
        <v>1398</v>
      </c>
      <c r="T1583" t="s">
        <v>1399</v>
      </c>
      <c r="V1583" t="s">
        <v>1365</v>
      </c>
      <c r="W1583" t="s">
        <v>73</v>
      </c>
      <c r="AE1583" t="s">
        <v>478</v>
      </c>
      <c r="AF1583" t="s">
        <v>479</v>
      </c>
      <c r="AL1583" t="s">
        <v>919</v>
      </c>
      <c r="AM1583" t="s">
        <v>919</v>
      </c>
      <c r="AO1583" t="s">
        <v>480</v>
      </c>
      <c r="AP1583" t="s">
        <v>481</v>
      </c>
      <c r="AQ1583" t="s">
        <v>699</v>
      </c>
      <c r="AR1583" t="s">
        <v>482</v>
      </c>
      <c r="BF1583" s="1"/>
      <c r="BH1583" t="s">
        <v>1366</v>
      </c>
      <c r="BP1583" t="s">
        <v>1489</v>
      </c>
    </row>
    <row r="1584" spans="1:68" x14ac:dyDescent="0.25">
      <c r="A1584" t="s">
        <v>5713</v>
      </c>
      <c r="B1584" t="s">
        <v>474</v>
      </c>
      <c r="C1584" t="s">
        <v>1679</v>
      </c>
      <c r="E1584" t="s">
        <v>480</v>
      </c>
      <c r="G1584" s="1" t="s">
        <v>4830</v>
      </c>
      <c r="H1584" t="s">
        <v>604</v>
      </c>
      <c r="J1584">
        <v>500000</v>
      </c>
      <c r="M1584" t="s">
        <v>1421</v>
      </c>
      <c r="P1584" t="s">
        <v>126</v>
      </c>
      <c r="R1584" t="s">
        <v>633</v>
      </c>
      <c r="S1584" t="s">
        <v>4849</v>
      </c>
      <c r="T1584" t="s">
        <v>4850</v>
      </c>
      <c r="V1584" t="s">
        <v>1365</v>
      </c>
      <c r="W1584" t="s">
        <v>73</v>
      </c>
      <c r="AE1584" t="s">
        <v>478</v>
      </c>
      <c r="AF1584" t="s">
        <v>479</v>
      </c>
      <c r="AL1584" t="s">
        <v>919</v>
      </c>
      <c r="AM1584" t="s">
        <v>919</v>
      </c>
      <c r="AO1584" t="s">
        <v>480</v>
      </c>
      <c r="AP1584" t="s">
        <v>481</v>
      </c>
      <c r="AQ1584" t="s">
        <v>639</v>
      </c>
      <c r="AR1584" t="s">
        <v>482</v>
      </c>
      <c r="BF1584" s="1"/>
      <c r="BH1584" t="s">
        <v>1366</v>
      </c>
      <c r="BP1584" t="s">
        <v>1489</v>
      </c>
    </row>
    <row r="1585" spans="1:68" x14ac:dyDescent="0.25">
      <c r="A1585" t="s">
        <v>5713</v>
      </c>
      <c r="B1585" t="s">
        <v>474</v>
      </c>
      <c r="C1585" t="s">
        <v>1679</v>
      </c>
      <c r="E1585" t="s">
        <v>480</v>
      </c>
      <c r="G1585" s="1" t="s">
        <v>4830</v>
      </c>
      <c r="H1585" t="s">
        <v>611</v>
      </c>
      <c r="J1585">
        <v>500000</v>
      </c>
      <c r="M1585" t="s">
        <v>1422</v>
      </c>
      <c r="P1585" t="s">
        <v>75</v>
      </c>
      <c r="R1585" t="s">
        <v>529</v>
      </c>
      <c r="S1585" t="s">
        <v>4851</v>
      </c>
      <c r="T1585" t="s">
        <v>4852</v>
      </c>
      <c r="V1585" t="s">
        <v>1365</v>
      </c>
      <c r="W1585" t="s">
        <v>73</v>
      </c>
      <c r="AE1585" t="s">
        <v>478</v>
      </c>
      <c r="AF1585" t="s">
        <v>479</v>
      </c>
      <c r="AL1585" t="s">
        <v>919</v>
      </c>
      <c r="AM1585" t="s">
        <v>919</v>
      </c>
      <c r="AO1585" t="s">
        <v>480</v>
      </c>
      <c r="AP1585" t="s">
        <v>481</v>
      </c>
      <c r="AQ1585" t="s">
        <v>599</v>
      </c>
      <c r="AR1585" t="s">
        <v>482</v>
      </c>
      <c r="BF1585" s="1"/>
      <c r="BH1585" t="s">
        <v>1366</v>
      </c>
      <c r="BP1585" t="s">
        <v>1489</v>
      </c>
    </row>
    <row r="1586" spans="1:68" x14ac:dyDescent="0.25">
      <c r="A1586" t="s">
        <v>5713</v>
      </c>
      <c r="B1586" t="s">
        <v>474</v>
      </c>
      <c r="C1586" t="s">
        <v>1679</v>
      </c>
      <c r="E1586" t="s">
        <v>480</v>
      </c>
      <c r="G1586" s="1" t="s">
        <v>4830</v>
      </c>
      <c r="H1586" t="s">
        <v>616</v>
      </c>
      <c r="J1586">
        <v>500000</v>
      </c>
      <c r="M1586" t="s">
        <v>1420</v>
      </c>
      <c r="P1586" t="s">
        <v>89</v>
      </c>
      <c r="R1586" t="s">
        <v>572</v>
      </c>
      <c r="S1586" t="s">
        <v>4853</v>
      </c>
      <c r="T1586" t="s">
        <v>4854</v>
      </c>
      <c r="V1586" t="s">
        <v>1365</v>
      </c>
      <c r="W1586" t="s">
        <v>73</v>
      </c>
      <c r="AE1586" t="s">
        <v>478</v>
      </c>
      <c r="AF1586" t="s">
        <v>479</v>
      </c>
      <c r="AL1586" t="s">
        <v>919</v>
      </c>
      <c r="AM1586" t="s">
        <v>919</v>
      </c>
      <c r="AO1586" t="s">
        <v>480</v>
      </c>
      <c r="AP1586" t="s">
        <v>481</v>
      </c>
      <c r="AQ1586" t="s">
        <v>561</v>
      </c>
      <c r="AR1586" t="s">
        <v>482</v>
      </c>
      <c r="BF1586" s="1"/>
      <c r="BH1586" t="s">
        <v>1366</v>
      </c>
      <c r="BP1586" t="s">
        <v>1489</v>
      </c>
    </row>
    <row r="1587" spans="1:68" x14ac:dyDescent="0.25">
      <c r="A1587" t="s">
        <v>5713</v>
      </c>
      <c r="B1587" t="s">
        <v>474</v>
      </c>
      <c r="C1587" t="s">
        <v>1679</v>
      </c>
      <c r="E1587" t="s">
        <v>480</v>
      </c>
      <c r="G1587" s="1" t="s">
        <v>4855</v>
      </c>
      <c r="H1587" t="s">
        <v>476</v>
      </c>
      <c r="J1587">
        <v>500000</v>
      </c>
      <c r="M1587" t="s">
        <v>1423</v>
      </c>
      <c r="P1587" t="s">
        <v>140</v>
      </c>
      <c r="R1587" t="s">
        <v>871</v>
      </c>
      <c r="S1587" t="s">
        <v>1389</v>
      </c>
      <c r="T1587" t="s">
        <v>1390</v>
      </c>
      <c r="V1587" t="s">
        <v>1365</v>
      </c>
      <c r="W1587" t="s">
        <v>73</v>
      </c>
      <c r="AE1587" t="s">
        <v>478</v>
      </c>
      <c r="AF1587" t="s">
        <v>479</v>
      </c>
      <c r="AL1587" t="s">
        <v>919</v>
      </c>
      <c r="AM1587" t="s">
        <v>919</v>
      </c>
      <c r="AO1587" t="s">
        <v>480</v>
      </c>
      <c r="AP1587" t="s">
        <v>481</v>
      </c>
      <c r="AQ1587" t="s">
        <v>681</v>
      </c>
      <c r="AR1587" t="s">
        <v>482</v>
      </c>
      <c r="BF1587" s="1"/>
      <c r="BH1587" t="s">
        <v>1366</v>
      </c>
      <c r="BP1587" t="s">
        <v>1489</v>
      </c>
    </row>
    <row r="1588" spans="1:68" x14ac:dyDescent="0.25">
      <c r="A1588" t="s">
        <v>5713</v>
      </c>
      <c r="B1588" t="s">
        <v>474</v>
      </c>
      <c r="C1588" t="s">
        <v>1655</v>
      </c>
      <c r="E1588" t="s">
        <v>480</v>
      </c>
      <c r="G1588" s="1" t="s">
        <v>4856</v>
      </c>
      <c r="H1588" t="s">
        <v>476</v>
      </c>
      <c r="J1588">
        <v>500000</v>
      </c>
      <c r="M1588" t="s">
        <v>1417</v>
      </c>
      <c r="P1588" t="s">
        <v>121</v>
      </c>
      <c r="R1588" t="s">
        <v>1508</v>
      </c>
      <c r="S1588" t="s">
        <v>4857</v>
      </c>
      <c r="T1588" t="s">
        <v>4858</v>
      </c>
      <c r="V1588" t="s">
        <v>1365</v>
      </c>
      <c r="W1588" t="s">
        <v>70</v>
      </c>
      <c r="AE1588" t="s">
        <v>478</v>
      </c>
      <c r="AF1588" t="s">
        <v>479</v>
      </c>
      <c r="AL1588" t="s">
        <v>919</v>
      </c>
      <c r="AM1588" t="s">
        <v>919</v>
      </c>
      <c r="AO1588" t="s">
        <v>480</v>
      </c>
      <c r="AP1588" t="s">
        <v>481</v>
      </c>
      <c r="AQ1588" t="s">
        <v>499</v>
      </c>
      <c r="AR1588" t="s">
        <v>482</v>
      </c>
      <c r="BF1588" s="1"/>
      <c r="BH1588" t="s">
        <v>1366</v>
      </c>
      <c r="BP1588" t="s">
        <v>1489</v>
      </c>
    </row>
    <row r="1589" spans="1:68" x14ac:dyDescent="0.25">
      <c r="A1589" t="s">
        <v>5713</v>
      </c>
      <c r="B1589" t="s">
        <v>474</v>
      </c>
      <c r="C1589" t="s">
        <v>1655</v>
      </c>
      <c r="E1589" t="s">
        <v>480</v>
      </c>
      <c r="G1589" s="1" t="s">
        <v>4856</v>
      </c>
      <c r="H1589" t="s">
        <v>498</v>
      </c>
      <c r="J1589">
        <v>500000</v>
      </c>
      <c r="M1589" t="s">
        <v>1417</v>
      </c>
      <c r="P1589" t="s">
        <v>133</v>
      </c>
      <c r="R1589" t="s">
        <v>1512</v>
      </c>
      <c r="S1589" t="s">
        <v>4859</v>
      </c>
      <c r="T1589" t="s">
        <v>4860</v>
      </c>
      <c r="V1589" t="s">
        <v>1365</v>
      </c>
      <c r="W1589" t="s">
        <v>70</v>
      </c>
      <c r="AE1589" t="s">
        <v>478</v>
      </c>
      <c r="AF1589" t="s">
        <v>479</v>
      </c>
      <c r="AL1589" t="s">
        <v>919</v>
      </c>
      <c r="AM1589" t="s">
        <v>919</v>
      </c>
      <c r="AO1589" t="s">
        <v>480</v>
      </c>
      <c r="AP1589" t="s">
        <v>481</v>
      </c>
      <c r="AQ1589" t="s">
        <v>505</v>
      </c>
      <c r="AR1589" t="s">
        <v>482</v>
      </c>
      <c r="BF1589" s="1"/>
      <c r="BH1589" t="s">
        <v>1366</v>
      </c>
      <c r="BP1589" t="s">
        <v>1489</v>
      </c>
    </row>
    <row r="1590" spans="1:68" x14ac:dyDescent="0.25">
      <c r="A1590" t="s">
        <v>5713</v>
      </c>
      <c r="B1590" t="s">
        <v>474</v>
      </c>
      <c r="C1590" t="s">
        <v>1655</v>
      </c>
      <c r="E1590" t="s">
        <v>480</v>
      </c>
      <c r="G1590" s="1" t="s">
        <v>4861</v>
      </c>
      <c r="H1590" t="s">
        <v>476</v>
      </c>
      <c r="J1590">
        <v>500000</v>
      </c>
      <c r="M1590" t="s">
        <v>1416</v>
      </c>
      <c r="P1590" t="s">
        <v>83</v>
      </c>
      <c r="R1590" t="s">
        <v>1516</v>
      </c>
      <c r="S1590" t="s">
        <v>4862</v>
      </c>
      <c r="T1590" t="s">
        <v>4863</v>
      </c>
      <c r="V1590" t="s">
        <v>1365</v>
      </c>
      <c r="W1590" t="s">
        <v>70</v>
      </c>
      <c r="AE1590" t="s">
        <v>478</v>
      </c>
      <c r="AF1590" t="s">
        <v>479</v>
      </c>
      <c r="AL1590" t="s">
        <v>919</v>
      </c>
      <c r="AM1590" t="s">
        <v>919</v>
      </c>
      <c r="AO1590" t="s">
        <v>480</v>
      </c>
      <c r="AP1590" t="s">
        <v>481</v>
      </c>
      <c r="AQ1590" t="s">
        <v>497</v>
      </c>
      <c r="AR1590" t="s">
        <v>482</v>
      </c>
      <c r="BF1590" s="1"/>
      <c r="BH1590" t="s">
        <v>1366</v>
      </c>
      <c r="BP1590" t="s">
        <v>1489</v>
      </c>
    </row>
    <row r="1591" spans="1:68" x14ac:dyDescent="0.25">
      <c r="A1591" t="s">
        <v>5713</v>
      </c>
      <c r="B1591" t="s">
        <v>474</v>
      </c>
      <c r="C1591" t="s">
        <v>3163</v>
      </c>
      <c r="E1591" t="s">
        <v>480</v>
      </c>
      <c r="G1591" s="1" t="s">
        <v>4864</v>
      </c>
      <c r="H1591" t="s">
        <v>476</v>
      </c>
      <c r="J1591">
        <v>500000</v>
      </c>
      <c r="M1591" t="s">
        <v>1425</v>
      </c>
      <c r="P1591" t="s">
        <v>86</v>
      </c>
      <c r="R1591" t="s">
        <v>739</v>
      </c>
      <c r="S1591" t="s">
        <v>4865</v>
      </c>
      <c r="T1591" t="s">
        <v>4866</v>
      </c>
      <c r="V1591" t="s">
        <v>1365</v>
      </c>
      <c r="W1591" t="s">
        <v>73</v>
      </c>
      <c r="AE1591" t="s">
        <v>478</v>
      </c>
      <c r="AF1591" t="s">
        <v>479</v>
      </c>
      <c r="AL1591" t="s">
        <v>919</v>
      </c>
      <c r="AM1591" t="s">
        <v>919</v>
      </c>
      <c r="AO1591" t="s">
        <v>480</v>
      </c>
      <c r="AP1591" t="s">
        <v>481</v>
      </c>
      <c r="AQ1591" t="s">
        <v>566</v>
      </c>
      <c r="AR1591" t="s">
        <v>482</v>
      </c>
      <c r="BF1591" s="1"/>
      <c r="BH1591" t="s">
        <v>1366</v>
      </c>
      <c r="BP1591" t="s">
        <v>1489</v>
      </c>
    </row>
    <row r="1592" spans="1:68" x14ac:dyDescent="0.25">
      <c r="A1592" t="s">
        <v>5713</v>
      </c>
      <c r="B1592" t="s">
        <v>474</v>
      </c>
      <c r="C1592" t="s">
        <v>3163</v>
      </c>
      <c r="E1592" t="s">
        <v>480</v>
      </c>
      <c r="G1592" s="1" t="s">
        <v>4867</v>
      </c>
      <c r="H1592" t="s">
        <v>476</v>
      </c>
      <c r="J1592">
        <v>500000</v>
      </c>
      <c r="M1592" t="s">
        <v>1425</v>
      </c>
      <c r="P1592" t="s">
        <v>170</v>
      </c>
      <c r="R1592" t="s">
        <v>605</v>
      </c>
      <c r="S1592" t="s">
        <v>4868</v>
      </c>
      <c r="T1592" t="s">
        <v>4869</v>
      </c>
      <c r="V1592" t="s">
        <v>1365</v>
      </c>
      <c r="W1592" t="s">
        <v>73</v>
      </c>
      <c r="AE1592" t="s">
        <v>478</v>
      </c>
      <c r="AF1592" t="s">
        <v>479</v>
      </c>
      <c r="AL1592" t="s">
        <v>919</v>
      </c>
      <c r="AM1592" t="s">
        <v>919</v>
      </c>
      <c r="AO1592" t="s">
        <v>480</v>
      </c>
      <c r="AP1592" t="s">
        <v>481</v>
      </c>
      <c r="AQ1592" t="s">
        <v>854</v>
      </c>
      <c r="AR1592" t="s">
        <v>482</v>
      </c>
      <c r="BF1592" s="1"/>
      <c r="BH1592" t="s">
        <v>1366</v>
      </c>
      <c r="BP1592" t="s">
        <v>1489</v>
      </c>
    </row>
    <row r="1593" spans="1:68" x14ac:dyDescent="0.25">
      <c r="A1593" t="s">
        <v>5713</v>
      </c>
      <c r="B1593" t="s">
        <v>474</v>
      </c>
      <c r="C1593" t="s">
        <v>1504</v>
      </c>
      <c r="E1593" t="s">
        <v>480</v>
      </c>
      <c r="G1593" s="1" t="s">
        <v>4870</v>
      </c>
      <c r="H1593" t="s">
        <v>476</v>
      </c>
      <c r="J1593">
        <v>500000</v>
      </c>
      <c r="M1593" t="s">
        <v>1427</v>
      </c>
      <c r="P1593" t="s">
        <v>104</v>
      </c>
      <c r="R1593" t="s">
        <v>743</v>
      </c>
      <c r="S1593" t="s">
        <v>4871</v>
      </c>
      <c r="T1593" t="s">
        <v>4872</v>
      </c>
      <c r="V1593" t="s">
        <v>1365</v>
      </c>
      <c r="W1593" t="s">
        <v>73</v>
      </c>
      <c r="AE1593" t="s">
        <v>478</v>
      </c>
      <c r="AF1593" t="s">
        <v>479</v>
      </c>
      <c r="AL1593" t="s">
        <v>919</v>
      </c>
      <c r="AM1593" t="s">
        <v>919</v>
      </c>
      <c r="AO1593" t="s">
        <v>480</v>
      </c>
      <c r="AP1593" t="s">
        <v>481</v>
      </c>
      <c r="AQ1593" t="s">
        <v>637</v>
      </c>
      <c r="AR1593" t="s">
        <v>482</v>
      </c>
      <c r="BF1593" s="1"/>
      <c r="BH1593" t="s">
        <v>1366</v>
      </c>
      <c r="BP1593" t="s">
        <v>1489</v>
      </c>
    </row>
    <row r="1594" spans="1:68" x14ac:dyDescent="0.25">
      <c r="A1594" t="s">
        <v>5713</v>
      </c>
      <c r="B1594" t="s">
        <v>474</v>
      </c>
      <c r="C1594" t="s">
        <v>1504</v>
      </c>
      <c r="E1594" t="s">
        <v>480</v>
      </c>
      <c r="G1594" s="1" t="s">
        <v>4870</v>
      </c>
      <c r="H1594" t="s">
        <v>498</v>
      </c>
      <c r="J1594">
        <v>500000</v>
      </c>
      <c r="M1594" t="s">
        <v>1420</v>
      </c>
      <c r="P1594" t="s">
        <v>105</v>
      </c>
      <c r="R1594" t="s">
        <v>743</v>
      </c>
      <c r="S1594" t="s">
        <v>1456</v>
      </c>
      <c r="T1594" t="s">
        <v>1457</v>
      </c>
      <c r="V1594" t="s">
        <v>1365</v>
      </c>
      <c r="W1594" t="s">
        <v>73</v>
      </c>
      <c r="AE1594" t="s">
        <v>478</v>
      </c>
      <c r="AF1594" t="s">
        <v>479</v>
      </c>
      <c r="AL1594" t="s">
        <v>919</v>
      </c>
      <c r="AM1594" t="s">
        <v>919</v>
      </c>
      <c r="AO1594" t="s">
        <v>480</v>
      </c>
      <c r="AP1594" t="s">
        <v>481</v>
      </c>
      <c r="AQ1594" t="s">
        <v>607</v>
      </c>
      <c r="AR1594" t="s">
        <v>482</v>
      </c>
      <c r="BF1594" s="1"/>
      <c r="BH1594" t="s">
        <v>1366</v>
      </c>
      <c r="BP1594" t="s">
        <v>1489</v>
      </c>
    </row>
    <row r="1595" spans="1:68" x14ac:dyDescent="0.25">
      <c r="A1595" t="s">
        <v>5713</v>
      </c>
      <c r="B1595" t="s">
        <v>474</v>
      </c>
      <c r="C1595" t="s">
        <v>1504</v>
      </c>
      <c r="E1595" t="s">
        <v>480</v>
      </c>
      <c r="G1595" s="1" t="s">
        <v>4870</v>
      </c>
      <c r="H1595" t="s">
        <v>517</v>
      </c>
      <c r="J1595">
        <v>500000</v>
      </c>
      <c r="M1595" t="s">
        <v>1420</v>
      </c>
      <c r="P1595" t="s">
        <v>103</v>
      </c>
      <c r="R1595" t="s">
        <v>625</v>
      </c>
      <c r="S1595" t="s">
        <v>4873</v>
      </c>
      <c r="T1595" t="s">
        <v>4874</v>
      </c>
      <c r="V1595" t="s">
        <v>1365</v>
      </c>
      <c r="W1595" t="s">
        <v>73</v>
      </c>
      <c r="AE1595" t="s">
        <v>478</v>
      </c>
      <c r="AF1595" t="s">
        <v>479</v>
      </c>
      <c r="AL1595" t="s">
        <v>919</v>
      </c>
      <c r="AM1595" t="s">
        <v>919</v>
      </c>
      <c r="AO1595" t="s">
        <v>480</v>
      </c>
      <c r="AP1595" t="s">
        <v>481</v>
      </c>
      <c r="AQ1595" t="s">
        <v>545</v>
      </c>
      <c r="AR1595" t="s">
        <v>482</v>
      </c>
      <c r="BF1595" s="1"/>
      <c r="BH1595" t="s">
        <v>1366</v>
      </c>
      <c r="BP1595" t="s">
        <v>1489</v>
      </c>
    </row>
    <row r="1596" spans="1:68" x14ac:dyDescent="0.25">
      <c r="A1596" t="s">
        <v>5713</v>
      </c>
      <c r="B1596" t="s">
        <v>474</v>
      </c>
      <c r="C1596" t="s">
        <v>1504</v>
      </c>
      <c r="E1596" t="s">
        <v>480</v>
      </c>
      <c r="G1596" s="1" t="s">
        <v>4870</v>
      </c>
      <c r="H1596" t="s">
        <v>542</v>
      </c>
      <c r="J1596">
        <v>500000</v>
      </c>
      <c r="M1596" t="s">
        <v>1420</v>
      </c>
      <c r="P1596" t="s">
        <v>109</v>
      </c>
      <c r="R1596" t="s">
        <v>635</v>
      </c>
      <c r="S1596" t="s">
        <v>4875</v>
      </c>
      <c r="T1596" t="s">
        <v>4876</v>
      </c>
      <c r="V1596" t="s">
        <v>1365</v>
      </c>
      <c r="W1596" t="s">
        <v>73</v>
      </c>
      <c r="AE1596" t="s">
        <v>478</v>
      </c>
      <c r="AF1596" t="s">
        <v>479</v>
      </c>
      <c r="AL1596" t="s">
        <v>919</v>
      </c>
      <c r="AM1596" t="s">
        <v>919</v>
      </c>
      <c r="AO1596" t="s">
        <v>480</v>
      </c>
      <c r="AP1596" t="s">
        <v>481</v>
      </c>
      <c r="AQ1596" t="s">
        <v>536</v>
      </c>
      <c r="AR1596" t="s">
        <v>482</v>
      </c>
      <c r="BF1596" s="1"/>
      <c r="BH1596" t="s">
        <v>1366</v>
      </c>
      <c r="BP1596" t="s">
        <v>1489</v>
      </c>
    </row>
    <row r="1597" spans="1:68" x14ac:dyDescent="0.25">
      <c r="A1597" t="s">
        <v>5713</v>
      </c>
      <c r="B1597" t="s">
        <v>474</v>
      </c>
      <c r="C1597" t="s">
        <v>1504</v>
      </c>
      <c r="E1597" t="s">
        <v>480</v>
      </c>
      <c r="G1597" s="1" t="s">
        <v>4870</v>
      </c>
      <c r="H1597" t="s">
        <v>549</v>
      </c>
      <c r="J1597">
        <v>500000</v>
      </c>
      <c r="M1597" t="s">
        <v>1420</v>
      </c>
      <c r="P1597" t="s">
        <v>78</v>
      </c>
      <c r="R1597" t="s">
        <v>743</v>
      </c>
      <c r="S1597" t="s">
        <v>1458</v>
      </c>
      <c r="T1597" t="s">
        <v>1459</v>
      </c>
      <c r="V1597" t="s">
        <v>1365</v>
      </c>
      <c r="W1597" t="s">
        <v>73</v>
      </c>
      <c r="AE1597" t="s">
        <v>478</v>
      </c>
      <c r="AF1597" t="s">
        <v>479</v>
      </c>
      <c r="AL1597" t="s">
        <v>919</v>
      </c>
      <c r="AM1597" t="s">
        <v>919</v>
      </c>
      <c r="AO1597" t="s">
        <v>480</v>
      </c>
      <c r="AP1597" t="s">
        <v>481</v>
      </c>
      <c r="AQ1597" t="s">
        <v>631</v>
      </c>
      <c r="AR1597" t="s">
        <v>482</v>
      </c>
      <c r="BF1597" s="1"/>
      <c r="BH1597" t="s">
        <v>1366</v>
      </c>
      <c r="BP1597" t="s">
        <v>1489</v>
      </c>
    </row>
    <row r="1598" spans="1:68" x14ac:dyDescent="0.25">
      <c r="A1598" t="s">
        <v>5713</v>
      </c>
      <c r="B1598" t="s">
        <v>474</v>
      </c>
      <c r="C1598" t="s">
        <v>1504</v>
      </c>
      <c r="E1598" t="s">
        <v>480</v>
      </c>
      <c r="G1598" s="1" t="s">
        <v>4870</v>
      </c>
      <c r="H1598" t="s">
        <v>556</v>
      </c>
      <c r="J1598">
        <v>500000</v>
      </c>
      <c r="M1598" t="s">
        <v>1415</v>
      </c>
      <c r="P1598" t="s">
        <v>102</v>
      </c>
      <c r="R1598" t="s">
        <v>843</v>
      </c>
      <c r="S1598" t="s">
        <v>4877</v>
      </c>
      <c r="T1598" t="s">
        <v>4878</v>
      </c>
      <c r="V1598" t="s">
        <v>1365</v>
      </c>
      <c r="W1598" t="s">
        <v>73</v>
      </c>
      <c r="AE1598" t="s">
        <v>478</v>
      </c>
      <c r="AF1598" t="s">
        <v>479</v>
      </c>
      <c r="AL1598" t="s">
        <v>919</v>
      </c>
      <c r="AM1598" t="s">
        <v>919</v>
      </c>
      <c r="AO1598" t="s">
        <v>480</v>
      </c>
      <c r="AP1598" t="s">
        <v>481</v>
      </c>
      <c r="AQ1598" t="s">
        <v>646</v>
      </c>
      <c r="AR1598" t="s">
        <v>482</v>
      </c>
      <c r="BF1598" s="1"/>
      <c r="BH1598" t="s">
        <v>1366</v>
      </c>
      <c r="BP1598" t="s">
        <v>1489</v>
      </c>
    </row>
    <row r="1599" spans="1:68" x14ac:dyDescent="0.25">
      <c r="A1599" t="s">
        <v>5713</v>
      </c>
      <c r="B1599" t="s">
        <v>474</v>
      </c>
      <c r="C1599" t="s">
        <v>1504</v>
      </c>
      <c r="E1599" t="s">
        <v>480</v>
      </c>
      <c r="G1599" s="1" t="s">
        <v>4870</v>
      </c>
      <c r="H1599" t="s">
        <v>562</v>
      </c>
      <c r="J1599">
        <v>500000</v>
      </c>
      <c r="M1599" t="s">
        <v>1422</v>
      </c>
      <c r="P1599" t="s">
        <v>77</v>
      </c>
      <c r="R1599" t="s">
        <v>4879</v>
      </c>
      <c r="S1599" t="s">
        <v>4880</v>
      </c>
      <c r="T1599" t="s">
        <v>4881</v>
      </c>
      <c r="V1599" t="s">
        <v>1365</v>
      </c>
      <c r="W1599" t="s">
        <v>73</v>
      </c>
      <c r="AE1599" t="s">
        <v>478</v>
      </c>
      <c r="AF1599" t="s">
        <v>479</v>
      </c>
      <c r="AL1599" t="s">
        <v>919</v>
      </c>
      <c r="AM1599" t="s">
        <v>919</v>
      </c>
      <c r="AO1599" t="s">
        <v>480</v>
      </c>
      <c r="AP1599" t="s">
        <v>481</v>
      </c>
      <c r="AQ1599" t="s">
        <v>533</v>
      </c>
      <c r="AR1599" t="s">
        <v>482</v>
      </c>
      <c r="BF1599" s="1"/>
      <c r="BH1599" t="s">
        <v>1366</v>
      </c>
      <c r="BP1599" t="s">
        <v>1489</v>
      </c>
    </row>
    <row r="1600" spans="1:68" x14ac:dyDescent="0.25">
      <c r="A1600" t="s">
        <v>5713</v>
      </c>
      <c r="B1600" t="s">
        <v>474</v>
      </c>
      <c r="C1600" t="s">
        <v>1504</v>
      </c>
      <c r="E1600" t="s">
        <v>480</v>
      </c>
      <c r="G1600" s="1" t="s">
        <v>4870</v>
      </c>
      <c r="H1600" t="s">
        <v>567</v>
      </c>
      <c r="J1600">
        <v>500000</v>
      </c>
      <c r="M1600" t="s">
        <v>1420</v>
      </c>
      <c r="P1600" t="s">
        <v>88</v>
      </c>
      <c r="R1600" t="s">
        <v>743</v>
      </c>
      <c r="S1600" t="s">
        <v>1393</v>
      </c>
      <c r="T1600" t="s">
        <v>1394</v>
      </c>
      <c r="V1600" t="s">
        <v>1365</v>
      </c>
      <c r="W1600" t="s">
        <v>73</v>
      </c>
      <c r="AE1600" t="s">
        <v>478</v>
      </c>
      <c r="AF1600" t="s">
        <v>479</v>
      </c>
      <c r="AL1600" t="s">
        <v>919</v>
      </c>
      <c r="AM1600" t="s">
        <v>919</v>
      </c>
      <c r="AO1600" t="s">
        <v>480</v>
      </c>
      <c r="AP1600" t="s">
        <v>481</v>
      </c>
      <c r="AQ1600" t="s">
        <v>597</v>
      </c>
      <c r="AR1600" t="s">
        <v>482</v>
      </c>
      <c r="BF1600" s="1"/>
      <c r="BH1600" t="s">
        <v>1366</v>
      </c>
      <c r="BP1600" t="s">
        <v>1489</v>
      </c>
    </row>
    <row r="1601" spans="1:68" x14ac:dyDescent="0.25">
      <c r="A1601" t="s">
        <v>5713</v>
      </c>
      <c r="B1601" t="s">
        <v>474</v>
      </c>
      <c r="C1601" t="s">
        <v>1504</v>
      </c>
      <c r="E1601" t="s">
        <v>480</v>
      </c>
      <c r="G1601" s="1" t="s">
        <v>4882</v>
      </c>
      <c r="H1601" t="s">
        <v>476</v>
      </c>
      <c r="J1601">
        <v>500000</v>
      </c>
      <c r="M1601" t="s">
        <v>1415</v>
      </c>
      <c r="P1601" t="s">
        <v>82</v>
      </c>
      <c r="R1601" t="s">
        <v>767</v>
      </c>
      <c r="S1601" t="s">
        <v>4883</v>
      </c>
      <c r="T1601" t="s">
        <v>4884</v>
      </c>
      <c r="V1601" t="s">
        <v>1365</v>
      </c>
      <c r="W1601" t="s">
        <v>73</v>
      </c>
      <c r="AE1601" t="s">
        <v>478</v>
      </c>
      <c r="AF1601" t="s">
        <v>479</v>
      </c>
      <c r="AL1601" t="s">
        <v>919</v>
      </c>
      <c r="AM1601" t="s">
        <v>919</v>
      </c>
      <c r="AO1601" t="s">
        <v>480</v>
      </c>
      <c r="AP1601" t="s">
        <v>481</v>
      </c>
      <c r="AQ1601" t="s">
        <v>541</v>
      </c>
      <c r="AR1601" t="s">
        <v>482</v>
      </c>
      <c r="BF1601" s="1"/>
      <c r="BH1601" t="s">
        <v>1366</v>
      </c>
      <c r="BP1601" t="s">
        <v>1489</v>
      </c>
    </row>
    <row r="1602" spans="1:68" x14ac:dyDescent="0.25">
      <c r="A1602" t="s">
        <v>5713</v>
      </c>
      <c r="B1602" t="s">
        <v>474</v>
      </c>
      <c r="C1602" t="s">
        <v>1504</v>
      </c>
      <c r="E1602" t="s">
        <v>480</v>
      </c>
      <c r="G1602" s="1" t="s">
        <v>4882</v>
      </c>
      <c r="H1602" t="s">
        <v>498</v>
      </c>
      <c r="J1602">
        <v>500000</v>
      </c>
      <c r="M1602" t="s">
        <v>1420</v>
      </c>
      <c r="P1602" t="s">
        <v>89</v>
      </c>
      <c r="R1602" t="s">
        <v>859</v>
      </c>
      <c r="S1602" t="s">
        <v>4885</v>
      </c>
      <c r="T1602" t="s">
        <v>4886</v>
      </c>
      <c r="V1602" t="s">
        <v>1365</v>
      </c>
      <c r="W1602" t="s">
        <v>73</v>
      </c>
      <c r="AE1602" t="s">
        <v>478</v>
      </c>
      <c r="AF1602" t="s">
        <v>479</v>
      </c>
      <c r="AL1602" t="s">
        <v>919</v>
      </c>
      <c r="AM1602" t="s">
        <v>919</v>
      </c>
      <c r="AO1602" t="s">
        <v>480</v>
      </c>
      <c r="AP1602" t="s">
        <v>481</v>
      </c>
      <c r="AQ1602" t="s">
        <v>561</v>
      </c>
      <c r="AR1602" t="s">
        <v>482</v>
      </c>
      <c r="BF1602" s="1"/>
      <c r="BH1602" t="s">
        <v>1366</v>
      </c>
      <c r="BP1602" t="s">
        <v>1489</v>
      </c>
    </row>
    <row r="1603" spans="1:68" x14ac:dyDescent="0.25">
      <c r="A1603" t="s">
        <v>5713</v>
      </c>
      <c r="B1603" t="s">
        <v>474</v>
      </c>
      <c r="C1603" t="s">
        <v>1504</v>
      </c>
      <c r="E1603" t="s">
        <v>480</v>
      </c>
      <c r="G1603" s="1" t="s">
        <v>4882</v>
      </c>
      <c r="H1603" t="s">
        <v>517</v>
      </c>
      <c r="J1603">
        <v>500000</v>
      </c>
      <c r="M1603" t="s">
        <v>1415</v>
      </c>
      <c r="P1603" t="s">
        <v>87</v>
      </c>
      <c r="R1603" t="s">
        <v>623</v>
      </c>
      <c r="S1603" t="s">
        <v>4887</v>
      </c>
      <c r="T1603" t="s">
        <v>4888</v>
      </c>
      <c r="V1603" t="s">
        <v>1365</v>
      </c>
      <c r="W1603" t="s">
        <v>73</v>
      </c>
      <c r="AE1603" t="s">
        <v>478</v>
      </c>
      <c r="AF1603" t="s">
        <v>479</v>
      </c>
      <c r="AL1603" t="s">
        <v>919</v>
      </c>
      <c r="AM1603" t="s">
        <v>919</v>
      </c>
      <c r="AO1603" t="s">
        <v>480</v>
      </c>
      <c r="AP1603" t="s">
        <v>481</v>
      </c>
      <c r="AQ1603" t="s">
        <v>552</v>
      </c>
      <c r="AR1603" t="s">
        <v>482</v>
      </c>
      <c r="BF1603" s="1"/>
      <c r="BH1603" t="s">
        <v>1366</v>
      </c>
      <c r="BP1603" t="s">
        <v>1489</v>
      </c>
    </row>
    <row r="1604" spans="1:68" x14ac:dyDescent="0.25">
      <c r="A1604" t="s">
        <v>5713</v>
      </c>
      <c r="B1604" t="s">
        <v>474</v>
      </c>
      <c r="C1604" t="s">
        <v>1504</v>
      </c>
      <c r="E1604" t="s">
        <v>480</v>
      </c>
      <c r="G1604" s="1" t="s">
        <v>4882</v>
      </c>
      <c r="H1604" t="s">
        <v>542</v>
      </c>
      <c r="J1604">
        <v>500000</v>
      </c>
      <c r="M1604" t="s">
        <v>1422</v>
      </c>
      <c r="P1604" t="s">
        <v>75</v>
      </c>
      <c r="R1604" t="s">
        <v>686</v>
      </c>
      <c r="S1604" t="s">
        <v>4889</v>
      </c>
      <c r="T1604" t="s">
        <v>4890</v>
      </c>
      <c r="V1604" t="s">
        <v>1365</v>
      </c>
      <c r="W1604" t="s">
        <v>73</v>
      </c>
      <c r="AE1604" t="s">
        <v>478</v>
      </c>
      <c r="AF1604" t="s">
        <v>479</v>
      </c>
      <c r="AL1604" t="s">
        <v>919</v>
      </c>
      <c r="AM1604" t="s">
        <v>919</v>
      </c>
      <c r="AO1604" t="s">
        <v>480</v>
      </c>
      <c r="AP1604" t="s">
        <v>481</v>
      </c>
      <c r="AQ1604" t="s">
        <v>599</v>
      </c>
      <c r="AR1604" t="s">
        <v>482</v>
      </c>
      <c r="BF1604" s="1"/>
      <c r="BH1604" t="s">
        <v>1366</v>
      </c>
      <c r="BP1604" t="s">
        <v>1489</v>
      </c>
    </row>
    <row r="1605" spans="1:68" x14ac:dyDescent="0.25">
      <c r="A1605" t="s">
        <v>5713</v>
      </c>
      <c r="B1605" t="s">
        <v>474</v>
      </c>
      <c r="C1605" t="s">
        <v>1504</v>
      </c>
      <c r="E1605" t="s">
        <v>480</v>
      </c>
      <c r="G1605" s="1" t="s">
        <v>4882</v>
      </c>
      <c r="H1605" t="s">
        <v>549</v>
      </c>
      <c r="J1605">
        <v>500000</v>
      </c>
      <c r="M1605" t="s">
        <v>1426</v>
      </c>
      <c r="P1605" t="s">
        <v>155</v>
      </c>
      <c r="R1605" t="s">
        <v>635</v>
      </c>
      <c r="S1605" t="s">
        <v>4891</v>
      </c>
      <c r="T1605" t="s">
        <v>4892</v>
      </c>
      <c r="V1605" t="s">
        <v>1365</v>
      </c>
      <c r="W1605" t="s">
        <v>73</v>
      </c>
      <c r="AE1605" t="s">
        <v>478</v>
      </c>
      <c r="AF1605" t="s">
        <v>479</v>
      </c>
      <c r="AL1605" t="s">
        <v>919</v>
      </c>
      <c r="AM1605" t="s">
        <v>919</v>
      </c>
      <c r="AO1605" t="s">
        <v>480</v>
      </c>
      <c r="AP1605" t="s">
        <v>481</v>
      </c>
      <c r="AQ1605" t="s">
        <v>610</v>
      </c>
      <c r="AR1605" t="s">
        <v>482</v>
      </c>
      <c r="BF1605" s="1"/>
      <c r="BH1605" t="s">
        <v>1366</v>
      </c>
      <c r="BP1605" t="s">
        <v>1489</v>
      </c>
    </row>
    <row r="1606" spans="1:68" x14ac:dyDescent="0.25">
      <c r="A1606" t="s">
        <v>5713</v>
      </c>
      <c r="B1606" t="s">
        <v>474</v>
      </c>
      <c r="C1606" t="s">
        <v>1504</v>
      </c>
      <c r="E1606" t="s">
        <v>480</v>
      </c>
      <c r="G1606" s="1" t="s">
        <v>4893</v>
      </c>
      <c r="H1606" t="s">
        <v>476</v>
      </c>
      <c r="J1606">
        <v>500000</v>
      </c>
      <c r="M1606" t="s">
        <v>1424</v>
      </c>
      <c r="P1606" t="s">
        <v>157</v>
      </c>
      <c r="R1606" t="s">
        <v>635</v>
      </c>
      <c r="S1606" t="s">
        <v>4894</v>
      </c>
      <c r="T1606" t="s">
        <v>4895</v>
      </c>
      <c r="V1606" t="s">
        <v>1365</v>
      </c>
      <c r="W1606" t="s">
        <v>73</v>
      </c>
      <c r="AE1606" t="s">
        <v>478</v>
      </c>
      <c r="AF1606" t="s">
        <v>479</v>
      </c>
      <c r="AL1606" t="s">
        <v>919</v>
      </c>
      <c r="AM1606" t="s">
        <v>919</v>
      </c>
      <c r="AO1606" t="s">
        <v>480</v>
      </c>
      <c r="AP1606" t="s">
        <v>481</v>
      </c>
      <c r="AQ1606" t="s">
        <v>667</v>
      </c>
      <c r="AR1606" t="s">
        <v>482</v>
      </c>
      <c r="BF1606" s="1"/>
      <c r="BH1606" t="s">
        <v>1366</v>
      </c>
      <c r="BP1606" t="s">
        <v>1489</v>
      </c>
    </row>
    <row r="1607" spans="1:68" x14ac:dyDescent="0.25">
      <c r="A1607" t="s">
        <v>5713</v>
      </c>
      <c r="B1607" t="s">
        <v>474</v>
      </c>
      <c r="C1607" t="s">
        <v>1504</v>
      </c>
      <c r="E1607" t="s">
        <v>480</v>
      </c>
      <c r="G1607" s="1" t="s">
        <v>4893</v>
      </c>
      <c r="H1607" t="s">
        <v>498</v>
      </c>
      <c r="J1607">
        <v>500000</v>
      </c>
      <c r="M1607" t="s">
        <v>1416</v>
      </c>
      <c r="P1607" t="s">
        <v>98</v>
      </c>
      <c r="R1607" t="s">
        <v>670</v>
      </c>
      <c r="S1607" t="s">
        <v>4896</v>
      </c>
      <c r="T1607" t="s">
        <v>4897</v>
      </c>
      <c r="V1607" t="s">
        <v>1365</v>
      </c>
      <c r="W1607" t="s">
        <v>73</v>
      </c>
      <c r="AE1607" t="s">
        <v>478</v>
      </c>
      <c r="AF1607" t="s">
        <v>479</v>
      </c>
      <c r="AL1607" t="s">
        <v>919</v>
      </c>
      <c r="AM1607" t="s">
        <v>919</v>
      </c>
      <c r="AO1607" t="s">
        <v>480</v>
      </c>
      <c r="AP1607" t="s">
        <v>481</v>
      </c>
      <c r="AQ1607" t="s">
        <v>580</v>
      </c>
      <c r="AR1607" t="s">
        <v>482</v>
      </c>
      <c r="BF1607" s="1"/>
      <c r="BH1607" t="s">
        <v>1366</v>
      </c>
      <c r="BP1607" t="s">
        <v>1489</v>
      </c>
    </row>
    <row r="1608" spans="1:68" x14ac:dyDescent="0.25">
      <c r="A1608" t="s">
        <v>5713</v>
      </c>
      <c r="B1608" t="s">
        <v>474</v>
      </c>
      <c r="C1608" t="s">
        <v>1504</v>
      </c>
      <c r="E1608" t="s">
        <v>480</v>
      </c>
      <c r="G1608" s="1" t="s">
        <v>4898</v>
      </c>
      <c r="H1608" t="s">
        <v>476</v>
      </c>
      <c r="J1608">
        <v>500000</v>
      </c>
      <c r="M1608" t="s">
        <v>1420</v>
      </c>
      <c r="P1608" t="s">
        <v>95</v>
      </c>
      <c r="R1608" t="s">
        <v>568</v>
      </c>
      <c r="S1608" t="s">
        <v>4899</v>
      </c>
      <c r="T1608" t="s">
        <v>4900</v>
      </c>
      <c r="V1608" t="s">
        <v>1365</v>
      </c>
      <c r="W1608" t="s">
        <v>73</v>
      </c>
      <c r="AE1608" t="s">
        <v>478</v>
      </c>
      <c r="AF1608" t="s">
        <v>479</v>
      </c>
      <c r="AL1608" t="s">
        <v>919</v>
      </c>
      <c r="AM1608" t="s">
        <v>919</v>
      </c>
      <c r="AO1608" t="s">
        <v>480</v>
      </c>
      <c r="AP1608" t="s">
        <v>481</v>
      </c>
      <c r="AQ1608" t="s">
        <v>563</v>
      </c>
      <c r="AR1608" t="s">
        <v>482</v>
      </c>
      <c r="BF1608" s="1"/>
      <c r="BH1608" t="s">
        <v>1366</v>
      </c>
      <c r="BP1608" t="s">
        <v>1489</v>
      </c>
    </row>
    <row r="1609" spans="1:68" x14ac:dyDescent="0.25">
      <c r="A1609" t="s">
        <v>5713</v>
      </c>
      <c r="B1609" t="s">
        <v>474</v>
      </c>
      <c r="C1609" t="s">
        <v>1504</v>
      </c>
      <c r="E1609" t="s">
        <v>480</v>
      </c>
      <c r="G1609" s="1" t="s">
        <v>4898</v>
      </c>
      <c r="H1609" t="s">
        <v>498</v>
      </c>
      <c r="J1609">
        <v>500000</v>
      </c>
      <c r="M1609" t="s">
        <v>1428</v>
      </c>
      <c r="P1609" t="s">
        <v>113</v>
      </c>
      <c r="R1609" t="s">
        <v>586</v>
      </c>
      <c r="S1609" t="s">
        <v>4901</v>
      </c>
      <c r="T1609" t="s">
        <v>4902</v>
      </c>
      <c r="V1609" t="s">
        <v>1365</v>
      </c>
      <c r="W1609" t="s">
        <v>73</v>
      </c>
      <c r="AE1609" t="s">
        <v>478</v>
      </c>
      <c r="AF1609" t="s">
        <v>479</v>
      </c>
      <c r="AL1609" t="s">
        <v>919</v>
      </c>
      <c r="AM1609" t="s">
        <v>919</v>
      </c>
      <c r="AO1609" t="s">
        <v>480</v>
      </c>
      <c r="AP1609" t="s">
        <v>481</v>
      </c>
      <c r="AQ1609" t="s">
        <v>657</v>
      </c>
      <c r="AR1609" t="s">
        <v>482</v>
      </c>
      <c r="BF1609" s="1"/>
      <c r="BH1609" t="s">
        <v>1366</v>
      </c>
      <c r="BP1609" t="s">
        <v>1489</v>
      </c>
    </row>
    <row r="1610" spans="1:68" x14ac:dyDescent="0.25">
      <c r="A1610" t="s">
        <v>5713</v>
      </c>
      <c r="B1610" t="s">
        <v>474</v>
      </c>
      <c r="C1610" t="s">
        <v>1504</v>
      </c>
      <c r="E1610" t="s">
        <v>480</v>
      </c>
      <c r="G1610" s="1" t="s">
        <v>4898</v>
      </c>
      <c r="H1610" t="s">
        <v>517</v>
      </c>
      <c r="J1610">
        <v>500000</v>
      </c>
      <c r="M1610" t="s">
        <v>1421</v>
      </c>
      <c r="P1610" t="s">
        <v>126</v>
      </c>
      <c r="R1610" t="s">
        <v>877</v>
      </c>
      <c r="S1610" t="s">
        <v>4903</v>
      </c>
      <c r="T1610" t="s">
        <v>4904</v>
      </c>
      <c r="V1610" t="s">
        <v>1365</v>
      </c>
      <c r="W1610" t="s">
        <v>73</v>
      </c>
      <c r="AE1610" t="s">
        <v>478</v>
      </c>
      <c r="AF1610" t="s">
        <v>479</v>
      </c>
      <c r="AL1610" t="s">
        <v>919</v>
      </c>
      <c r="AM1610" t="s">
        <v>919</v>
      </c>
      <c r="AO1610" t="s">
        <v>480</v>
      </c>
      <c r="AP1610" t="s">
        <v>481</v>
      </c>
      <c r="AQ1610" t="s">
        <v>639</v>
      </c>
      <c r="AR1610" t="s">
        <v>482</v>
      </c>
      <c r="BF1610" s="1"/>
      <c r="BH1610" t="s">
        <v>1366</v>
      </c>
      <c r="BP1610" t="s">
        <v>1489</v>
      </c>
    </row>
    <row r="1611" spans="1:68" x14ac:dyDescent="0.25">
      <c r="A1611" t="s">
        <v>5713</v>
      </c>
      <c r="B1611" t="s">
        <v>474</v>
      </c>
      <c r="C1611" t="s">
        <v>1504</v>
      </c>
      <c r="E1611" t="s">
        <v>480</v>
      </c>
      <c r="G1611" s="1" t="s">
        <v>4898</v>
      </c>
      <c r="H1611" t="s">
        <v>542</v>
      </c>
      <c r="J1611">
        <v>500000</v>
      </c>
      <c r="M1611" t="s">
        <v>1431</v>
      </c>
      <c r="P1611" t="s">
        <v>72</v>
      </c>
      <c r="R1611" t="s">
        <v>848</v>
      </c>
      <c r="S1611" t="s">
        <v>4905</v>
      </c>
      <c r="T1611" t="s">
        <v>4906</v>
      </c>
      <c r="V1611" t="s">
        <v>1365</v>
      </c>
      <c r="W1611" t="s">
        <v>73</v>
      </c>
      <c r="AE1611" t="s">
        <v>478</v>
      </c>
      <c r="AF1611" t="s">
        <v>479</v>
      </c>
      <c r="AL1611" t="s">
        <v>919</v>
      </c>
      <c r="AM1611" t="s">
        <v>919</v>
      </c>
      <c r="AO1611" t="s">
        <v>480</v>
      </c>
      <c r="AP1611" t="s">
        <v>481</v>
      </c>
      <c r="AQ1611" t="s">
        <v>757</v>
      </c>
      <c r="AR1611" t="s">
        <v>482</v>
      </c>
      <c r="BF1611" s="1"/>
      <c r="BH1611" t="s">
        <v>1366</v>
      </c>
      <c r="BP1611" t="s">
        <v>1489</v>
      </c>
    </row>
    <row r="1612" spans="1:68" x14ac:dyDescent="0.25">
      <c r="A1612" t="s">
        <v>5713</v>
      </c>
      <c r="B1612" t="s">
        <v>474</v>
      </c>
      <c r="C1612" t="s">
        <v>1504</v>
      </c>
      <c r="E1612" t="s">
        <v>480</v>
      </c>
      <c r="G1612" s="1" t="s">
        <v>4898</v>
      </c>
      <c r="H1612" t="s">
        <v>549</v>
      </c>
      <c r="J1612">
        <v>500000</v>
      </c>
      <c r="M1612" t="s">
        <v>1422</v>
      </c>
      <c r="P1612" t="s">
        <v>75</v>
      </c>
      <c r="R1612" t="s">
        <v>683</v>
      </c>
      <c r="S1612" t="s">
        <v>4907</v>
      </c>
      <c r="T1612" t="s">
        <v>4908</v>
      </c>
      <c r="V1612" t="s">
        <v>1365</v>
      </c>
      <c r="W1612" t="s">
        <v>73</v>
      </c>
      <c r="AE1612" t="s">
        <v>478</v>
      </c>
      <c r="AF1612" t="s">
        <v>479</v>
      </c>
      <c r="AL1612" t="s">
        <v>919</v>
      </c>
      <c r="AM1612" t="s">
        <v>919</v>
      </c>
      <c r="AO1612" t="s">
        <v>480</v>
      </c>
      <c r="AP1612" t="s">
        <v>481</v>
      </c>
      <c r="AQ1612" t="s">
        <v>599</v>
      </c>
      <c r="AR1612" t="s">
        <v>482</v>
      </c>
      <c r="BF1612" s="1"/>
      <c r="BH1612" t="s">
        <v>1366</v>
      </c>
      <c r="BP1612" t="s">
        <v>1489</v>
      </c>
    </row>
    <row r="1613" spans="1:68" x14ac:dyDescent="0.25">
      <c r="A1613" t="s">
        <v>5713</v>
      </c>
      <c r="B1613" t="s">
        <v>474</v>
      </c>
      <c r="C1613" t="s">
        <v>1504</v>
      </c>
      <c r="E1613" t="s">
        <v>480</v>
      </c>
      <c r="G1613" s="1" t="s">
        <v>4898</v>
      </c>
      <c r="H1613" t="s">
        <v>556</v>
      </c>
      <c r="J1613">
        <v>500000</v>
      </c>
      <c r="M1613" t="s">
        <v>1426</v>
      </c>
      <c r="P1613" t="s">
        <v>155</v>
      </c>
      <c r="R1613" t="s">
        <v>653</v>
      </c>
      <c r="S1613" t="s">
        <v>4909</v>
      </c>
      <c r="T1613" t="s">
        <v>4910</v>
      </c>
      <c r="V1613" t="s">
        <v>1365</v>
      </c>
      <c r="W1613" t="s">
        <v>73</v>
      </c>
      <c r="AE1613" t="s">
        <v>478</v>
      </c>
      <c r="AF1613" t="s">
        <v>479</v>
      </c>
      <c r="AL1613" t="s">
        <v>919</v>
      </c>
      <c r="AM1613" t="s">
        <v>919</v>
      </c>
      <c r="AO1613" t="s">
        <v>480</v>
      </c>
      <c r="AP1613" t="s">
        <v>481</v>
      </c>
      <c r="AQ1613" t="s">
        <v>610</v>
      </c>
      <c r="AR1613" t="s">
        <v>482</v>
      </c>
      <c r="BF1613" s="1"/>
      <c r="BH1613" t="s">
        <v>1366</v>
      </c>
      <c r="BP1613" t="s">
        <v>1489</v>
      </c>
    </row>
    <row r="1614" spans="1:68" x14ac:dyDescent="0.25">
      <c r="A1614" t="s">
        <v>5713</v>
      </c>
      <c r="B1614" t="s">
        <v>474</v>
      </c>
      <c r="C1614" t="s">
        <v>1504</v>
      </c>
      <c r="E1614" t="s">
        <v>480</v>
      </c>
      <c r="G1614" s="1" t="s">
        <v>4898</v>
      </c>
      <c r="H1614" t="s">
        <v>562</v>
      </c>
      <c r="J1614">
        <v>500000</v>
      </c>
      <c r="M1614" t="s">
        <v>1420</v>
      </c>
      <c r="P1614" t="s">
        <v>89</v>
      </c>
      <c r="R1614" t="s">
        <v>807</v>
      </c>
      <c r="S1614" t="s">
        <v>4911</v>
      </c>
      <c r="T1614" t="s">
        <v>4912</v>
      </c>
      <c r="V1614" t="s">
        <v>1365</v>
      </c>
      <c r="W1614" t="s">
        <v>73</v>
      </c>
      <c r="AE1614" t="s">
        <v>478</v>
      </c>
      <c r="AF1614" t="s">
        <v>479</v>
      </c>
      <c r="AL1614" t="s">
        <v>919</v>
      </c>
      <c r="AM1614" t="s">
        <v>919</v>
      </c>
      <c r="AO1614" t="s">
        <v>480</v>
      </c>
      <c r="AP1614" t="s">
        <v>481</v>
      </c>
      <c r="AQ1614" t="s">
        <v>561</v>
      </c>
      <c r="AR1614" t="s">
        <v>482</v>
      </c>
      <c r="BF1614" s="1"/>
      <c r="BH1614" t="s">
        <v>1366</v>
      </c>
      <c r="BP1614" t="s">
        <v>1489</v>
      </c>
    </row>
    <row r="1615" spans="1:68" x14ac:dyDescent="0.25">
      <c r="A1615" t="s">
        <v>5713</v>
      </c>
      <c r="B1615" t="s">
        <v>474</v>
      </c>
      <c r="C1615" t="s">
        <v>1504</v>
      </c>
      <c r="E1615" t="s">
        <v>480</v>
      </c>
      <c r="G1615" s="1" t="s">
        <v>4898</v>
      </c>
      <c r="H1615" t="s">
        <v>567</v>
      </c>
      <c r="J1615">
        <v>500000</v>
      </c>
      <c r="M1615" t="s">
        <v>1420</v>
      </c>
      <c r="P1615" t="s">
        <v>103</v>
      </c>
      <c r="R1615" t="s">
        <v>683</v>
      </c>
      <c r="S1615" t="s">
        <v>4913</v>
      </c>
      <c r="T1615" t="s">
        <v>4914</v>
      </c>
      <c r="V1615" t="s">
        <v>1365</v>
      </c>
      <c r="W1615" t="s">
        <v>73</v>
      </c>
      <c r="AE1615" t="s">
        <v>478</v>
      </c>
      <c r="AF1615" t="s">
        <v>479</v>
      </c>
      <c r="AL1615" t="s">
        <v>919</v>
      </c>
      <c r="AM1615" t="s">
        <v>919</v>
      </c>
      <c r="AO1615" t="s">
        <v>480</v>
      </c>
      <c r="AP1615" t="s">
        <v>481</v>
      </c>
      <c r="AQ1615" t="s">
        <v>545</v>
      </c>
      <c r="AR1615" t="s">
        <v>482</v>
      </c>
      <c r="BF1615" s="1"/>
      <c r="BH1615" t="s">
        <v>1366</v>
      </c>
      <c r="BP1615" t="s">
        <v>1489</v>
      </c>
    </row>
    <row r="1616" spans="1:68" x14ac:dyDescent="0.25">
      <c r="A1616" t="s">
        <v>5713</v>
      </c>
      <c r="B1616" t="s">
        <v>474</v>
      </c>
      <c r="C1616" t="s">
        <v>1504</v>
      </c>
      <c r="E1616" t="s">
        <v>480</v>
      </c>
      <c r="G1616" s="1" t="s">
        <v>4898</v>
      </c>
      <c r="H1616" t="s">
        <v>575</v>
      </c>
      <c r="J1616">
        <v>500000</v>
      </c>
      <c r="M1616" t="s">
        <v>1426</v>
      </c>
      <c r="P1616" t="s">
        <v>114</v>
      </c>
      <c r="R1616" t="s">
        <v>635</v>
      </c>
      <c r="S1616" t="s">
        <v>1377</v>
      </c>
      <c r="T1616" t="s">
        <v>1378</v>
      </c>
      <c r="V1616" t="s">
        <v>1365</v>
      </c>
      <c r="W1616" t="s">
        <v>73</v>
      </c>
      <c r="AE1616" t="s">
        <v>478</v>
      </c>
      <c r="AF1616" t="s">
        <v>479</v>
      </c>
      <c r="AL1616" t="s">
        <v>919</v>
      </c>
      <c r="AM1616" t="s">
        <v>919</v>
      </c>
      <c r="AO1616" t="s">
        <v>480</v>
      </c>
      <c r="AP1616" t="s">
        <v>481</v>
      </c>
      <c r="AQ1616" t="s">
        <v>584</v>
      </c>
      <c r="AR1616" t="s">
        <v>482</v>
      </c>
      <c r="BF1616" s="1"/>
      <c r="BH1616" t="s">
        <v>1366</v>
      </c>
      <c r="BP1616" t="s">
        <v>1489</v>
      </c>
    </row>
    <row r="1617" spans="1:68" x14ac:dyDescent="0.25">
      <c r="A1617" t="s">
        <v>5713</v>
      </c>
      <c r="B1617" t="s">
        <v>474</v>
      </c>
      <c r="C1617" t="s">
        <v>1504</v>
      </c>
      <c r="E1617" t="s">
        <v>480</v>
      </c>
      <c r="G1617" s="1" t="s">
        <v>4898</v>
      </c>
      <c r="H1617" t="s">
        <v>581</v>
      </c>
      <c r="J1617">
        <v>500000</v>
      </c>
      <c r="M1617" t="s">
        <v>1415</v>
      </c>
      <c r="P1617" t="s">
        <v>82</v>
      </c>
      <c r="R1617" t="s">
        <v>4915</v>
      </c>
      <c r="S1617" t="s">
        <v>4916</v>
      </c>
      <c r="T1617" t="s">
        <v>4917</v>
      </c>
      <c r="V1617" t="s">
        <v>1365</v>
      </c>
      <c r="W1617" t="s">
        <v>73</v>
      </c>
      <c r="AE1617" t="s">
        <v>478</v>
      </c>
      <c r="AF1617" t="s">
        <v>479</v>
      </c>
      <c r="AL1617" t="s">
        <v>919</v>
      </c>
      <c r="AM1617" t="s">
        <v>919</v>
      </c>
      <c r="AO1617" t="s">
        <v>480</v>
      </c>
      <c r="AP1617" t="s">
        <v>481</v>
      </c>
      <c r="AQ1617" t="s">
        <v>541</v>
      </c>
      <c r="AR1617" t="s">
        <v>482</v>
      </c>
      <c r="BF1617" s="1"/>
      <c r="BH1617" t="s">
        <v>1366</v>
      </c>
      <c r="BP1617" t="s">
        <v>1489</v>
      </c>
    </row>
    <row r="1618" spans="1:68" x14ac:dyDescent="0.25">
      <c r="A1618" t="s">
        <v>5713</v>
      </c>
      <c r="B1618" t="s">
        <v>474</v>
      </c>
      <c r="C1618" t="s">
        <v>1504</v>
      </c>
      <c r="E1618" t="s">
        <v>480</v>
      </c>
      <c r="G1618" s="1" t="s">
        <v>4898</v>
      </c>
      <c r="H1618" t="s">
        <v>589</v>
      </c>
      <c r="J1618">
        <v>500000</v>
      </c>
      <c r="M1618" t="s">
        <v>1427</v>
      </c>
      <c r="P1618" t="s">
        <v>104</v>
      </c>
      <c r="R1618" t="s">
        <v>568</v>
      </c>
      <c r="S1618" t="s">
        <v>4918</v>
      </c>
      <c r="T1618" t="s">
        <v>4919</v>
      </c>
      <c r="V1618" t="s">
        <v>1365</v>
      </c>
      <c r="W1618" t="s">
        <v>73</v>
      </c>
      <c r="AE1618" t="s">
        <v>478</v>
      </c>
      <c r="AF1618" t="s">
        <v>479</v>
      </c>
      <c r="AL1618" t="s">
        <v>919</v>
      </c>
      <c r="AM1618" t="s">
        <v>919</v>
      </c>
      <c r="AO1618" t="s">
        <v>480</v>
      </c>
      <c r="AP1618" t="s">
        <v>481</v>
      </c>
      <c r="AQ1618" t="s">
        <v>637</v>
      </c>
      <c r="AR1618" t="s">
        <v>482</v>
      </c>
      <c r="BF1618" s="1"/>
      <c r="BH1618" t="s">
        <v>1366</v>
      </c>
      <c r="BP1618" t="s">
        <v>1489</v>
      </c>
    </row>
    <row r="1619" spans="1:68" x14ac:dyDescent="0.25">
      <c r="A1619" t="s">
        <v>5713</v>
      </c>
      <c r="B1619" t="s">
        <v>474</v>
      </c>
      <c r="C1619" t="s">
        <v>1504</v>
      </c>
      <c r="E1619" t="s">
        <v>480</v>
      </c>
      <c r="G1619" s="1" t="s">
        <v>4920</v>
      </c>
      <c r="H1619" t="s">
        <v>476</v>
      </c>
      <c r="J1619">
        <v>500000</v>
      </c>
      <c r="M1619" t="s">
        <v>1426</v>
      </c>
      <c r="P1619" t="s">
        <v>155</v>
      </c>
      <c r="R1619" t="s">
        <v>532</v>
      </c>
      <c r="S1619" t="s">
        <v>4921</v>
      </c>
      <c r="T1619" t="s">
        <v>4922</v>
      </c>
      <c r="V1619" t="s">
        <v>1365</v>
      </c>
      <c r="W1619" t="s">
        <v>73</v>
      </c>
      <c r="AE1619" t="s">
        <v>478</v>
      </c>
      <c r="AF1619" t="s">
        <v>479</v>
      </c>
      <c r="AL1619" t="s">
        <v>919</v>
      </c>
      <c r="AM1619" t="s">
        <v>919</v>
      </c>
      <c r="AO1619" t="s">
        <v>480</v>
      </c>
      <c r="AP1619" t="s">
        <v>481</v>
      </c>
      <c r="AQ1619" t="s">
        <v>610</v>
      </c>
      <c r="AR1619" t="s">
        <v>482</v>
      </c>
      <c r="BF1619" s="1"/>
      <c r="BH1619" t="s">
        <v>1366</v>
      </c>
      <c r="BP1619" t="s">
        <v>1489</v>
      </c>
    </row>
    <row r="1620" spans="1:68" x14ac:dyDescent="0.25">
      <c r="A1620" t="s">
        <v>5713</v>
      </c>
      <c r="B1620" t="s">
        <v>474</v>
      </c>
      <c r="C1620" t="s">
        <v>1504</v>
      </c>
      <c r="E1620" t="s">
        <v>480</v>
      </c>
      <c r="G1620" s="1" t="s">
        <v>4923</v>
      </c>
      <c r="H1620" t="s">
        <v>476</v>
      </c>
      <c r="J1620">
        <v>500000</v>
      </c>
      <c r="M1620" t="s">
        <v>1420</v>
      </c>
      <c r="P1620" t="s">
        <v>95</v>
      </c>
      <c r="R1620" t="s">
        <v>4924</v>
      </c>
      <c r="S1620" t="s">
        <v>4925</v>
      </c>
      <c r="T1620" t="s">
        <v>4926</v>
      </c>
      <c r="V1620" t="s">
        <v>1365</v>
      </c>
      <c r="W1620" t="s">
        <v>73</v>
      </c>
      <c r="AE1620" t="s">
        <v>478</v>
      </c>
      <c r="AF1620" t="s">
        <v>479</v>
      </c>
      <c r="AL1620" t="s">
        <v>919</v>
      </c>
      <c r="AM1620" t="s">
        <v>919</v>
      </c>
      <c r="AO1620" t="s">
        <v>480</v>
      </c>
      <c r="AP1620" t="s">
        <v>481</v>
      </c>
      <c r="AQ1620" t="s">
        <v>563</v>
      </c>
      <c r="AR1620" t="s">
        <v>482</v>
      </c>
      <c r="BF1620" s="1"/>
      <c r="BH1620" t="s">
        <v>1366</v>
      </c>
      <c r="BP1620" t="s">
        <v>1489</v>
      </c>
    </row>
    <row r="1621" spans="1:68" x14ac:dyDescent="0.25">
      <c r="A1621" t="s">
        <v>5713</v>
      </c>
      <c r="B1621" t="s">
        <v>474</v>
      </c>
      <c r="C1621" t="s">
        <v>1504</v>
      </c>
      <c r="E1621" t="s">
        <v>480</v>
      </c>
      <c r="G1621" s="1" t="s">
        <v>4923</v>
      </c>
      <c r="H1621" t="s">
        <v>498</v>
      </c>
      <c r="J1621">
        <v>500000</v>
      </c>
      <c r="M1621" t="s">
        <v>1422</v>
      </c>
      <c r="P1621" t="s">
        <v>77</v>
      </c>
      <c r="R1621" t="s">
        <v>4915</v>
      </c>
      <c r="S1621" t="s">
        <v>4927</v>
      </c>
      <c r="T1621" t="s">
        <v>4928</v>
      </c>
      <c r="V1621" t="s">
        <v>1365</v>
      </c>
      <c r="W1621" t="s">
        <v>73</v>
      </c>
      <c r="AE1621" t="s">
        <v>478</v>
      </c>
      <c r="AF1621" t="s">
        <v>479</v>
      </c>
      <c r="AL1621" t="s">
        <v>919</v>
      </c>
      <c r="AM1621" t="s">
        <v>919</v>
      </c>
      <c r="AO1621" t="s">
        <v>480</v>
      </c>
      <c r="AP1621" t="s">
        <v>481</v>
      </c>
      <c r="AQ1621" t="s">
        <v>533</v>
      </c>
      <c r="AR1621" t="s">
        <v>482</v>
      </c>
      <c r="BF1621" s="1"/>
      <c r="BH1621" t="s">
        <v>1366</v>
      </c>
      <c r="BP1621" t="s">
        <v>1489</v>
      </c>
    </row>
    <row r="1622" spans="1:68" x14ac:dyDescent="0.25">
      <c r="A1622" t="s">
        <v>5713</v>
      </c>
      <c r="B1622" t="s">
        <v>474</v>
      </c>
      <c r="C1622" t="s">
        <v>1504</v>
      </c>
      <c r="E1622" t="s">
        <v>480</v>
      </c>
      <c r="G1622" s="1" t="s">
        <v>4923</v>
      </c>
      <c r="H1622" t="s">
        <v>517</v>
      </c>
      <c r="J1622">
        <v>500000</v>
      </c>
      <c r="M1622" t="s">
        <v>1416</v>
      </c>
      <c r="P1622" t="s">
        <v>81</v>
      </c>
      <c r="R1622" t="s">
        <v>4929</v>
      </c>
      <c r="S1622" t="s">
        <v>4930</v>
      </c>
      <c r="T1622" t="s">
        <v>4931</v>
      </c>
      <c r="V1622" t="s">
        <v>1365</v>
      </c>
      <c r="W1622" t="s">
        <v>73</v>
      </c>
      <c r="AE1622" t="s">
        <v>478</v>
      </c>
      <c r="AF1622" t="s">
        <v>479</v>
      </c>
      <c r="AL1622" t="s">
        <v>919</v>
      </c>
      <c r="AM1622" t="s">
        <v>919</v>
      </c>
      <c r="AO1622" t="s">
        <v>480</v>
      </c>
      <c r="AP1622" t="s">
        <v>481</v>
      </c>
      <c r="AQ1622" t="s">
        <v>805</v>
      </c>
      <c r="AR1622" t="s">
        <v>482</v>
      </c>
      <c r="BF1622" s="1"/>
      <c r="BH1622" t="s">
        <v>1366</v>
      </c>
      <c r="BP1622" t="s">
        <v>1489</v>
      </c>
    </row>
    <row r="1623" spans="1:68" x14ac:dyDescent="0.25">
      <c r="A1623" t="s">
        <v>5713</v>
      </c>
      <c r="B1623" t="s">
        <v>474</v>
      </c>
      <c r="C1623" t="s">
        <v>1504</v>
      </c>
      <c r="E1623" t="s">
        <v>480</v>
      </c>
      <c r="G1623" s="1" t="s">
        <v>4923</v>
      </c>
      <c r="H1623" t="s">
        <v>542</v>
      </c>
      <c r="J1623">
        <v>500000</v>
      </c>
      <c r="M1623" t="s">
        <v>1415</v>
      </c>
      <c r="P1623" t="s">
        <v>87</v>
      </c>
      <c r="R1623" t="s">
        <v>635</v>
      </c>
      <c r="S1623" t="s">
        <v>4932</v>
      </c>
      <c r="T1623" t="s">
        <v>4933</v>
      </c>
      <c r="V1623" t="s">
        <v>1365</v>
      </c>
      <c r="W1623" t="s">
        <v>73</v>
      </c>
      <c r="AE1623" t="s">
        <v>478</v>
      </c>
      <c r="AF1623" t="s">
        <v>479</v>
      </c>
      <c r="AL1623" t="s">
        <v>919</v>
      </c>
      <c r="AM1623" t="s">
        <v>919</v>
      </c>
      <c r="AO1623" t="s">
        <v>480</v>
      </c>
      <c r="AP1623" t="s">
        <v>481</v>
      </c>
      <c r="AQ1623" t="s">
        <v>552</v>
      </c>
      <c r="AR1623" t="s">
        <v>482</v>
      </c>
      <c r="BF1623" s="1"/>
      <c r="BH1623" t="s">
        <v>1366</v>
      </c>
      <c r="BP1623" t="s">
        <v>1489</v>
      </c>
    </row>
    <row r="1624" spans="1:68" x14ac:dyDescent="0.25">
      <c r="A1624" t="s">
        <v>5713</v>
      </c>
      <c r="B1624" t="s">
        <v>474</v>
      </c>
      <c r="C1624" t="s">
        <v>1504</v>
      </c>
      <c r="E1624" t="s">
        <v>480</v>
      </c>
      <c r="G1624" s="1" t="s">
        <v>4934</v>
      </c>
      <c r="H1624" t="s">
        <v>476</v>
      </c>
      <c r="J1624">
        <v>500000</v>
      </c>
      <c r="M1624" t="s">
        <v>1420</v>
      </c>
      <c r="P1624" t="s">
        <v>78</v>
      </c>
      <c r="R1624" t="s">
        <v>855</v>
      </c>
      <c r="S1624" t="s">
        <v>4935</v>
      </c>
      <c r="T1624" t="s">
        <v>4936</v>
      </c>
      <c r="V1624" t="s">
        <v>1365</v>
      </c>
      <c r="W1624" t="s">
        <v>73</v>
      </c>
      <c r="AE1624" t="s">
        <v>478</v>
      </c>
      <c r="AF1624" t="s">
        <v>479</v>
      </c>
      <c r="AL1624" t="s">
        <v>919</v>
      </c>
      <c r="AM1624" t="s">
        <v>919</v>
      </c>
      <c r="AO1624" t="s">
        <v>480</v>
      </c>
      <c r="AP1624" t="s">
        <v>481</v>
      </c>
      <c r="AQ1624" t="s">
        <v>631</v>
      </c>
      <c r="AR1624" t="s">
        <v>482</v>
      </c>
      <c r="BF1624" s="1"/>
      <c r="BH1624" t="s">
        <v>1366</v>
      </c>
      <c r="BP1624" t="s">
        <v>1489</v>
      </c>
    </row>
    <row r="1625" spans="1:68" x14ac:dyDescent="0.25">
      <c r="A1625" t="s">
        <v>5713</v>
      </c>
      <c r="B1625" t="s">
        <v>474</v>
      </c>
      <c r="C1625" t="s">
        <v>1504</v>
      </c>
      <c r="E1625" t="s">
        <v>480</v>
      </c>
      <c r="G1625" s="1" t="s">
        <v>4934</v>
      </c>
      <c r="H1625" t="s">
        <v>498</v>
      </c>
      <c r="J1625">
        <v>500000</v>
      </c>
      <c r="M1625" t="s">
        <v>1428</v>
      </c>
      <c r="P1625" t="s">
        <v>113</v>
      </c>
      <c r="R1625" t="s">
        <v>661</v>
      </c>
      <c r="S1625" t="s">
        <v>4937</v>
      </c>
      <c r="T1625" t="s">
        <v>4938</v>
      </c>
      <c r="V1625" t="s">
        <v>1365</v>
      </c>
      <c r="W1625" t="s">
        <v>73</v>
      </c>
      <c r="AE1625" t="s">
        <v>478</v>
      </c>
      <c r="AF1625" t="s">
        <v>479</v>
      </c>
      <c r="AL1625" t="s">
        <v>919</v>
      </c>
      <c r="AM1625" t="s">
        <v>919</v>
      </c>
      <c r="AO1625" t="s">
        <v>480</v>
      </c>
      <c r="AP1625" t="s">
        <v>481</v>
      </c>
      <c r="AQ1625" t="s">
        <v>657</v>
      </c>
      <c r="AR1625" t="s">
        <v>482</v>
      </c>
      <c r="BF1625" s="1"/>
      <c r="BH1625" t="s">
        <v>1366</v>
      </c>
      <c r="BP1625" t="s">
        <v>1489</v>
      </c>
    </row>
    <row r="1626" spans="1:68" x14ac:dyDescent="0.25">
      <c r="A1626" t="s">
        <v>5713</v>
      </c>
      <c r="B1626" t="s">
        <v>474</v>
      </c>
      <c r="C1626" t="s">
        <v>1504</v>
      </c>
      <c r="E1626" t="s">
        <v>480</v>
      </c>
      <c r="G1626" s="1" t="s">
        <v>4934</v>
      </c>
      <c r="H1626" t="s">
        <v>517</v>
      </c>
      <c r="J1626">
        <v>500000</v>
      </c>
      <c r="M1626" t="s">
        <v>1427</v>
      </c>
      <c r="P1626" t="s">
        <v>104</v>
      </c>
      <c r="R1626" t="s">
        <v>4939</v>
      </c>
      <c r="S1626" t="s">
        <v>4940</v>
      </c>
      <c r="T1626" t="s">
        <v>4941</v>
      </c>
      <c r="V1626" t="s">
        <v>1365</v>
      </c>
      <c r="W1626" t="s">
        <v>73</v>
      </c>
      <c r="AE1626" t="s">
        <v>478</v>
      </c>
      <c r="AF1626" t="s">
        <v>479</v>
      </c>
      <c r="AL1626" t="s">
        <v>919</v>
      </c>
      <c r="AM1626" t="s">
        <v>919</v>
      </c>
      <c r="AO1626" t="s">
        <v>480</v>
      </c>
      <c r="AP1626" t="s">
        <v>481</v>
      </c>
      <c r="AQ1626" t="s">
        <v>637</v>
      </c>
      <c r="AR1626" t="s">
        <v>482</v>
      </c>
      <c r="BF1626" s="1"/>
      <c r="BH1626" t="s">
        <v>1366</v>
      </c>
      <c r="BP1626" t="s">
        <v>1489</v>
      </c>
    </row>
    <row r="1627" spans="1:68" x14ac:dyDescent="0.25">
      <c r="A1627" t="s">
        <v>5713</v>
      </c>
      <c r="B1627" t="s">
        <v>474</v>
      </c>
      <c r="C1627" t="s">
        <v>1504</v>
      </c>
      <c r="E1627" t="s">
        <v>480</v>
      </c>
      <c r="G1627" s="1" t="s">
        <v>4934</v>
      </c>
      <c r="H1627" t="s">
        <v>542</v>
      </c>
      <c r="J1627">
        <v>500000</v>
      </c>
      <c r="M1627" t="s">
        <v>1422</v>
      </c>
      <c r="P1627" t="s">
        <v>75</v>
      </c>
      <c r="R1627" t="s">
        <v>1912</v>
      </c>
      <c r="S1627" t="s">
        <v>4942</v>
      </c>
      <c r="T1627" t="s">
        <v>4943</v>
      </c>
      <c r="V1627" t="s">
        <v>1365</v>
      </c>
      <c r="W1627" t="s">
        <v>73</v>
      </c>
      <c r="AE1627" t="s">
        <v>478</v>
      </c>
      <c r="AF1627" t="s">
        <v>479</v>
      </c>
      <c r="AL1627" t="s">
        <v>919</v>
      </c>
      <c r="AM1627" t="s">
        <v>919</v>
      </c>
      <c r="AO1627" t="s">
        <v>480</v>
      </c>
      <c r="AP1627" t="s">
        <v>481</v>
      </c>
      <c r="AQ1627" t="s">
        <v>599</v>
      </c>
      <c r="AR1627" t="s">
        <v>482</v>
      </c>
      <c r="BF1627" s="1"/>
      <c r="BH1627" t="s">
        <v>1366</v>
      </c>
      <c r="BP1627" t="s">
        <v>1489</v>
      </c>
    </row>
    <row r="1628" spans="1:68" x14ac:dyDescent="0.25">
      <c r="A1628" t="s">
        <v>5713</v>
      </c>
      <c r="B1628" t="s">
        <v>474</v>
      </c>
      <c r="C1628" t="s">
        <v>1504</v>
      </c>
      <c r="E1628" t="s">
        <v>480</v>
      </c>
      <c r="G1628" s="1" t="s">
        <v>4944</v>
      </c>
      <c r="H1628" t="s">
        <v>476</v>
      </c>
      <c r="J1628">
        <v>500000</v>
      </c>
      <c r="M1628" t="s">
        <v>1414</v>
      </c>
      <c r="P1628" t="s">
        <v>117</v>
      </c>
      <c r="R1628" t="s">
        <v>670</v>
      </c>
      <c r="S1628" t="s">
        <v>4945</v>
      </c>
      <c r="T1628" t="s">
        <v>4946</v>
      </c>
      <c r="V1628" t="s">
        <v>1365</v>
      </c>
      <c r="W1628" t="s">
        <v>235</v>
      </c>
      <c r="AE1628" t="s">
        <v>478</v>
      </c>
      <c r="AF1628" t="s">
        <v>479</v>
      </c>
      <c r="AL1628" t="s">
        <v>919</v>
      </c>
      <c r="AM1628" t="s">
        <v>919</v>
      </c>
      <c r="AO1628" t="s">
        <v>480</v>
      </c>
      <c r="AP1628" t="s">
        <v>481</v>
      </c>
      <c r="AQ1628" t="s">
        <v>718</v>
      </c>
      <c r="AR1628" t="s">
        <v>482</v>
      </c>
      <c r="BF1628" s="1"/>
      <c r="BH1628" t="s">
        <v>1366</v>
      </c>
      <c r="BP1628" t="s">
        <v>1489</v>
      </c>
    </row>
    <row r="1629" spans="1:68" x14ac:dyDescent="0.25">
      <c r="A1629" t="s">
        <v>5713</v>
      </c>
      <c r="B1629" t="s">
        <v>474</v>
      </c>
      <c r="C1629" t="s">
        <v>1504</v>
      </c>
      <c r="E1629" t="s">
        <v>480</v>
      </c>
      <c r="G1629" s="1" t="s">
        <v>4944</v>
      </c>
      <c r="H1629" t="s">
        <v>498</v>
      </c>
      <c r="J1629">
        <v>500000</v>
      </c>
      <c r="M1629" t="s">
        <v>1414</v>
      </c>
      <c r="P1629" t="s">
        <v>91</v>
      </c>
      <c r="R1629" t="s">
        <v>4947</v>
      </c>
      <c r="S1629" t="s">
        <v>4948</v>
      </c>
      <c r="T1629" t="s">
        <v>4949</v>
      </c>
      <c r="V1629" t="s">
        <v>1365</v>
      </c>
      <c r="W1629" t="s">
        <v>235</v>
      </c>
      <c r="AE1629" t="s">
        <v>478</v>
      </c>
      <c r="AF1629" t="s">
        <v>479</v>
      </c>
      <c r="AL1629" t="s">
        <v>919</v>
      </c>
      <c r="AM1629" t="s">
        <v>919</v>
      </c>
      <c r="AO1629" t="s">
        <v>480</v>
      </c>
      <c r="AP1629" t="s">
        <v>481</v>
      </c>
      <c r="AQ1629" t="s">
        <v>738</v>
      </c>
      <c r="AR1629" t="s">
        <v>482</v>
      </c>
      <c r="BF1629" s="1"/>
      <c r="BH1629" t="s">
        <v>1366</v>
      </c>
      <c r="BP1629" t="s">
        <v>1489</v>
      </c>
    </row>
    <row r="1630" spans="1:68" x14ac:dyDescent="0.25">
      <c r="A1630" t="s">
        <v>5713</v>
      </c>
      <c r="B1630" t="s">
        <v>474</v>
      </c>
      <c r="C1630" t="s">
        <v>1504</v>
      </c>
      <c r="E1630" t="s">
        <v>480</v>
      </c>
      <c r="G1630" s="1" t="s">
        <v>4944</v>
      </c>
      <c r="H1630" t="s">
        <v>517</v>
      </c>
      <c r="J1630">
        <v>500000</v>
      </c>
      <c r="M1630" t="s">
        <v>1424</v>
      </c>
      <c r="P1630" t="s">
        <v>100</v>
      </c>
      <c r="R1630" t="s">
        <v>586</v>
      </c>
      <c r="S1630" t="s">
        <v>4950</v>
      </c>
      <c r="T1630" t="s">
        <v>4951</v>
      </c>
      <c r="V1630" t="s">
        <v>1365</v>
      </c>
      <c r="W1630" t="s">
        <v>235</v>
      </c>
      <c r="AE1630" t="s">
        <v>478</v>
      </c>
      <c r="AF1630" t="s">
        <v>479</v>
      </c>
      <c r="AL1630" t="s">
        <v>919</v>
      </c>
      <c r="AM1630" t="s">
        <v>919</v>
      </c>
      <c r="AO1630" t="s">
        <v>480</v>
      </c>
      <c r="AP1630" t="s">
        <v>481</v>
      </c>
      <c r="AQ1630" t="s">
        <v>709</v>
      </c>
      <c r="AR1630" t="s">
        <v>482</v>
      </c>
      <c r="BF1630" s="1"/>
      <c r="BH1630" t="s">
        <v>1366</v>
      </c>
      <c r="BP1630" t="s">
        <v>1489</v>
      </c>
    </row>
    <row r="1631" spans="1:68" x14ac:dyDescent="0.25">
      <c r="A1631" t="s">
        <v>5713</v>
      </c>
      <c r="B1631" t="s">
        <v>474</v>
      </c>
      <c r="C1631" t="s">
        <v>1504</v>
      </c>
      <c r="E1631" t="s">
        <v>480</v>
      </c>
      <c r="G1631" s="1" t="s">
        <v>4944</v>
      </c>
      <c r="H1631" t="s">
        <v>542</v>
      </c>
      <c r="J1631">
        <v>500000</v>
      </c>
      <c r="M1631" t="s">
        <v>1423</v>
      </c>
      <c r="P1631" t="s">
        <v>118</v>
      </c>
      <c r="R1631" t="s">
        <v>554</v>
      </c>
      <c r="S1631" t="s">
        <v>4952</v>
      </c>
      <c r="T1631" t="s">
        <v>4953</v>
      </c>
      <c r="V1631" t="s">
        <v>1365</v>
      </c>
      <c r="W1631" t="s">
        <v>235</v>
      </c>
      <c r="AE1631" t="s">
        <v>478</v>
      </c>
      <c r="AF1631" t="s">
        <v>479</v>
      </c>
      <c r="AL1631" t="s">
        <v>919</v>
      </c>
      <c r="AM1631" t="s">
        <v>919</v>
      </c>
      <c r="AO1631" t="s">
        <v>480</v>
      </c>
      <c r="AP1631" t="s">
        <v>481</v>
      </c>
      <c r="AQ1631" t="s">
        <v>705</v>
      </c>
      <c r="AR1631" t="s">
        <v>482</v>
      </c>
      <c r="BF1631" s="1"/>
      <c r="BH1631" t="s">
        <v>1366</v>
      </c>
      <c r="BP1631" t="s">
        <v>1489</v>
      </c>
    </row>
    <row r="1632" spans="1:68" x14ac:dyDescent="0.25">
      <c r="A1632" t="s">
        <v>5713</v>
      </c>
      <c r="B1632" t="s">
        <v>474</v>
      </c>
      <c r="C1632" t="s">
        <v>3163</v>
      </c>
      <c r="E1632" t="s">
        <v>480</v>
      </c>
      <c r="G1632" s="1" t="s">
        <v>4954</v>
      </c>
      <c r="H1632" t="s">
        <v>476</v>
      </c>
      <c r="J1632">
        <v>500000</v>
      </c>
      <c r="M1632" t="s">
        <v>1420</v>
      </c>
      <c r="P1632" t="s">
        <v>139</v>
      </c>
      <c r="R1632" t="s">
        <v>623</v>
      </c>
      <c r="S1632" t="s">
        <v>4796</v>
      </c>
      <c r="T1632" t="s">
        <v>4797</v>
      </c>
      <c r="V1632" t="s">
        <v>1365</v>
      </c>
      <c r="W1632" t="s">
        <v>73</v>
      </c>
      <c r="AE1632" t="s">
        <v>478</v>
      </c>
      <c r="AF1632" t="s">
        <v>479</v>
      </c>
      <c r="AL1632" t="s">
        <v>919</v>
      </c>
      <c r="AM1632" t="s">
        <v>919</v>
      </c>
      <c r="AO1632" t="s">
        <v>480</v>
      </c>
      <c r="AP1632" t="s">
        <v>481</v>
      </c>
      <c r="AQ1632" t="s">
        <v>618</v>
      </c>
      <c r="AR1632" t="s">
        <v>482</v>
      </c>
      <c r="BF1632" s="1"/>
      <c r="BH1632" t="s">
        <v>1366</v>
      </c>
      <c r="BP1632" t="s">
        <v>1489</v>
      </c>
    </row>
    <row r="1633" spans="1:68" x14ac:dyDescent="0.25">
      <c r="A1633" t="s">
        <v>5713</v>
      </c>
      <c r="B1633" t="s">
        <v>474</v>
      </c>
      <c r="C1633" t="s">
        <v>3163</v>
      </c>
      <c r="E1633" t="s">
        <v>480</v>
      </c>
      <c r="G1633" s="1" t="s">
        <v>4954</v>
      </c>
      <c r="H1633" t="s">
        <v>498</v>
      </c>
      <c r="J1633">
        <v>500000</v>
      </c>
      <c r="M1633" t="s">
        <v>1416</v>
      </c>
      <c r="P1633" t="s">
        <v>128</v>
      </c>
      <c r="R1633" t="s">
        <v>547</v>
      </c>
      <c r="S1633" t="s">
        <v>4955</v>
      </c>
      <c r="T1633" t="s">
        <v>4956</v>
      </c>
      <c r="V1633" t="s">
        <v>1365</v>
      </c>
      <c r="W1633" t="s">
        <v>73</v>
      </c>
      <c r="AE1633" t="s">
        <v>478</v>
      </c>
      <c r="AF1633" t="s">
        <v>479</v>
      </c>
      <c r="AL1633" t="s">
        <v>919</v>
      </c>
      <c r="AM1633" t="s">
        <v>919</v>
      </c>
      <c r="AO1633" t="s">
        <v>480</v>
      </c>
      <c r="AP1633" t="s">
        <v>481</v>
      </c>
      <c r="AQ1633" t="s">
        <v>528</v>
      </c>
      <c r="AR1633" t="s">
        <v>482</v>
      </c>
      <c r="BF1633" s="1"/>
      <c r="BH1633" t="s">
        <v>1366</v>
      </c>
      <c r="BP1633" t="s">
        <v>1489</v>
      </c>
    </row>
    <row r="1634" spans="1:68" x14ac:dyDescent="0.25">
      <c r="A1634" t="s">
        <v>5713</v>
      </c>
      <c r="B1634" t="s">
        <v>474</v>
      </c>
      <c r="C1634" t="s">
        <v>3163</v>
      </c>
      <c r="E1634" t="s">
        <v>480</v>
      </c>
      <c r="G1634" s="1" t="s">
        <v>4954</v>
      </c>
      <c r="H1634" t="s">
        <v>517</v>
      </c>
      <c r="J1634">
        <v>500000</v>
      </c>
      <c r="M1634" t="s">
        <v>1428</v>
      </c>
      <c r="P1634" t="s">
        <v>113</v>
      </c>
      <c r="R1634" t="s">
        <v>829</v>
      </c>
      <c r="S1634" t="s">
        <v>4957</v>
      </c>
      <c r="T1634" t="s">
        <v>4958</v>
      </c>
      <c r="V1634" t="s">
        <v>1365</v>
      </c>
      <c r="W1634" t="s">
        <v>73</v>
      </c>
      <c r="AE1634" t="s">
        <v>478</v>
      </c>
      <c r="AF1634" t="s">
        <v>479</v>
      </c>
      <c r="AL1634" t="s">
        <v>919</v>
      </c>
      <c r="AM1634" t="s">
        <v>919</v>
      </c>
      <c r="AO1634" t="s">
        <v>480</v>
      </c>
      <c r="AP1634" t="s">
        <v>481</v>
      </c>
      <c r="AQ1634" t="s">
        <v>657</v>
      </c>
      <c r="AR1634" t="s">
        <v>482</v>
      </c>
      <c r="BF1634" s="1"/>
      <c r="BH1634" t="s">
        <v>1366</v>
      </c>
      <c r="BP1634" t="s">
        <v>1489</v>
      </c>
    </row>
    <row r="1635" spans="1:68" x14ac:dyDescent="0.25">
      <c r="A1635" t="s">
        <v>5713</v>
      </c>
      <c r="B1635" t="s">
        <v>474</v>
      </c>
      <c r="C1635" t="s">
        <v>3163</v>
      </c>
      <c r="E1635" t="s">
        <v>480</v>
      </c>
      <c r="G1635" s="1" t="s">
        <v>4959</v>
      </c>
      <c r="H1635" t="s">
        <v>476</v>
      </c>
      <c r="J1635">
        <v>500000</v>
      </c>
      <c r="M1635" t="s">
        <v>1426</v>
      </c>
      <c r="P1635" t="s">
        <v>114</v>
      </c>
      <c r="R1635" t="s">
        <v>623</v>
      </c>
      <c r="S1635" t="s">
        <v>4960</v>
      </c>
      <c r="T1635" t="s">
        <v>4961</v>
      </c>
      <c r="V1635" t="s">
        <v>1365</v>
      </c>
      <c r="W1635" t="s">
        <v>73</v>
      </c>
      <c r="AE1635" t="s">
        <v>478</v>
      </c>
      <c r="AF1635" t="s">
        <v>479</v>
      </c>
      <c r="AL1635" t="s">
        <v>919</v>
      </c>
      <c r="AM1635" t="s">
        <v>919</v>
      </c>
      <c r="AO1635" t="s">
        <v>480</v>
      </c>
      <c r="AP1635" t="s">
        <v>481</v>
      </c>
      <c r="AQ1635" t="s">
        <v>584</v>
      </c>
      <c r="AR1635" t="s">
        <v>482</v>
      </c>
      <c r="BF1635" s="1"/>
      <c r="BH1635" t="s">
        <v>1366</v>
      </c>
      <c r="BP1635" t="s">
        <v>1489</v>
      </c>
    </row>
    <row r="1636" spans="1:68" x14ac:dyDescent="0.25">
      <c r="A1636" t="s">
        <v>5713</v>
      </c>
      <c r="B1636" t="s">
        <v>474</v>
      </c>
      <c r="C1636" t="s">
        <v>3163</v>
      </c>
      <c r="E1636" t="s">
        <v>480</v>
      </c>
      <c r="G1636" s="1" t="s">
        <v>4959</v>
      </c>
      <c r="H1636" t="s">
        <v>498</v>
      </c>
      <c r="J1636">
        <v>500000</v>
      </c>
      <c r="M1636" t="s">
        <v>1421</v>
      </c>
      <c r="P1636" t="s">
        <v>154</v>
      </c>
      <c r="R1636" t="s">
        <v>4962</v>
      </c>
      <c r="S1636" t="s">
        <v>4963</v>
      </c>
      <c r="T1636" t="s">
        <v>4964</v>
      </c>
      <c r="V1636" t="s">
        <v>1365</v>
      </c>
      <c r="W1636" t="s">
        <v>73</v>
      </c>
      <c r="AE1636" t="s">
        <v>478</v>
      </c>
      <c r="AF1636" t="s">
        <v>479</v>
      </c>
      <c r="AL1636" t="s">
        <v>919</v>
      </c>
      <c r="AM1636" t="s">
        <v>919</v>
      </c>
      <c r="AO1636" t="s">
        <v>480</v>
      </c>
      <c r="AP1636" t="s">
        <v>481</v>
      </c>
      <c r="AQ1636" t="s">
        <v>531</v>
      </c>
      <c r="AR1636" t="s">
        <v>482</v>
      </c>
      <c r="BF1636" s="1"/>
      <c r="BH1636" t="s">
        <v>1366</v>
      </c>
      <c r="BP1636" t="s">
        <v>1489</v>
      </c>
    </row>
    <row r="1637" spans="1:68" x14ac:dyDescent="0.25">
      <c r="A1637" t="s">
        <v>5713</v>
      </c>
      <c r="B1637" t="s">
        <v>474</v>
      </c>
      <c r="C1637" t="s">
        <v>3163</v>
      </c>
      <c r="E1637" t="s">
        <v>480</v>
      </c>
      <c r="G1637" s="1" t="s">
        <v>4959</v>
      </c>
      <c r="H1637" t="s">
        <v>517</v>
      </c>
      <c r="J1637">
        <v>500000</v>
      </c>
      <c r="M1637" t="s">
        <v>1414</v>
      </c>
      <c r="P1637" t="s">
        <v>169</v>
      </c>
      <c r="R1637" t="s">
        <v>4965</v>
      </c>
      <c r="S1637" t="s">
        <v>4966</v>
      </c>
      <c r="T1637" t="s">
        <v>4967</v>
      </c>
      <c r="V1637" t="s">
        <v>1365</v>
      </c>
      <c r="W1637" t="s">
        <v>73</v>
      </c>
      <c r="AE1637" t="s">
        <v>478</v>
      </c>
      <c r="AF1637" t="s">
        <v>479</v>
      </c>
      <c r="AL1637" t="s">
        <v>919</v>
      </c>
      <c r="AM1637" t="s">
        <v>919</v>
      </c>
      <c r="AO1637" t="s">
        <v>480</v>
      </c>
      <c r="AP1637" t="s">
        <v>481</v>
      </c>
      <c r="AQ1637" t="s">
        <v>852</v>
      </c>
      <c r="AR1637" t="s">
        <v>482</v>
      </c>
      <c r="BF1637" s="1"/>
      <c r="BH1637" t="s">
        <v>1366</v>
      </c>
      <c r="BP1637" t="s">
        <v>1489</v>
      </c>
    </row>
    <row r="1638" spans="1:68" x14ac:dyDescent="0.25">
      <c r="A1638" t="s">
        <v>5713</v>
      </c>
      <c r="B1638" t="s">
        <v>474</v>
      </c>
      <c r="C1638" t="s">
        <v>3163</v>
      </c>
      <c r="E1638" t="s">
        <v>480</v>
      </c>
      <c r="G1638" s="1" t="s">
        <v>4959</v>
      </c>
      <c r="H1638" t="s">
        <v>542</v>
      </c>
      <c r="J1638">
        <v>500000</v>
      </c>
      <c r="M1638" t="s">
        <v>1420</v>
      </c>
      <c r="P1638" t="s">
        <v>103</v>
      </c>
      <c r="R1638" t="s">
        <v>547</v>
      </c>
      <c r="S1638" t="s">
        <v>4968</v>
      </c>
      <c r="T1638" t="s">
        <v>4969</v>
      </c>
      <c r="V1638" t="s">
        <v>1365</v>
      </c>
      <c r="W1638" t="s">
        <v>73</v>
      </c>
      <c r="AE1638" t="s">
        <v>478</v>
      </c>
      <c r="AF1638" t="s">
        <v>479</v>
      </c>
      <c r="AL1638" t="s">
        <v>919</v>
      </c>
      <c r="AM1638" t="s">
        <v>919</v>
      </c>
      <c r="AO1638" t="s">
        <v>480</v>
      </c>
      <c r="AP1638" t="s">
        <v>481</v>
      </c>
      <c r="AQ1638" t="s">
        <v>545</v>
      </c>
      <c r="AR1638" t="s">
        <v>482</v>
      </c>
      <c r="BF1638" s="1"/>
      <c r="BH1638" t="s">
        <v>1366</v>
      </c>
      <c r="BP1638" t="s">
        <v>1489</v>
      </c>
    </row>
    <row r="1639" spans="1:68" x14ac:dyDescent="0.25">
      <c r="A1639" t="s">
        <v>5713</v>
      </c>
      <c r="B1639" t="s">
        <v>474</v>
      </c>
      <c r="C1639" t="s">
        <v>3163</v>
      </c>
      <c r="E1639" t="s">
        <v>480</v>
      </c>
      <c r="G1639" s="1" t="s">
        <v>4959</v>
      </c>
      <c r="H1639" t="s">
        <v>549</v>
      </c>
      <c r="J1639">
        <v>500000</v>
      </c>
      <c r="M1639" t="s">
        <v>1423</v>
      </c>
      <c r="P1639" t="s">
        <v>115</v>
      </c>
      <c r="R1639" t="s">
        <v>848</v>
      </c>
      <c r="S1639" t="s">
        <v>4970</v>
      </c>
      <c r="T1639" t="s">
        <v>4971</v>
      </c>
      <c r="V1639" t="s">
        <v>1365</v>
      </c>
      <c r="W1639" t="s">
        <v>73</v>
      </c>
      <c r="AE1639" t="s">
        <v>478</v>
      </c>
      <c r="AF1639" t="s">
        <v>479</v>
      </c>
      <c r="AL1639" t="s">
        <v>919</v>
      </c>
      <c r="AM1639" t="s">
        <v>919</v>
      </c>
      <c r="AO1639" t="s">
        <v>480</v>
      </c>
      <c r="AP1639" t="s">
        <v>481</v>
      </c>
      <c r="AQ1639" t="s">
        <v>626</v>
      </c>
      <c r="AR1639" t="s">
        <v>482</v>
      </c>
      <c r="BF1639" s="1"/>
      <c r="BH1639" t="s">
        <v>1366</v>
      </c>
      <c r="BP1639" t="s">
        <v>1489</v>
      </c>
    </row>
    <row r="1640" spans="1:68" x14ac:dyDescent="0.25">
      <c r="A1640" t="s">
        <v>5713</v>
      </c>
      <c r="B1640" t="s">
        <v>474</v>
      </c>
      <c r="C1640" t="s">
        <v>3163</v>
      </c>
      <c r="E1640" t="s">
        <v>480</v>
      </c>
      <c r="G1640" s="1" t="s">
        <v>4959</v>
      </c>
      <c r="H1640" t="s">
        <v>556</v>
      </c>
      <c r="J1640">
        <v>500000</v>
      </c>
      <c r="M1640" t="s">
        <v>1416</v>
      </c>
      <c r="P1640" t="s">
        <v>128</v>
      </c>
      <c r="R1640" t="s">
        <v>679</v>
      </c>
      <c r="S1640" t="s">
        <v>4972</v>
      </c>
      <c r="T1640" t="s">
        <v>4973</v>
      </c>
      <c r="V1640" t="s">
        <v>1365</v>
      </c>
      <c r="W1640" t="s">
        <v>73</v>
      </c>
      <c r="AE1640" t="s">
        <v>478</v>
      </c>
      <c r="AF1640" t="s">
        <v>479</v>
      </c>
      <c r="AL1640" t="s">
        <v>919</v>
      </c>
      <c r="AM1640" t="s">
        <v>919</v>
      </c>
      <c r="AO1640" t="s">
        <v>480</v>
      </c>
      <c r="AP1640" t="s">
        <v>481</v>
      </c>
      <c r="AQ1640" t="s">
        <v>528</v>
      </c>
      <c r="AR1640" t="s">
        <v>482</v>
      </c>
      <c r="BF1640" s="1"/>
      <c r="BH1640" t="s">
        <v>1366</v>
      </c>
      <c r="BP1640" t="s">
        <v>1489</v>
      </c>
    </row>
    <row r="1641" spans="1:68" x14ac:dyDescent="0.25">
      <c r="A1641" t="s">
        <v>5713</v>
      </c>
      <c r="B1641" t="s">
        <v>474</v>
      </c>
      <c r="C1641" t="s">
        <v>3163</v>
      </c>
      <c r="E1641" t="s">
        <v>480</v>
      </c>
      <c r="G1641" s="1" t="s">
        <v>4959</v>
      </c>
      <c r="H1641" t="s">
        <v>562</v>
      </c>
      <c r="J1641">
        <v>500000</v>
      </c>
      <c r="M1641" t="s">
        <v>1423</v>
      </c>
      <c r="P1641" t="s">
        <v>111</v>
      </c>
      <c r="R1641" t="s">
        <v>560</v>
      </c>
      <c r="S1641" t="s">
        <v>4974</v>
      </c>
      <c r="T1641" t="s">
        <v>4975</v>
      </c>
      <c r="V1641" t="s">
        <v>1365</v>
      </c>
      <c r="W1641" t="s">
        <v>73</v>
      </c>
      <c r="AE1641" t="s">
        <v>478</v>
      </c>
      <c r="AF1641" t="s">
        <v>479</v>
      </c>
      <c r="AL1641" t="s">
        <v>919</v>
      </c>
      <c r="AM1641" t="s">
        <v>919</v>
      </c>
      <c r="AO1641" t="s">
        <v>480</v>
      </c>
      <c r="AP1641" t="s">
        <v>481</v>
      </c>
      <c r="AQ1641" t="s">
        <v>548</v>
      </c>
      <c r="AR1641" t="s">
        <v>482</v>
      </c>
      <c r="BF1641" s="1"/>
      <c r="BH1641" t="s">
        <v>1366</v>
      </c>
      <c r="BP1641" t="s">
        <v>1489</v>
      </c>
    </row>
    <row r="1642" spans="1:68" x14ac:dyDescent="0.25">
      <c r="A1642" t="s">
        <v>5713</v>
      </c>
      <c r="B1642" t="s">
        <v>474</v>
      </c>
      <c r="C1642" t="s">
        <v>3163</v>
      </c>
      <c r="E1642" t="s">
        <v>480</v>
      </c>
      <c r="G1642" s="1" t="s">
        <v>4959</v>
      </c>
      <c r="H1642" t="s">
        <v>567</v>
      </c>
      <c r="J1642">
        <v>500000</v>
      </c>
      <c r="M1642" t="s">
        <v>1423</v>
      </c>
      <c r="P1642" t="s">
        <v>140</v>
      </c>
      <c r="R1642" t="s">
        <v>742</v>
      </c>
      <c r="S1642" t="s">
        <v>1432</v>
      </c>
      <c r="T1642" t="s">
        <v>1433</v>
      </c>
      <c r="V1642" t="s">
        <v>1365</v>
      </c>
      <c r="W1642" t="s">
        <v>73</v>
      </c>
      <c r="AE1642" t="s">
        <v>478</v>
      </c>
      <c r="AF1642" t="s">
        <v>479</v>
      </c>
      <c r="AL1642" t="s">
        <v>919</v>
      </c>
      <c r="AM1642" t="s">
        <v>919</v>
      </c>
      <c r="AO1642" t="s">
        <v>480</v>
      </c>
      <c r="AP1642" t="s">
        <v>481</v>
      </c>
      <c r="AQ1642" t="s">
        <v>681</v>
      </c>
      <c r="AR1642" t="s">
        <v>482</v>
      </c>
      <c r="BF1642" s="1"/>
      <c r="BH1642" t="s">
        <v>1366</v>
      </c>
      <c r="BP1642" t="s">
        <v>1489</v>
      </c>
    </row>
    <row r="1643" spans="1:68" x14ac:dyDescent="0.25">
      <c r="A1643" t="s">
        <v>5713</v>
      </c>
      <c r="B1643" t="s">
        <v>474</v>
      </c>
      <c r="C1643" t="s">
        <v>3163</v>
      </c>
      <c r="E1643" t="s">
        <v>480</v>
      </c>
      <c r="G1643" s="1" t="s">
        <v>4959</v>
      </c>
      <c r="H1643" t="s">
        <v>575</v>
      </c>
      <c r="J1643">
        <v>500000</v>
      </c>
      <c r="M1643" t="s">
        <v>1423</v>
      </c>
      <c r="P1643" t="s">
        <v>74</v>
      </c>
      <c r="R1643" t="s">
        <v>653</v>
      </c>
      <c r="S1643" t="s">
        <v>4976</v>
      </c>
      <c r="T1643" t="s">
        <v>4977</v>
      </c>
      <c r="V1643" t="s">
        <v>1365</v>
      </c>
      <c r="W1643" t="s">
        <v>73</v>
      </c>
      <c r="AE1643" t="s">
        <v>478</v>
      </c>
      <c r="AF1643" t="s">
        <v>479</v>
      </c>
      <c r="AL1643" t="s">
        <v>919</v>
      </c>
      <c r="AM1643" t="s">
        <v>919</v>
      </c>
      <c r="AO1643" t="s">
        <v>480</v>
      </c>
      <c r="AP1643" t="s">
        <v>481</v>
      </c>
      <c r="AQ1643" t="s">
        <v>678</v>
      </c>
      <c r="AR1643" t="s">
        <v>482</v>
      </c>
      <c r="BF1643" s="1"/>
      <c r="BH1643" t="s">
        <v>1366</v>
      </c>
      <c r="BP1643" t="s">
        <v>1489</v>
      </c>
    </row>
    <row r="1644" spans="1:68" x14ac:dyDescent="0.25">
      <c r="A1644" t="s">
        <v>5713</v>
      </c>
      <c r="B1644" t="s">
        <v>474</v>
      </c>
      <c r="C1644" t="s">
        <v>3163</v>
      </c>
      <c r="E1644" t="s">
        <v>480</v>
      </c>
      <c r="G1644" s="1" t="s">
        <v>4959</v>
      </c>
      <c r="H1644" t="s">
        <v>581</v>
      </c>
      <c r="J1644">
        <v>500000</v>
      </c>
      <c r="M1644" t="s">
        <v>1423</v>
      </c>
      <c r="P1644" t="s">
        <v>124</v>
      </c>
      <c r="R1644" t="s">
        <v>609</v>
      </c>
      <c r="S1644" t="s">
        <v>4978</v>
      </c>
      <c r="T1644" t="s">
        <v>4979</v>
      </c>
      <c r="V1644" t="s">
        <v>1365</v>
      </c>
      <c r="W1644" t="s">
        <v>73</v>
      </c>
      <c r="AE1644" t="s">
        <v>478</v>
      </c>
      <c r="AF1644" t="s">
        <v>479</v>
      </c>
      <c r="AL1644" t="s">
        <v>919</v>
      </c>
      <c r="AM1644" t="s">
        <v>919</v>
      </c>
      <c r="AO1644" t="s">
        <v>480</v>
      </c>
      <c r="AP1644" t="s">
        <v>481</v>
      </c>
      <c r="AQ1644" t="s">
        <v>588</v>
      </c>
      <c r="AR1644" t="s">
        <v>482</v>
      </c>
      <c r="BF1644" s="1"/>
      <c r="BH1644" t="s">
        <v>1366</v>
      </c>
      <c r="BP1644" t="s">
        <v>1489</v>
      </c>
    </row>
    <row r="1645" spans="1:68" x14ac:dyDescent="0.25">
      <c r="A1645" t="s">
        <v>5713</v>
      </c>
      <c r="B1645" t="s">
        <v>474</v>
      </c>
      <c r="C1645" t="s">
        <v>3163</v>
      </c>
      <c r="E1645" t="s">
        <v>480</v>
      </c>
      <c r="G1645" s="1" t="s">
        <v>4959</v>
      </c>
      <c r="H1645" t="s">
        <v>589</v>
      </c>
      <c r="J1645">
        <v>500000</v>
      </c>
      <c r="M1645" t="s">
        <v>1425</v>
      </c>
      <c r="P1645" t="s">
        <v>116</v>
      </c>
      <c r="R1645" t="s">
        <v>649</v>
      </c>
      <c r="S1645" t="s">
        <v>4980</v>
      </c>
      <c r="T1645" t="s">
        <v>4981</v>
      </c>
      <c r="V1645" t="s">
        <v>1365</v>
      </c>
      <c r="W1645" t="s">
        <v>73</v>
      </c>
      <c r="AE1645" t="s">
        <v>478</v>
      </c>
      <c r="AF1645" t="s">
        <v>479</v>
      </c>
      <c r="AL1645" t="s">
        <v>919</v>
      </c>
      <c r="AM1645" t="s">
        <v>919</v>
      </c>
      <c r="AO1645" t="s">
        <v>480</v>
      </c>
      <c r="AP1645" t="s">
        <v>481</v>
      </c>
      <c r="AQ1645" t="s">
        <v>645</v>
      </c>
      <c r="AR1645" t="s">
        <v>482</v>
      </c>
      <c r="BF1645" s="1"/>
      <c r="BH1645" t="s">
        <v>1366</v>
      </c>
      <c r="BP1645" t="s">
        <v>1489</v>
      </c>
    </row>
    <row r="1646" spans="1:68" x14ac:dyDescent="0.25">
      <c r="A1646" t="s">
        <v>5713</v>
      </c>
      <c r="B1646" t="s">
        <v>474</v>
      </c>
      <c r="C1646" t="s">
        <v>1506</v>
      </c>
      <c r="E1646" t="s">
        <v>480</v>
      </c>
      <c r="G1646" s="1" t="s">
        <v>4982</v>
      </c>
      <c r="H1646" t="s">
        <v>476</v>
      </c>
      <c r="J1646">
        <v>500000</v>
      </c>
      <c r="M1646" t="s">
        <v>1417</v>
      </c>
      <c r="P1646" t="s">
        <v>121</v>
      </c>
      <c r="R1646" t="s">
        <v>894</v>
      </c>
      <c r="S1646" t="s">
        <v>1448</v>
      </c>
      <c r="T1646" t="s">
        <v>1449</v>
      </c>
      <c r="V1646" t="s">
        <v>1365</v>
      </c>
      <c r="W1646" t="s">
        <v>70</v>
      </c>
      <c r="AE1646" t="s">
        <v>478</v>
      </c>
      <c r="AF1646" t="s">
        <v>479</v>
      </c>
      <c r="AL1646" t="s">
        <v>919</v>
      </c>
      <c r="AM1646" t="s">
        <v>919</v>
      </c>
      <c r="AO1646" t="s">
        <v>480</v>
      </c>
      <c r="AP1646" t="s">
        <v>481</v>
      </c>
      <c r="AQ1646" t="s">
        <v>499</v>
      </c>
      <c r="AR1646" t="s">
        <v>482</v>
      </c>
      <c r="BF1646" s="1"/>
      <c r="BH1646" t="s">
        <v>1366</v>
      </c>
      <c r="BP1646" t="s">
        <v>1489</v>
      </c>
    </row>
    <row r="1647" spans="1:68" x14ac:dyDescent="0.25">
      <c r="A1647" t="s">
        <v>5713</v>
      </c>
      <c r="B1647" t="s">
        <v>474</v>
      </c>
      <c r="C1647" t="s">
        <v>1506</v>
      </c>
      <c r="E1647" t="s">
        <v>480</v>
      </c>
      <c r="G1647" s="1" t="s">
        <v>4983</v>
      </c>
      <c r="H1647" t="s">
        <v>476</v>
      </c>
      <c r="J1647">
        <v>500000</v>
      </c>
      <c r="M1647" t="s">
        <v>1424</v>
      </c>
      <c r="P1647" t="s">
        <v>438</v>
      </c>
      <c r="R1647" t="s">
        <v>488</v>
      </c>
      <c r="S1647" t="s">
        <v>4984</v>
      </c>
      <c r="T1647" t="s">
        <v>4985</v>
      </c>
      <c r="V1647" t="s">
        <v>1365</v>
      </c>
      <c r="W1647" t="s">
        <v>235</v>
      </c>
      <c r="AE1647" t="s">
        <v>478</v>
      </c>
      <c r="AF1647" t="s">
        <v>479</v>
      </c>
      <c r="AL1647" t="s">
        <v>919</v>
      </c>
      <c r="AM1647" t="s">
        <v>919</v>
      </c>
      <c r="AO1647" t="s">
        <v>480</v>
      </c>
      <c r="AP1647" t="s">
        <v>481</v>
      </c>
      <c r="AQ1647" t="s">
        <v>1523</v>
      </c>
      <c r="AR1647" t="s">
        <v>482</v>
      </c>
      <c r="BF1647" s="1"/>
      <c r="BH1647" t="s">
        <v>1366</v>
      </c>
      <c r="BP1647" t="s">
        <v>1489</v>
      </c>
    </row>
    <row r="1648" spans="1:68" x14ac:dyDescent="0.25">
      <c r="A1648" t="s">
        <v>5713</v>
      </c>
      <c r="B1648" t="s">
        <v>474</v>
      </c>
      <c r="C1648" t="s">
        <v>1506</v>
      </c>
      <c r="E1648" t="s">
        <v>480</v>
      </c>
      <c r="G1648" s="1" t="s">
        <v>4986</v>
      </c>
      <c r="H1648" t="s">
        <v>476</v>
      </c>
      <c r="J1648">
        <v>500000</v>
      </c>
      <c r="M1648" t="s">
        <v>1424</v>
      </c>
      <c r="P1648" t="s">
        <v>100</v>
      </c>
      <c r="R1648" t="s">
        <v>769</v>
      </c>
      <c r="S1648" t="s">
        <v>4987</v>
      </c>
      <c r="T1648" t="s">
        <v>4988</v>
      </c>
      <c r="V1648" t="s">
        <v>1365</v>
      </c>
      <c r="W1648" t="s">
        <v>235</v>
      </c>
      <c r="AE1648" t="s">
        <v>478</v>
      </c>
      <c r="AF1648" t="s">
        <v>479</v>
      </c>
      <c r="AL1648" t="s">
        <v>919</v>
      </c>
      <c r="AM1648" t="s">
        <v>919</v>
      </c>
      <c r="AO1648" t="s">
        <v>480</v>
      </c>
      <c r="AP1648" t="s">
        <v>481</v>
      </c>
      <c r="AQ1648" t="s">
        <v>709</v>
      </c>
      <c r="AR1648" t="s">
        <v>482</v>
      </c>
      <c r="BF1648" s="1"/>
      <c r="BH1648" t="s">
        <v>1366</v>
      </c>
      <c r="BP1648" t="s">
        <v>1489</v>
      </c>
    </row>
    <row r="1649" spans="1:68" x14ac:dyDescent="0.25">
      <c r="A1649" t="s">
        <v>5713</v>
      </c>
      <c r="B1649" t="s">
        <v>474</v>
      </c>
      <c r="C1649" t="s">
        <v>1506</v>
      </c>
      <c r="E1649" t="s">
        <v>480</v>
      </c>
      <c r="G1649" s="1" t="s">
        <v>4989</v>
      </c>
      <c r="H1649" t="s">
        <v>476</v>
      </c>
      <c r="J1649">
        <v>500000</v>
      </c>
      <c r="M1649" t="s">
        <v>1424</v>
      </c>
      <c r="P1649" t="s">
        <v>122</v>
      </c>
      <c r="R1649" t="s">
        <v>1526</v>
      </c>
      <c r="S1649" t="s">
        <v>4990</v>
      </c>
      <c r="T1649" t="s">
        <v>4991</v>
      </c>
      <c r="V1649" t="s">
        <v>1365</v>
      </c>
      <c r="W1649" t="s">
        <v>235</v>
      </c>
      <c r="AE1649" t="s">
        <v>478</v>
      </c>
      <c r="AF1649" t="s">
        <v>479</v>
      </c>
      <c r="AL1649" t="s">
        <v>919</v>
      </c>
      <c r="AM1649" t="s">
        <v>919</v>
      </c>
      <c r="AO1649" t="s">
        <v>480</v>
      </c>
      <c r="AP1649" t="s">
        <v>481</v>
      </c>
      <c r="AQ1649" t="s">
        <v>721</v>
      </c>
      <c r="AR1649" t="s">
        <v>482</v>
      </c>
      <c r="BF1649" s="1"/>
      <c r="BH1649" t="s">
        <v>1366</v>
      </c>
      <c r="BP1649" t="s">
        <v>1489</v>
      </c>
    </row>
    <row r="1650" spans="1:68" x14ac:dyDescent="0.25">
      <c r="A1650" t="s">
        <v>5713</v>
      </c>
      <c r="B1650" t="s">
        <v>474</v>
      </c>
      <c r="C1650" t="s">
        <v>1506</v>
      </c>
      <c r="E1650" t="s">
        <v>480</v>
      </c>
      <c r="G1650" s="1" t="s">
        <v>4992</v>
      </c>
      <c r="H1650" t="s">
        <v>476</v>
      </c>
      <c r="J1650">
        <v>500000</v>
      </c>
      <c r="M1650" t="s">
        <v>1424</v>
      </c>
      <c r="P1650" t="s">
        <v>90</v>
      </c>
      <c r="R1650" t="s">
        <v>633</v>
      </c>
      <c r="S1650" t="s">
        <v>4993</v>
      </c>
      <c r="T1650" t="s">
        <v>4994</v>
      </c>
      <c r="V1650" t="s">
        <v>1365</v>
      </c>
      <c r="W1650" t="s">
        <v>235</v>
      </c>
      <c r="AE1650" t="s">
        <v>478</v>
      </c>
      <c r="AF1650" t="s">
        <v>479</v>
      </c>
      <c r="AL1650" t="s">
        <v>919</v>
      </c>
      <c r="AM1650" t="s">
        <v>919</v>
      </c>
      <c r="AO1650" t="s">
        <v>480</v>
      </c>
      <c r="AP1650" t="s">
        <v>481</v>
      </c>
      <c r="AQ1650" t="s">
        <v>740</v>
      </c>
      <c r="AR1650" t="s">
        <v>482</v>
      </c>
      <c r="BF1650" s="1"/>
      <c r="BH1650" t="s">
        <v>1366</v>
      </c>
      <c r="BP1650" t="s">
        <v>1489</v>
      </c>
    </row>
    <row r="1651" spans="1:68" x14ac:dyDescent="0.25">
      <c r="A1651" t="s">
        <v>5713</v>
      </c>
      <c r="B1651" t="s">
        <v>474</v>
      </c>
      <c r="C1651" t="s">
        <v>1506</v>
      </c>
      <c r="E1651" t="s">
        <v>480</v>
      </c>
      <c r="G1651" s="1" t="s">
        <v>4995</v>
      </c>
      <c r="H1651" t="s">
        <v>476</v>
      </c>
      <c r="J1651">
        <v>500000</v>
      </c>
      <c r="M1651" t="s">
        <v>1424</v>
      </c>
      <c r="P1651" t="s">
        <v>100</v>
      </c>
      <c r="R1651" t="s">
        <v>1462</v>
      </c>
      <c r="S1651" t="s">
        <v>4996</v>
      </c>
      <c r="T1651" t="s">
        <v>4997</v>
      </c>
      <c r="V1651" t="s">
        <v>1365</v>
      </c>
      <c r="W1651" t="s">
        <v>235</v>
      </c>
      <c r="AE1651" t="s">
        <v>478</v>
      </c>
      <c r="AF1651" t="s">
        <v>479</v>
      </c>
      <c r="AL1651" t="s">
        <v>919</v>
      </c>
      <c r="AM1651" t="s">
        <v>919</v>
      </c>
      <c r="AO1651" t="s">
        <v>480</v>
      </c>
      <c r="AP1651" t="s">
        <v>481</v>
      </c>
      <c r="AQ1651" t="s">
        <v>709</v>
      </c>
      <c r="AR1651" t="s">
        <v>482</v>
      </c>
      <c r="BF1651" s="1"/>
      <c r="BH1651" t="s">
        <v>1366</v>
      </c>
      <c r="BP1651" t="s">
        <v>1489</v>
      </c>
    </row>
    <row r="1652" spans="1:68" x14ac:dyDescent="0.25">
      <c r="A1652" t="s">
        <v>5713</v>
      </c>
      <c r="B1652" t="s">
        <v>474</v>
      </c>
      <c r="C1652" t="s">
        <v>1506</v>
      </c>
      <c r="E1652" t="s">
        <v>480</v>
      </c>
      <c r="G1652" s="1" t="s">
        <v>4998</v>
      </c>
      <c r="H1652" t="s">
        <v>476</v>
      </c>
      <c r="J1652">
        <v>500000</v>
      </c>
      <c r="M1652" t="s">
        <v>1424</v>
      </c>
      <c r="P1652" t="s">
        <v>122</v>
      </c>
      <c r="R1652" t="s">
        <v>557</v>
      </c>
      <c r="S1652" t="s">
        <v>4999</v>
      </c>
      <c r="T1652" t="s">
        <v>5000</v>
      </c>
      <c r="V1652" t="s">
        <v>1365</v>
      </c>
      <c r="W1652" t="s">
        <v>235</v>
      </c>
      <c r="AE1652" t="s">
        <v>478</v>
      </c>
      <c r="AF1652" t="s">
        <v>479</v>
      </c>
      <c r="AL1652" t="s">
        <v>919</v>
      </c>
      <c r="AM1652" t="s">
        <v>919</v>
      </c>
      <c r="AO1652" t="s">
        <v>480</v>
      </c>
      <c r="AP1652" t="s">
        <v>481</v>
      </c>
      <c r="AQ1652" t="s">
        <v>721</v>
      </c>
      <c r="AR1652" t="s">
        <v>482</v>
      </c>
      <c r="BF1652" s="1"/>
      <c r="BH1652" t="s">
        <v>1366</v>
      </c>
      <c r="BP1652" t="s">
        <v>1489</v>
      </c>
    </row>
    <row r="1653" spans="1:68" x14ac:dyDescent="0.25">
      <c r="A1653" t="s">
        <v>5713</v>
      </c>
      <c r="B1653" t="s">
        <v>474</v>
      </c>
      <c r="C1653" t="s">
        <v>1506</v>
      </c>
      <c r="E1653" t="s">
        <v>480</v>
      </c>
      <c r="G1653" s="1" t="s">
        <v>5001</v>
      </c>
      <c r="H1653" t="s">
        <v>476</v>
      </c>
      <c r="J1653">
        <v>500000</v>
      </c>
      <c r="M1653" t="s">
        <v>1424</v>
      </c>
      <c r="P1653" t="s">
        <v>122</v>
      </c>
      <c r="R1653" t="s">
        <v>706</v>
      </c>
      <c r="S1653" t="s">
        <v>1375</v>
      </c>
      <c r="T1653" t="s">
        <v>1376</v>
      </c>
      <c r="V1653" t="s">
        <v>1365</v>
      </c>
      <c r="W1653" t="s">
        <v>235</v>
      </c>
      <c r="AE1653" t="s">
        <v>478</v>
      </c>
      <c r="AF1653" t="s">
        <v>479</v>
      </c>
      <c r="AL1653" t="s">
        <v>919</v>
      </c>
      <c r="AM1653" t="s">
        <v>919</v>
      </c>
      <c r="AO1653" t="s">
        <v>480</v>
      </c>
      <c r="AP1653" t="s">
        <v>481</v>
      </c>
      <c r="AQ1653" t="s">
        <v>721</v>
      </c>
      <c r="AR1653" t="s">
        <v>482</v>
      </c>
      <c r="BF1653" s="1"/>
      <c r="BH1653" t="s">
        <v>1366</v>
      </c>
      <c r="BP1653" t="s">
        <v>1489</v>
      </c>
    </row>
    <row r="1654" spans="1:68" x14ac:dyDescent="0.25">
      <c r="A1654" t="s">
        <v>5713</v>
      </c>
      <c r="B1654" t="s">
        <v>474</v>
      </c>
      <c r="C1654" t="s">
        <v>1506</v>
      </c>
      <c r="E1654" t="s">
        <v>480</v>
      </c>
      <c r="G1654" s="1" t="s">
        <v>5002</v>
      </c>
      <c r="H1654" t="s">
        <v>476</v>
      </c>
      <c r="J1654">
        <v>500000</v>
      </c>
      <c r="M1654" t="s">
        <v>1425</v>
      </c>
      <c r="P1654" t="s">
        <v>92</v>
      </c>
      <c r="R1654" t="s">
        <v>670</v>
      </c>
      <c r="S1654" t="s">
        <v>5003</v>
      </c>
      <c r="T1654" t="s">
        <v>5004</v>
      </c>
      <c r="V1654" t="s">
        <v>1365</v>
      </c>
      <c r="W1654" t="s">
        <v>235</v>
      </c>
      <c r="AE1654" t="s">
        <v>478</v>
      </c>
      <c r="AF1654" t="s">
        <v>479</v>
      </c>
      <c r="AL1654" t="s">
        <v>919</v>
      </c>
      <c r="AM1654" t="s">
        <v>919</v>
      </c>
      <c r="AO1654" t="s">
        <v>480</v>
      </c>
      <c r="AP1654" t="s">
        <v>481</v>
      </c>
      <c r="AQ1654" t="s">
        <v>713</v>
      </c>
      <c r="AR1654" t="s">
        <v>482</v>
      </c>
      <c r="BF1654" s="1"/>
      <c r="BH1654" t="s">
        <v>1366</v>
      </c>
      <c r="BP1654" t="s">
        <v>1489</v>
      </c>
    </row>
    <row r="1655" spans="1:68" x14ac:dyDescent="0.25">
      <c r="A1655" t="s">
        <v>5713</v>
      </c>
      <c r="B1655" t="s">
        <v>474</v>
      </c>
      <c r="C1655" t="s">
        <v>1506</v>
      </c>
      <c r="E1655" t="s">
        <v>480</v>
      </c>
      <c r="G1655" s="1" t="s">
        <v>5002</v>
      </c>
      <c r="H1655" t="s">
        <v>498</v>
      </c>
      <c r="J1655">
        <v>500000</v>
      </c>
      <c r="M1655" t="s">
        <v>1414</v>
      </c>
      <c r="P1655" t="s">
        <v>91</v>
      </c>
      <c r="R1655" t="s">
        <v>1548</v>
      </c>
      <c r="S1655" t="s">
        <v>5005</v>
      </c>
      <c r="T1655" t="s">
        <v>5006</v>
      </c>
      <c r="V1655" t="s">
        <v>1365</v>
      </c>
      <c r="W1655" t="s">
        <v>235</v>
      </c>
      <c r="AE1655" t="s">
        <v>478</v>
      </c>
      <c r="AF1655" t="s">
        <v>479</v>
      </c>
      <c r="AL1655" t="s">
        <v>919</v>
      </c>
      <c r="AM1655" t="s">
        <v>919</v>
      </c>
      <c r="AO1655" t="s">
        <v>480</v>
      </c>
      <c r="AP1655" t="s">
        <v>481</v>
      </c>
      <c r="AQ1655" t="s">
        <v>738</v>
      </c>
      <c r="AR1655" t="s">
        <v>482</v>
      </c>
      <c r="BF1655" s="1"/>
      <c r="BH1655" t="s">
        <v>1366</v>
      </c>
      <c r="BP1655" t="s">
        <v>1489</v>
      </c>
    </row>
    <row r="1656" spans="1:68" x14ac:dyDescent="0.25">
      <c r="A1656" t="s">
        <v>5713</v>
      </c>
      <c r="B1656" t="s">
        <v>474</v>
      </c>
      <c r="C1656" t="s">
        <v>3163</v>
      </c>
      <c r="E1656" t="s">
        <v>480</v>
      </c>
      <c r="G1656" s="1" t="s">
        <v>5007</v>
      </c>
      <c r="H1656" t="s">
        <v>476</v>
      </c>
      <c r="J1656">
        <v>500000</v>
      </c>
      <c r="M1656" t="s">
        <v>1423</v>
      </c>
      <c r="P1656" t="s">
        <v>123</v>
      </c>
      <c r="R1656" t="s">
        <v>534</v>
      </c>
      <c r="S1656" t="s">
        <v>5008</v>
      </c>
      <c r="T1656" t="s">
        <v>5009</v>
      </c>
      <c r="V1656" t="s">
        <v>1365</v>
      </c>
      <c r="W1656" t="s">
        <v>73</v>
      </c>
      <c r="AE1656" t="s">
        <v>478</v>
      </c>
      <c r="AF1656" t="s">
        <v>479</v>
      </c>
      <c r="AL1656" t="s">
        <v>919</v>
      </c>
      <c r="AM1656" t="s">
        <v>919</v>
      </c>
      <c r="AO1656" t="s">
        <v>480</v>
      </c>
      <c r="AP1656" t="s">
        <v>481</v>
      </c>
      <c r="AQ1656" t="s">
        <v>744</v>
      </c>
      <c r="AR1656" t="s">
        <v>482</v>
      </c>
      <c r="BF1656" s="1"/>
      <c r="BH1656" t="s">
        <v>1366</v>
      </c>
      <c r="BP1656" t="s">
        <v>1489</v>
      </c>
    </row>
    <row r="1657" spans="1:68" x14ac:dyDescent="0.25">
      <c r="A1657" t="s">
        <v>5713</v>
      </c>
      <c r="B1657" t="s">
        <v>474</v>
      </c>
      <c r="C1657" t="s">
        <v>3163</v>
      </c>
      <c r="E1657" t="s">
        <v>480</v>
      </c>
      <c r="G1657" s="1" t="s">
        <v>5007</v>
      </c>
      <c r="H1657" t="s">
        <v>498</v>
      </c>
      <c r="J1657">
        <v>500000</v>
      </c>
      <c r="M1657" t="s">
        <v>1423</v>
      </c>
      <c r="P1657" t="s">
        <v>123</v>
      </c>
      <c r="R1657" t="s">
        <v>767</v>
      </c>
      <c r="S1657" t="s">
        <v>5010</v>
      </c>
      <c r="T1657" t="s">
        <v>5011</v>
      </c>
      <c r="V1657" t="s">
        <v>1365</v>
      </c>
      <c r="W1657" t="s">
        <v>73</v>
      </c>
      <c r="AE1657" t="s">
        <v>478</v>
      </c>
      <c r="AF1657" t="s">
        <v>479</v>
      </c>
      <c r="AL1657" t="s">
        <v>919</v>
      </c>
      <c r="AM1657" t="s">
        <v>919</v>
      </c>
      <c r="AO1657" t="s">
        <v>480</v>
      </c>
      <c r="AP1657" t="s">
        <v>481</v>
      </c>
      <c r="AQ1657" t="s">
        <v>744</v>
      </c>
      <c r="AR1657" t="s">
        <v>482</v>
      </c>
      <c r="BF1657" s="1"/>
      <c r="BH1657" t="s">
        <v>1366</v>
      </c>
      <c r="BP1657" t="s">
        <v>1489</v>
      </c>
    </row>
    <row r="1658" spans="1:68" x14ac:dyDescent="0.25">
      <c r="A1658" t="s">
        <v>5713</v>
      </c>
      <c r="B1658" t="s">
        <v>474</v>
      </c>
      <c r="C1658" t="s">
        <v>3163</v>
      </c>
      <c r="E1658" t="s">
        <v>480</v>
      </c>
      <c r="G1658" s="1" t="s">
        <v>5007</v>
      </c>
      <c r="H1658" t="s">
        <v>517</v>
      </c>
      <c r="J1658">
        <v>500000</v>
      </c>
      <c r="M1658" t="s">
        <v>1423</v>
      </c>
      <c r="P1658" t="s">
        <v>123</v>
      </c>
      <c r="R1658" t="s">
        <v>534</v>
      </c>
      <c r="S1658" t="s">
        <v>5008</v>
      </c>
      <c r="T1658" t="s">
        <v>5009</v>
      </c>
      <c r="V1658" t="s">
        <v>1365</v>
      </c>
      <c r="W1658" t="s">
        <v>73</v>
      </c>
      <c r="AE1658" t="s">
        <v>478</v>
      </c>
      <c r="AF1658" t="s">
        <v>479</v>
      </c>
      <c r="AL1658" t="s">
        <v>919</v>
      </c>
      <c r="AM1658" t="s">
        <v>919</v>
      </c>
      <c r="AO1658" t="s">
        <v>480</v>
      </c>
      <c r="AP1658" t="s">
        <v>481</v>
      </c>
      <c r="AQ1658" t="s">
        <v>744</v>
      </c>
      <c r="AR1658" t="s">
        <v>482</v>
      </c>
      <c r="BF1658" s="1"/>
      <c r="BH1658" t="s">
        <v>1366</v>
      </c>
      <c r="BP1658" t="s">
        <v>1489</v>
      </c>
    </row>
    <row r="1659" spans="1:68" x14ac:dyDescent="0.25">
      <c r="A1659" t="s">
        <v>5713</v>
      </c>
      <c r="B1659" t="s">
        <v>474</v>
      </c>
      <c r="C1659" t="s">
        <v>1506</v>
      </c>
      <c r="E1659" t="s">
        <v>480</v>
      </c>
      <c r="G1659" s="1" t="s">
        <v>5012</v>
      </c>
      <c r="H1659" t="s">
        <v>476</v>
      </c>
      <c r="J1659">
        <v>500000</v>
      </c>
      <c r="M1659" t="s">
        <v>1424</v>
      </c>
      <c r="P1659" t="s">
        <v>438</v>
      </c>
      <c r="R1659" t="s">
        <v>1534</v>
      </c>
      <c r="S1659" t="s">
        <v>5013</v>
      </c>
      <c r="T1659" t="s">
        <v>5014</v>
      </c>
      <c r="V1659" t="s">
        <v>1365</v>
      </c>
      <c r="W1659" t="s">
        <v>235</v>
      </c>
      <c r="AE1659" t="s">
        <v>478</v>
      </c>
      <c r="AF1659" t="s">
        <v>479</v>
      </c>
      <c r="AL1659" t="s">
        <v>919</v>
      </c>
      <c r="AM1659" t="s">
        <v>919</v>
      </c>
      <c r="AO1659" t="s">
        <v>480</v>
      </c>
      <c r="AP1659" t="s">
        <v>481</v>
      </c>
      <c r="AQ1659" t="s">
        <v>1523</v>
      </c>
      <c r="AR1659" t="s">
        <v>482</v>
      </c>
      <c r="BF1659" s="1"/>
      <c r="BH1659" t="s">
        <v>1366</v>
      </c>
      <c r="BP1659" t="s">
        <v>1489</v>
      </c>
    </row>
    <row r="1660" spans="1:68" x14ac:dyDescent="0.25">
      <c r="A1660" t="s">
        <v>5713</v>
      </c>
      <c r="B1660" t="s">
        <v>474</v>
      </c>
      <c r="C1660" t="s">
        <v>1506</v>
      </c>
      <c r="E1660" t="s">
        <v>480</v>
      </c>
      <c r="G1660" s="1" t="s">
        <v>5015</v>
      </c>
      <c r="H1660" t="s">
        <v>476</v>
      </c>
      <c r="J1660">
        <v>500000</v>
      </c>
      <c r="M1660" t="s">
        <v>1414</v>
      </c>
      <c r="P1660" t="s">
        <v>117</v>
      </c>
      <c r="R1660" t="s">
        <v>715</v>
      </c>
      <c r="S1660" t="s">
        <v>1373</v>
      </c>
      <c r="T1660" t="s">
        <v>1374</v>
      </c>
      <c r="V1660" t="s">
        <v>1365</v>
      </c>
      <c r="W1660" t="s">
        <v>235</v>
      </c>
      <c r="AE1660" t="s">
        <v>478</v>
      </c>
      <c r="AF1660" t="s">
        <v>479</v>
      </c>
      <c r="AL1660" t="s">
        <v>919</v>
      </c>
      <c r="AM1660" t="s">
        <v>919</v>
      </c>
      <c r="AO1660" t="s">
        <v>480</v>
      </c>
      <c r="AP1660" t="s">
        <v>481</v>
      </c>
      <c r="AQ1660" t="s">
        <v>718</v>
      </c>
      <c r="AR1660" t="s">
        <v>482</v>
      </c>
      <c r="BF1660" s="1"/>
      <c r="BH1660" t="s">
        <v>1366</v>
      </c>
      <c r="BP1660" t="s">
        <v>1489</v>
      </c>
    </row>
    <row r="1661" spans="1:68" x14ac:dyDescent="0.25">
      <c r="A1661" t="s">
        <v>5713</v>
      </c>
      <c r="B1661" t="s">
        <v>474</v>
      </c>
      <c r="C1661" t="s">
        <v>1506</v>
      </c>
      <c r="E1661" t="s">
        <v>480</v>
      </c>
      <c r="G1661" s="1" t="s">
        <v>5016</v>
      </c>
      <c r="H1661" t="s">
        <v>476</v>
      </c>
      <c r="J1661">
        <v>500000</v>
      </c>
      <c r="M1661" t="s">
        <v>1424</v>
      </c>
      <c r="P1661" t="s">
        <v>100</v>
      </c>
      <c r="R1661" t="s">
        <v>706</v>
      </c>
      <c r="S1661" t="s">
        <v>1369</v>
      </c>
      <c r="T1661" t="s">
        <v>1370</v>
      </c>
      <c r="V1661" t="s">
        <v>1365</v>
      </c>
      <c r="W1661" t="s">
        <v>235</v>
      </c>
      <c r="AE1661" t="s">
        <v>478</v>
      </c>
      <c r="AF1661" t="s">
        <v>479</v>
      </c>
      <c r="AL1661" t="s">
        <v>919</v>
      </c>
      <c r="AM1661" t="s">
        <v>919</v>
      </c>
      <c r="AO1661" t="s">
        <v>480</v>
      </c>
      <c r="AP1661" t="s">
        <v>481</v>
      </c>
      <c r="AQ1661" t="s">
        <v>709</v>
      </c>
      <c r="AR1661" t="s">
        <v>482</v>
      </c>
      <c r="BF1661" s="1"/>
      <c r="BH1661" t="s">
        <v>1366</v>
      </c>
      <c r="BP1661" t="s">
        <v>1489</v>
      </c>
    </row>
    <row r="1662" spans="1:68" x14ac:dyDescent="0.25">
      <c r="A1662" t="s">
        <v>5713</v>
      </c>
      <c r="B1662" t="s">
        <v>474</v>
      </c>
      <c r="C1662" t="s">
        <v>1486</v>
      </c>
      <c r="E1662" t="s">
        <v>480</v>
      </c>
      <c r="G1662" s="1" t="s">
        <v>5017</v>
      </c>
      <c r="H1662" t="s">
        <v>476</v>
      </c>
      <c r="J1662">
        <v>624132</v>
      </c>
      <c r="M1662">
        <v>1213</v>
      </c>
      <c r="R1662" t="s">
        <v>918</v>
      </c>
      <c r="S1662" t="s">
        <v>5018</v>
      </c>
      <c r="T1662" t="s">
        <v>5019</v>
      </c>
      <c r="V1662" t="s">
        <v>1467</v>
      </c>
      <c r="AE1662" t="s">
        <v>478</v>
      </c>
      <c r="AL1662" t="s">
        <v>919</v>
      </c>
      <c r="AM1662" t="s">
        <v>919</v>
      </c>
      <c r="AO1662" t="s">
        <v>480</v>
      </c>
      <c r="AP1662" t="s">
        <v>481</v>
      </c>
      <c r="BF1662" s="1" t="s">
        <v>1002</v>
      </c>
      <c r="BH1662" t="s">
        <v>1468</v>
      </c>
      <c r="BP1662" t="s">
        <v>1489</v>
      </c>
    </row>
    <row r="1663" spans="1:68" x14ac:dyDescent="0.25">
      <c r="A1663" t="s">
        <v>5713</v>
      </c>
      <c r="B1663" t="s">
        <v>474</v>
      </c>
      <c r="C1663" t="s">
        <v>1486</v>
      </c>
      <c r="E1663" t="s">
        <v>480</v>
      </c>
      <c r="G1663" s="1" t="s">
        <v>5017</v>
      </c>
      <c r="H1663" t="s">
        <v>498</v>
      </c>
      <c r="J1663">
        <v>624132</v>
      </c>
      <c r="M1663">
        <v>1213</v>
      </c>
      <c r="R1663" t="s">
        <v>918</v>
      </c>
      <c r="S1663" t="s">
        <v>5020</v>
      </c>
      <c r="T1663" t="s">
        <v>5021</v>
      </c>
      <c r="V1663" t="s">
        <v>1467</v>
      </c>
      <c r="AE1663" t="s">
        <v>478</v>
      </c>
      <c r="AL1663" t="s">
        <v>919</v>
      </c>
      <c r="AM1663" t="s">
        <v>919</v>
      </c>
      <c r="AO1663" t="s">
        <v>480</v>
      </c>
      <c r="AP1663" t="s">
        <v>481</v>
      </c>
      <c r="BF1663" s="1" t="s">
        <v>1002</v>
      </c>
      <c r="BH1663" t="s">
        <v>1468</v>
      </c>
      <c r="BP1663" t="s">
        <v>1489</v>
      </c>
    </row>
    <row r="1664" spans="1:68" x14ac:dyDescent="0.25">
      <c r="A1664" t="s">
        <v>5713</v>
      </c>
      <c r="B1664" t="s">
        <v>474</v>
      </c>
      <c r="C1664" t="s">
        <v>1486</v>
      </c>
      <c r="E1664" t="s">
        <v>480</v>
      </c>
      <c r="G1664" s="1" t="s">
        <v>5017</v>
      </c>
      <c r="H1664" t="s">
        <v>517</v>
      </c>
      <c r="J1664">
        <v>624132</v>
      </c>
      <c r="M1664">
        <v>1213</v>
      </c>
      <c r="R1664" t="s">
        <v>918</v>
      </c>
      <c r="S1664" t="s">
        <v>1470</v>
      </c>
      <c r="T1664" t="s">
        <v>1471</v>
      </c>
      <c r="V1664" t="s">
        <v>1467</v>
      </c>
      <c r="AE1664" t="s">
        <v>478</v>
      </c>
      <c r="AL1664" t="s">
        <v>919</v>
      </c>
      <c r="AM1664" t="s">
        <v>919</v>
      </c>
      <c r="AO1664" t="s">
        <v>480</v>
      </c>
      <c r="AP1664" t="s">
        <v>481</v>
      </c>
      <c r="BF1664" s="1" t="s">
        <v>1002</v>
      </c>
      <c r="BH1664" t="s">
        <v>1468</v>
      </c>
      <c r="BP1664" t="s">
        <v>1489</v>
      </c>
    </row>
    <row r="1665" spans="1:68" x14ac:dyDescent="0.25">
      <c r="A1665" t="s">
        <v>5713</v>
      </c>
      <c r="B1665" t="s">
        <v>474</v>
      </c>
      <c r="C1665" t="s">
        <v>1486</v>
      </c>
      <c r="E1665" t="s">
        <v>480</v>
      </c>
      <c r="G1665" s="1" t="s">
        <v>5017</v>
      </c>
      <c r="H1665" t="s">
        <v>542</v>
      </c>
      <c r="J1665">
        <v>624132</v>
      </c>
      <c r="M1665">
        <v>1213</v>
      </c>
      <c r="R1665" t="s">
        <v>918</v>
      </c>
      <c r="S1665" t="s">
        <v>1472</v>
      </c>
      <c r="T1665" t="s">
        <v>1473</v>
      </c>
      <c r="V1665" t="s">
        <v>1467</v>
      </c>
      <c r="AE1665" t="s">
        <v>478</v>
      </c>
      <c r="AL1665" t="s">
        <v>919</v>
      </c>
      <c r="AM1665" t="s">
        <v>919</v>
      </c>
      <c r="AO1665" t="s">
        <v>480</v>
      </c>
      <c r="AP1665" t="s">
        <v>481</v>
      </c>
      <c r="BF1665" s="1" t="s">
        <v>1002</v>
      </c>
      <c r="BH1665" t="s">
        <v>1468</v>
      </c>
      <c r="BP1665" t="s">
        <v>1489</v>
      </c>
    </row>
    <row r="1666" spans="1:68" x14ac:dyDescent="0.25">
      <c r="A1666" t="s">
        <v>5713</v>
      </c>
      <c r="B1666" t="s">
        <v>474</v>
      </c>
      <c r="C1666" t="s">
        <v>1486</v>
      </c>
      <c r="E1666" t="s">
        <v>480</v>
      </c>
      <c r="G1666" s="1" t="s">
        <v>5017</v>
      </c>
      <c r="H1666" t="s">
        <v>549</v>
      </c>
      <c r="J1666">
        <v>624132</v>
      </c>
      <c r="M1666">
        <v>1213</v>
      </c>
      <c r="R1666" t="s">
        <v>918</v>
      </c>
      <c r="S1666" t="s">
        <v>1472</v>
      </c>
      <c r="T1666" t="s">
        <v>1473</v>
      </c>
      <c r="V1666" t="s">
        <v>1467</v>
      </c>
      <c r="AE1666" t="s">
        <v>478</v>
      </c>
      <c r="AL1666" t="s">
        <v>919</v>
      </c>
      <c r="AM1666" t="s">
        <v>919</v>
      </c>
      <c r="AO1666" t="s">
        <v>480</v>
      </c>
      <c r="AP1666" t="s">
        <v>481</v>
      </c>
      <c r="BF1666" s="1" t="s">
        <v>1002</v>
      </c>
      <c r="BH1666" t="s">
        <v>1468</v>
      </c>
      <c r="BP1666" t="s">
        <v>1489</v>
      </c>
    </row>
    <row r="1667" spans="1:68" x14ac:dyDescent="0.25">
      <c r="A1667" t="s">
        <v>5713</v>
      </c>
      <c r="B1667" t="s">
        <v>474</v>
      </c>
      <c r="C1667" t="s">
        <v>1486</v>
      </c>
      <c r="E1667" t="s">
        <v>480</v>
      </c>
      <c r="G1667" s="1" t="s">
        <v>5017</v>
      </c>
      <c r="H1667" t="s">
        <v>556</v>
      </c>
      <c r="J1667">
        <v>624132</v>
      </c>
      <c r="M1667">
        <v>1213</v>
      </c>
      <c r="R1667" t="s">
        <v>918</v>
      </c>
      <c r="S1667" t="s">
        <v>1474</v>
      </c>
      <c r="T1667" t="s">
        <v>1475</v>
      </c>
      <c r="V1667" t="s">
        <v>1467</v>
      </c>
      <c r="AE1667" t="s">
        <v>478</v>
      </c>
      <c r="AL1667" t="s">
        <v>919</v>
      </c>
      <c r="AM1667" t="s">
        <v>919</v>
      </c>
      <c r="AO1667" t="s">
        <v>480</v>
      </c>
      <c r="AP1667" t="s">
        <v>481</v>
      </c>
      <c r="BF1667" s="1" t="s">
        <v>1002</v>
      </c>
      <c r="BH1667" t="s">
        <v>1468</v>
      </c>
      <c r="BP1667" t="s">
        <v>1489</v>
      </c>
    </row>
    <row r="1668" spans="1:68" x14ac:dyDescent="0.25">
      <c r="A1668" t="s">
        <v>5713</v>
      </c>
      <c r="B1668" t="s">
        <v>474</v>
      </c>
      <c r="C1668" t="s">
        <v>1486</v>
      </c>
      <c r="E1668" t="s">
        <v>480</v>
      </c>
      <c r="G1668" s="1" t="s">
        <v>5022</v>
      </c>
      <c r="H1668" t="s">
        <v>959</v>
      </c>
      <c r="J1668">
        <v>500000</v>
      </c>
      <c r="P1668" t="s">
        <v>127</v>
      </c>
      <c r="R1668" t="s">
        <v>988</v>
      </c>
      <c r="S1668" t="s">
        <v>5023</v>
      </c>
      <c r="T1668" t="s">
        <v>5024</v>
      </c>
      <c r="V1668" t="s">
        <v>5025</v>
      </c>
      <c r="W1668" t="s">
        <v>70</v>
      </c>
      <c r="AE1668" t="s">
        <v>478</v>
      </c>
      <c r="AF1668" t="s">
        <v>479</v>
      </c>
      <c r="AL1668" t="s">
        <v>919</v>
      </c>
      <c r="AM1668" t="s">
        <v>919</v>
      </c>
      <c r="AO1668" t="s">
        <v>480</v>
      </c>
      <c r="AP1668" t="s">
        <v>481</v>
      </c>
      <c r="AQ1668" t="s">
        <v>489</v>
      </c>
      <c r="AR1668" t="s">
        <v>482</v>
      </c>
      <c r="AS1668" t="s">
        <v>483</v>
      </c>
      <c r="AT1668" t="s">
        <v>484</v>
      </c>
      <c r="AU1668" t="s">
        <v>490</v>
      </c>
      <c r="AW1668" t="s">
        <v>486</v>
      </c>
      <c r="BF1668" s="1"/>
      <c r="BG1668" t="s">
        <v>71</v>
      </c>
      <c r="BH1668" t="s">
        <v>1366</v>
      </c>
      <c r="BP1668" t="s">
        <v>1489</v>
      </c>
    </row>
    <row r="1669" spans="1:68" x14ac:dyDescent="0.25">
      <c r="A1669" t="s">
        <v>5713</v>
      </c>
      <c r="B1669" t="s">
        <v>474</v>
      </c>
      <c r="C1669" t="s">
        <v>1486</v>
      </c>
      <c r="E1669" t="s">
        <v>480</v>
      </c>
      <c r="G1669" s="1" t="s">
        <v>5022</v>
      </c>
      <c r="H1669" t="s">
        <v>492</v>
      </c>
      <c r="J1669">
        <v>500000</v>
      </c>
      <c r="P1669" t="s">
        <v>83</v>
      </c>
      <c r="R1669" t="s">
        <v>988</v>
      </c>
      <c r="S1669" t="s">
        <v>5026</v>
      </c>
      <c r="T1669" t="s">
        <v>5027</v>
      </c>
      <c r="V1669" t="s">
        <v>5028</v>
      </c>
      <c r="W1669" t="s">
        <v>70</v>
      </c>
      <c r="AE1669" t="s">
        <v>478</v>
      </c>
      <c r="AF1669" t="s">
        <v>479</v>
      </c>
      <c r="AL1669" t="s">
        <v>919</v>
      </c>
      <c r="AM1669" t="s">
        <v>919</v>
      </c>
      <c r="AO1669" t="s">
        <v>480</v>
      </c>
      <c r="AP1669" t="s">
        <v>481</v>
      </c>
      <c r="AQ1669" t="s">
        <v>497</v>
      </c>
      <c r="AR1669" t="s">
        <v>482</v>
      </c>
      <c r="AS1669" t="s">
        <v>483</v>
      </c>
      <c r="AT1669" t="s">
        <v>484</v>
      </c>
      <c r="AU1669" t="s">
        <v>490</v>
      </c>
      <c r="AW1669" t="s">
        <v>486</v>
      </c>
      <c r="BF1669" s="1"/>
      <c r="BG1669" t="s">
        <v>71</v>
      </c>
      <c r="BH1669" t="s">
        <v>1366</v>
      </c>
      <c r="BP1669" t="s">
        <v>1489</v>
      </c>
    </row>
    <row r="1670" spans="1:68" x14ac:dyDescent="0.25">
      <c r="A1670" t="s">
        <v>5713</v>
      </c>
      <c r="B1670" t="s">
        <v>474</v>
      </c>
      <c r="C1670" t="s">
        <v>1486</v>
      </c>
      <c r="E1670" t="s">
        <v>480</v>
      </c>
      <c r="G1670" s="1" t="s">
        <v>5022</v>
      </c>
      <c r="H1670" t="s">
        <v>500</v>
      </c>
      <c r="J1670">
        <v>500000</v>
      </c>
      <c r="P1670" t="s">
        <v>153</v>
      </c>
      <c r="R1670" t="s">
        <v>988</v>
      </c>
      <c r="S1670" t="s">
        <v>5029</v>
      </c>
      <c r="T1670" t="s">
        <v>5030</v>
      </c>
      <c r="V1670" t="s">
        <v>5031</v>
      </c>
      <c r="W1670" t="s">
        <v>70</v>
      </c>
      <c r="AE1670" t="s">
        <v>478</v>
      </c>
      <c r="AF1670" t="s">
        <v>479</v>
      </c>
      <c r="AL1670" t="s">
        <v>919</v>
      </c>
      <c r="AM1670" t="s">
        <v>919</v>
      </c>
      <c r="AO1670" t="s">
        <v>480</v>
      </c>
      <c r="AP1670" t="s">
        <v>481</v>
      </c>
      <c r="AQ1670" t="s">
        <v>762</v>
      </c>
      <c r="AR1670" t="s">
        <v>482</v>
      </c>
      <c r="AS1670" t="s">
        <v>483</v>
      </c>
      <c r="AT1670" t="s">
        <v>484</v>
      </c>
      <c r="AU1670" t="s">
        <v>490</v>
      </c>
      <c r="AW1670" t="s">
        <v>486</v>
      </c>
      <c r="BF1670" s="1"/>
      <c r="BG1670" t="s">
        <v>71</v>
      </c>
      <c r="BH1670" t="s">
        <v>1366</v>
      </c>
      <c r="BP1670" t="s">
        <v>1489</v>
      </c>
    </row>
    <row r="1671" spans="1:68" x14ac:dyDescent="0.25">
      <c r="A1671" t="s">
        <v>5713</v>
      </c>
      <c r="B1671" t="s">
        <v>474</v>
      </c>
      <c r="C1671" t="s">
        <v>1486</v>
      </c>
      <c r="E1671" t="s">
        <v>480</v>
      </c>
      <c r="G1671" s="1" t="s">
        <v>5022</v>
      </c>
      <c r="H1671" t="s">
        <v>537</v>
      </c>
      <c r="J1671">
        <v>500000</v>
      </c>
      <c r="P1671" t="s">
        <v>121</v>
      </c>
      <c r="R1671" t="s">
        <v>988</v>
      </c>
      <c r="S1671" t="s">
        <v>5032</v>
      </c>
      <c r="T1671" t="s">
        <v>5033</v>
      </c>
      <c r="V1671" t="s">
        <v>5034</v>
      </c>
      <c r="W1671" t="s">
        <v>70</v>
      </c>
      <c r="AE1671" t="s">
        <v>478</v>
      </c>
      <c r="AF1671" t="s">
        <v>479</v>
      </c>
      <c r="AL1671" t="s">
        <v>919</v>
      </c>
      <c r="AM1671" t="s">
        <v>919</v>
      </c>
      <c r="AO1671" t="s">
        <v>480</v>
      </c>
      <c r="AP1671" t="s">
        <v>481</v>
      </c>
      <c r="AQ1671" t="s">
        <v>499</v>
      </c>
      <c r="AR1671" t="s">
        <v>482</v>
      </c>
      <c r="AS1671" t="s">
        <v>483</v>
      </c>
      <c r="AT1671" t="s">
        <v>484</v>
      </c>
      <c r="AU1671" t="s">
        <v>490</v>
      </c>
      <c r="AW1671" t="s">
        <v>486</v>
      </c>
      <c r="BF1671" s="1"/>
      <c r="BG1671" t="s">
        <v>71</v>
      </c>
      <c r="BH1671" t="s">
        <v>1366</v>
      </c>
      <c r="BP1671" t="s">
        <v>1489</v>
      </c>
    </row>
    <row r="1672" spans="1:68" x14ac:dyDescent="0.25">
      <c r="A1672" t="s">
        <v>5713</v>
      </c>
      <c r="B1672" t="s">
        <v>474</v>
      </c>
      <c r="C1672" t="s">
        <v>1486</v>
      </c>
      <c r="E1672" t="s">
        <v>480</v>
      </c>
      <c r="G1672" s="1" t="s">
        <v>5022</v>
      </c>
      <c r="H1672" t="s">
        <v>546</v>
      </c>
      <c r="J1672">
        <v>500000</v>
      </c>
      <c r="P1672" t="s">
        <v>133</v>
      </c>
      <c r="R1672" t="s">
        <v>988</v>
      </c>
      <c r="S1672" t="s">
        <v>5035</v>
      </c>
      <c r="T1672" t="s">
        <v>5036</v>
      </c>
      <c r="V1672" t="s">
        <v>5037</v>
      </c>
      <c r="W1672" t="s">
        <v>70</v>
      </c>
      <c r="AE1672" t="s">
        <v>478</v>
      </c>
      <c r="AF1672" t="s">
        <v>479</v>
      </c>
      <c r="AL1672" t="s">
        <v>919</v>
      </c>
      <c r="AM1672" t="s">
        <v>919</v>
      </c>
      <c r="AO1672" t="s">
        <v>480</v>
      </c>
      <c r="AP1672" t="s">
        <v>481</v>
      </c>
      <c r="AQ1672" t="s">
        <v>505</v>
      </c>
      <c r="AR1672" t="s">
        <v>482</v>
      </c>
      <c r="AS1672" t="s">
        <v>483</v>
      </c>
      <c r="AT1672" t="s">
        <v>484</v>
      </c>
      <c r="AU1672" t="s">
        <v>490</v>
      </c>
      <c r="AW1672" t="s">
        <v>486</v>
      </c>
      <c r="BF1672" s="1"/>
      <c r="BG1672" t="s">
        <v>71</v>
      </c>
      <c r="BH1672" t="s">
        <v>1366</v>
      </c>
      <c r="BP1672" t="s">
        <v>1489</v>
      </c>
    </row>
    <row r="1673" spans="1:68" x14ac:dyDescent="0.25">
      <c r="A1673" t="s">
        <v>5713</v>
      </c>
      <c r="B1673" t="s">
        <v>474</v>
      </c>
      <c r="C1673" t="s">
        <v>1486</v>
      </c>
      <c r="E1673" t="s">
        <v>480</v>
      </c>
      <c r="G1673" s="1" t="s">
        <v>5022</v>
      </c>
      <c r="H1673" t="s">
        <v>553</v>
      </c>
      <c r="J1673">
        <v>500000</v>
      </c>
      <c r="P1673" t="s">
        <v>134</v>
      </c>
      <c r="R1673" t="s">
        <v>988</v>
      </c>
      <c r="S1673" t="s">
        <v>5038</v>
      </c>
      <c r="T1673" t="s">
        <v>5039</v>
      </c>
      <c r="V1673" t="s">
        <v>5040</v>
      </c>
      <c r="W1673" t="s">
        <v>70</v>
      </c>
      <c r="AE1673" t="s">
        <v>478</v>
      </c>
      <c r="AF1673" t="s">
        <v>479</v>
      </c>
      <c r="AL1673" t="s">
        <v>919</v>
      </c>
      <c r="AM1673" t="s">
        <v>919</v>
      </c>
      <c r="AO1673" t="s">
        <v>480</v>
      </c>
      <c r="AP1673" t="s">
        <v>481</v>
      </c>
      <c r="AQ1673" t="s">
        <v>747</v>
      </c>
      <c r="AR1673" t="s">
        <v>482</v>
      </c>
      <c r="AS1673" t="s">
        <v>483</v>
      </c>
      <c r="AT1673" t="s">
        <v>484</v>
      </c>
      <c r="AU1673" t="s">
        <v>490</v>
      </c>
      <c r="AW1673" t="s">
        <v>486</v>
      </c>
      <c r="BF1673" s="1"/>
      <c r="BG1673" t="s">
        <v>71</v>
      </c>
      <c r="BH1673" t="s">
        <v>1366</v>
      </c>
      <c r="BP1673" t="s">
        <v>1489</v>
      </c>
    </row>
    <row r="1674" spans="1:68" x14ac:dyDescent="0.25">
      <c r="A1674" t="s">
        <v>5713</v>
      </c>
      <c r="B1674" t="s">
        <v>474</v>
      </c>
      <c r="C1674" t="s">
        <v>1486</v>
      </c>
      <c r="E1674" t="s">
        <v>480</v>
      </c>
      <c r="G1674" s="1" t="s">
        <v>5022</v>
      </c>
      <c r="H1674" t="s">
        <v>559</v>
      </c>
      <c r="J1674">
        <v>500000</v>
      </c>
      <c r="P1674" t="s">
        <v>167</v>
      </c>
      <c r="R1674" t="s">
        <v>988</v>
      </c>
      <c r="S1674" t="s">
        <v>5041</v>
      </c>
      <c r="T1674" t="s">
        <v>5042</v>
      </c>
      <c r="V1674" t="s">
        <v>5043</v>
      </c>
      <c r="W1674" t="s">
        <v>70</v>
      </c>
      <c r="AE1674" t="s">
        <v>478</v>
      </c>
      <c r="AF1674" t="s">
        <v>479</v>
      </c>
      <c r="AL1674" t="s">
        <v>919</v>
      </c>
      <c r="AM1674" t="s">
        <v>919</v>
      </c>
      <c r="AO1674" t="s">
        <v>480</v>
      </c>
      <c r="AP1674" t="s">
        <v>481</v>
      </c>
      <c r="AQ1674" t="s">
        <v>759</v>
      </c>
      <c r="AR1674" t="s">
        <v>482</v>
      </c>
      <c r="AS1674" t="s">
        <v>483</v>
      </c>
      <c r="AT1674" t="s">
        <v>484</v>
      </c>
      <c r="AU1674" t="s">
        <v>490</v>
      </c>
      <c r="AW1674" t="s">
        <v>486</v>
      </c>
      <c r="BF1674" s="1"/>
      <c r="BG1674" t="s">
        <v>71</v>
      </c>
      <c r="BH1674" t="s">
        <v>1366</v>
      </c>
      <c r="BP1674" t="s">
        <v>1489</v>
      </c>
    </row>
    <row r="1675" spans="1:68" x14ac:dyDescent="0.25">
      <c r="A1675" t="s">
        <v>5713</v>
      </c>
      <c r="B1675" t="s">
        <v>474</v>
      </c>
      <c r="C1675" t="s">
        <v>1486</v>
      </c>
      <c r="E1675" t="s">
        <v>480</v>
      </c>
      <c r="G1675" s="1" t="s">
        <v>5022</v>
      </c>
      <c r="H1675" t="s">
        <v>567</v>
      </c>
      <c r="J1675">
        <v>500000</v>
      </c>
      <c r="P1675" t="s">
        <v>151</v>
      </c>
      <c r="R1675" t="s">
        <v>1000</v>
      </c>
      <c r="S1675" t="s">
        <v>5044</v>
      </c>
      <c r="T1675" t="s">
        <v>5045</v>
      </c>
      <c r="V1675" t="s">
        <v>5046</v>
      </c>
      <c r="W1675" t="s">
        <v>70</v>
      </c>
      <c r="AE1675" t="s">
        <v>478</v>
      </c>
      <c r="AF1675" t="s">
        <v>479</v>
      </c>
      <c r="AL1675" t="s">
        <v>919</v>
      </c>
      <c r="AM1675" t="s">
        <v>919</v>
      </c>
      <c r="AO1675" t="s">
        <v>480</v>
      </c>
      <c r="AP1675" t="s">
        <v>481</v>
      </c>
      <c r="AQ1675" t="s">
        <v>773</v>
      </c>
      <c r="AR1675" t="s">
        <v>482</v>
      </c>
      <c r="AS1675" t="s">
        <v>483</v>
      </c>
      <c r="AT1675" t="s">
        <v>484</v>
      </c>
      <c r="AU1675" t="s">
        <v>490</v>
      </c>
      <c r="AW1675" t="s">
        <v>486</v>
      </c>
      <c r="BF1675" s="1"/>
      <c r="BG1675" t="s">
        <v>71</v>
      </c>
      <c r="BH1675" t="s">
        <v>1366</v>
      </c>
      <c r="BP1675" t="s">
        <v>1489</v>
      </c>
    </row>
    <row r="1676" spans="1:68" x14ac:dyDescent="0.25">
      <c r="A1676" t="s">
        <v>5713</v>
      </c>
      <c r="B1676" t="s">
        <v>474</v>
      </c>
      <c r="C1676" t="s">
        <v>1486</v>
      </c>
      <c r="E1676" t="s">
        <v>480</v>
      </c>
      <c r="G1676" s="1" t="s">
        <v>5022</v>
      </c>
      <c r="H1676" t="s">
        <v>575</v>
      </c>
      <c r="J1676">
        <v>500000</v>
      </c>
      <c r="P1676" t="s">
        <v>329</v>
      </c>
      <c r="R1676" t="s">
        <v>1000</v>
      </c>
      <c r="S1676" t="s">
        <v>5047</v>
      </c>
      <c r="T1676" t="s">
        <v>5048</v>
      </c>
      <c r="V1676" t="s">
        <v>5049</v>
      </c>
      <c r="W1676" t="s">
        <v>70</v>
      </c>
      <c r="AE1676" t="s">
        <v>478</v>
      </c>
      <c r="AF1676" t="s">
        <v>479</v>
      </c>
      <c r="AL1676" t="s">
        <v>919</v>
      </c>
      <c r="AM1676" t="s">
        <v>919</v>
      </c>
      <c r="AO1676" t="s">
        <v>480</v>
      </c>
      <c r="AP1676" t="s">
        <v>481</v>
      </c>
      <c r="AQ1676" t="s">
        <v>2338</v>
      </c>
      <c r="AR1676" t="s">
        <v>482</v>
      </c>
      <c r="AS1676" t="s">
        <v>483</v>
      </c>
      <c r="AT1676" t="s">
        <v>484</v>
      </c>
      <c r="AU1676" t="s">
        <v>490</v>
      </c>
      <c r="AW1676" t="s">
        <v>486</v>
      </c>
      <c r="BF1676" s="1"/>
      <c r="BG1676" t="s">
        <v>71</v>
      </c>
      <c r="BH1676" t="s">
        <v>1366</v>
      </c>
      <c r="BP1676" t="s">
        <v>1489</v>
      </c>
    </row>
    <row r="1677" spans="1:68" x14ac:dyDescent="0.25">
      <c r="A1677" t="s">
        <v>5713</v>
      </c>
      <c r="B1677" t="s">
        <v>474</v>
      </c>
      <c r="C1677" t="s">
        <v>1486</v>
      </c>
      <c r="E1677" t="s">
        <v>480</v>
      </c>
      <c r="G1677" s="1" t="s">
        <v>5022</v>
      </c>
      <c r="H1677" t="s">
        <v>581</v>
      </c>
      <c r="J1677">
        <v>500000</v>
      </c>
      <c r="P1677" t="s">
        <v>320</v>
      </c>
      <c r="R1677" t="s">
        <v>1000</v>
      </c>
      <c r="S1677" t="s">
        <v>5050</v>
      </c>
      <c r="T1677" t="s">
        <v>5051</v>
      </c>
      <c r="V1677" t="s">
        <v>5052</v>
      </c>
      <c r="W1677" t="s">
        <v>70</v>
      </c>
      <c r="AE1677" t="s">
        <v>478</v>
      </c>
      <c r="AF1677" t="s">
        <v>479</v>
      </c>
      <c r="AL1677" t="s">
        <v>919</v>
      </c>
      <c r="AM1677" t="s">
        <v>919</v>
      </c>
      <c r="AO1677" t="s">
        <v>480</v>
      </c>
      <c r="AP1677" t="s">
        <v>481</v>
      </c>
      <c r="AQ1677" t="s">
        <v>2341</v>
      </c>
      <c r="AR1677" t="s">
        <v>482</v>
      </c>
      <c r="AS1677" t="s">
        <v>483</v>
      </c>
      <c r="AT1677" t="s">
        <v>484</v>
      </c>
      <c r="AU1677" t="s">
        <v>490</v>
      </c>
      <c r="AW1677" t="s">
        <v>486</v>
      </c>
      <c r="BF1677" s="1"/>
      <c r="BG1677" t="s">
        <v>71</v>
      </c>
      <c r="BH1677" t="s">
        <v>1366</v>
      </c>
      <c r="BP1677" t="s">
        <v>1489</v>
      </c>
    </row>
    <row r="1678" spans="1:68" x14ac:dyDescent="0.25">
      <c r="A1678" t="s">
        <v>5713</v>
      </c>
      <c r="B1678" t="s">
        <v>474</v>
      </c>
      <c r="C1678" t="s">
        <v>1486</v>
      </c>
      <c r="E1678" t="s">
        <v>480</v>
      </c>
      <c r="G1678" s="1" t="s">
        <v>5022</v>
      </c>
      <c r="H1678" t="s">
        <v>585</v>
      </c>
      <c r="J1678">
        <v>500000</v>
      </c>
      <c r="P1678" t="s">
        <v>131</v>
      </c>
      <c r="R1678" t="s">
        <v>988</v>
      </c>
      <c r="S1678" t="s">
        <v>5053</v>
      </c>
      <c r="T1678" t="s">
        <v>5054</v>
      </c>
      <c r="V1678" t="s">
        <v>5055</v>
      </c>
      <c r="W1678" t="s">
        <v>70</v>
      </c>
      <c r="AE1678" t="s">
        <v>478</v>
      </c>
      <c r="AF1678" t="s">
        <v>479</v>
      </c>
      <c r="AL1678" t="s">
        <v>919</v>
      </c>
      <c r="AM1678" t="s">
        <v>919</v>
      </c>
      <c r="AO1678" t="s">
        <v>480</v>
      </c>
      <c r="AP1678" t="s">
        <v>481</v>
      </c>
      <c r="AQ1678" t="s">
        <v>516</v>
      </c>
      <c r="AR1678" t="s">
        <v>482</v>
      </c>
      <c r="AS1678" t="s">
        <v>483</v>
      </c>
      <c r="AT1678" t="s">
        <v>484</v>
      </c>
      <c r="AU1678" t="s">
        <v>490</v>
      </c>
      <c r="AW1678" t="s">
        <v>486</v>
      </c>
      <c r="BF1678" s="1"/>
      <c r="BG1678" t="s">
        <v>71</v>
      </c>
      <c r="BH1678" t="s">
        <v>1366</v>
      </c>
      <c r="BP1678" t="s">
        <v>1489</v>
      </c>
    </row>
    <row r="1679" spans="1:68" x14ac:dyDescent="0.25">
      <c r="A1679" t="s">
        <v>5713</v>
      </c>
      <c r="B1679" t="s">
        <v>474</v>
      </c>
      <c r="C1679" t="s">
        <v>1486</v>
      </c>
      <c r="E1679" t="s">
        <v>480</v>
      </c>
      <c r="G1679" s="1" t="s">
        <v>5022</v>
      </c>
      <c r="H1679" t="s">
        <v>598</v>
      </c>
      <c r="J1679">
        <v>500000</v>
      </c>
      <c r="P1679" t="s">
        <v>172</v>
      </c>
      <c r="R1679" t="s">
        <v>1000</v>
      </c>
      <c r="S1679" t="s">
        <v>5056</v>
      </c>
      <c r="T1679" t="s">
        <v>5057</v>
      </c>
      <c r="V1679" t="s">
        <v>5058</v>
      </c>
      <c r="W1679" t="s">
        <v>70</v>
      </c>
      <c r="AE1679" t="s">
        <v>478</v>
      </c>
      <c r="AF1679" t="s">
        <v>479</v>
      </c>
      <c r="AL1679" t="s">
        <v>919</v>
      </c>
      <c r="AM1679" t="s">
        <v>919</v>
      </c>
      <c r="AO1679" t="s">
        <v>480</v>
      </c>
      <c r="AP1679" t="s">
        <v>481</v>
      </c>
      <c r="AQ1679" t="s">
        <v>889</v>
      </c>
      <c r="AR1679" t="s">
        <v>482</v>
      </c>
      <c r="AS1679" t="s">
        <v>483</v>
      </c>
      <c r="AT1679" t="s">
        <v>484</v>
      </c>
      <c r="AU1679" t="s">
        <v>490</v>
      </c>
      <c r="AW1679" t="s">
        <v>486</v>
      </c>
      <c r="BF1679" s="1"/>
      <c r="BG1679" t="s">
        <v>71</v>
      </c>
      <c r="BH1679" t="s">
        <v>1366</v>
      </c>
      <c r="BP1679" t="s">
        <v>1489</v>
      </c>
    </row>
    <row r="1680" spans="1:68" x14ac:dyDescent="0.25">
      <c r="A1680" t="s">
        <v>5713</v>
      </c>
      <c r="B1680" t="s">
        <v>474</v>
      </c>
      <c r="C1680" t="s">
        <v>1486</v>
      </c>
      <c r="E1680" t="s">
        <v>480</v>
      </c>
      <c r="G1680" s="1" t="s">
        <v>5022</v>
      </c>
      <c r="H1680" t="s">
        <v>600</v>
      </c>
      <c r="J1680">
        <v>500000</v>
      </c>
      <c r="P1680" t="s">
        <v>144</v>
      </c>
      <c r="R1680" t="s">
        <v>988</v>
      </c>
      <c r="S1680" t="s">
        <v>5059</v>
      </c>
      <c r="T1680" t="s">
        <v>5060</v>
      </c>
      <c r="V1680" t="s">
        <v>5061</v>
      </c>
      <c r="W1680" t="s">
        <v>70</v>
      </c>
      <c r="AE1680" t="s">
        <v>478</v>
      </c>
      <c r="AF1680" t="s">
        <v>479</v>
      </c>
      <c r="AL1680" t="s">
        <v>919</v>
      </c>
      <c r="AM1680" t="s">
        <v>919</v>
      </c>
      <c r="AO1680" t="s">
        <v>480</v>
      </c>
      <c r="AP1680" t="s">
        <v>481</v>
      </c>
      <c r="AQ1680" t="s">
        <v>726</v>
      </c>
      <c r="AR1680" t="s">
        <v>482</v>
      </c>
      <c r="AS1680" t="s">
        <v>483</v>
      </c>
      <c r="AT1680" t="s">
        <v>484</v>
      </c>
      <c r="AU1680" t="s">
        <v>490</v>
      </c>
      <c r="AW1680" t="s">
        <v>486</v>
      </c>
      <c r="BF1680" s="1"/>
      <c r="BG1680" t="s">
        <v>71</v>
      </c>
      <c r="BH1680" t="s">
        <v>1366</v>
      </c>
      <c r="BP1680" t="s">
        <v>1489</v>
      </c>
    </row>
    <row r="1681" spans="1:68" x14ac:dyDescent="0.25">
      <c r="A1681" t="s">
        <v>5713</v>
      </c>
      <c r="B1681" t="s">
        <v>474</v>
      </c>
      <c r="C1681" t="s">
        <v>1486</v>
      </c>
      <c r="E1681" t="s">
        <v>480</v>
      </c>
      <c r="G1681" s="1" t="s">
        <v>5022</v>
      </c>
      <c r="H1681" t="s">
        <v>608</v>
      </c>
      <c r="J1681">
        <v>500000</v>
      </c>
      <c r="P1681" t="s">
        <v>149</v>
      </c>
      <c r="R1681" t="s">
        <v>988</v>
      </c>
      <c r="S1681" t="s">
        <v>5062</v>
      </c>
      <c r="T1681" t="s">
        <v>5063</v>
      </c>
      <c r="V1681" t="s">
        <v>5064</v>
      </c>
      <c r="W1681" t="s">
        <v>70</v>
      </c>
      <c r="AE1681" t="s">
        <v>478</v>
      </c>
      <c r="AF1681" t="s">
        <v>479</v>
      </c>
      <c r="AL1681" t="s">
        <v>919</v>
      </c>
      <c r="AM1681" t="s">
        <v>919</v>
      </c>
      <c r="AO1681" t="s">
        <v>480</v>
      </c>
      <c r="AP1681" t="s">
        <v>481</v>
      </c>
      <c r="AQ1681" t="s">
        <v>510</v>
      </c>
      <c r="AR1681" t="s">
        <v>482</v>
      </c>
      <c r="AS1681" t="s">
        <v>483</v>
      </c>
      <c r="AT1681" t="s">
        <v>484</v>
      </c>
      <c r="AU1681" t="s">
        <v>490</v>
      </c>
      <c r="AW1681" t="s">
        <v>486</v>
      </c>
      <c r="BF1681" s="1"/>
      <c r="BG1681" t="s">
        <v>71</v>
      </c>
      <c r="BH1681" t="s">
        <v>1366</v>
      </c>
      <c r="BP1681" t="s">
        <v>1489</v>
      </c>
    </row>
    <row r="1682" spans="1:68" x14ac:dyDescent="0.25">
      <c r="A1682" t="s">
        <v>5713</v>
      </c>
      <c r="B1682" t="s">
        <v>474</v>
      </c>
      <c r="C1682" t="s">
        <v>1486</v>
      </c>
      <c r="E1682" t="s">
        <v>480</v>
      </c>
      <c r="G1682" s="1" t="s">
        <v>5022</v>
      </c>
      <c r="H1682" t="s">
        <v>612</v>
      </c>
      <c r="J1682">
        <v>500000</v>
      </c>
      <c r="P1682" t="s">
        <v>165</v>
      </c>
      <c r="R1682" t="s">
        <v>988</v>
      </c>
      <c r="S1682" t="s">
        <v>5065</v>
      </c>
      <c r="T1682" t="s">
        <v>5066</v>
      </c>
      <c r="V1682" t="s">
        <v>5067</v>
      </c>
      <c r="W1682" t="s">
        <v>70</v>
      </c>
      <c r="AE1682" t="s">
        <v>478</v>
      </c>
      <c r="AF1682" t="s">
        <v>479</v>
      </c>
      <c r="AL1682" t="s">
        <v>919</v>
      </c>
      <c r="AM1682" t="s">
        <v>919</v>
      </c>
      <c r="AO1682" t="s">
        <v>480</v>
      </c>
      <c r="AP1682" t="s">
        <v>481</v>
      </c>
      <c r="AQ1682" t="s">
        <v>752</v>
      </c>
      <c r="AR1682" t="s">
        <v>482</v>
      </c>
      <c r="AS1682" t="s">
        <v>483</v>
      </c>
      <c r="AT1682" t="s">
        <v>484</v>
      </c>
      <c r="AU1682" t="s">
        <v>490</v>
      </c>
      <c r="AW1682" t="s">
        <v>486</v>
      </c>
      <c r="BF1682" s="1"/>
      <c r="BG1682" t="s">
        <v>71</v>
      </c>
      <c r="BH1682" t="s">
        <v>1366</v>
      </c>
      <c r="BP1682" t="s">
        <v>1489</v>
      </c>
    </row>
    <row r="1683" spans="1:68" x14ac:dyDescent="0.25">
      <c r="A1683" t="s">
        <v>5713</v>
      </c>
      <c r="B1683" t="s">
        <v>474</v>
      </c>
      <c r="C1683" t="s">
        <v>1486</v>
      </c>
      <c r="E1683" t="s">
        <v>480</v>
      </c>
      <c r="G1683" s="1" t="s">
        <v>5022</v>
      </c>
      <c r="H1683" t="s">
        <v>810</v>
      </c>
      <c r="J1683">
        <v>500000</v>
      </c>
      <c r="P1683" t="s">
        <v>146</v>
      </c>
      <c r="R1683" t="s">
        <v>1000</v>
      </c>
      <c r="S1683" t="s">
        <v>5068</v>
      </c>
      <c r="T1683" t="s">
        <v>5069</v>
      </c>
      <c r="V1683" t="s">
        <v>5070</v>
      </c>
      <c r="W1683" t="s">
        <v>70</v>
      </c>
      <c r="AE1683" t="s">
        <v>478</v>
      </c>
      <c r="AF1683" t="s">
        <v>479</v>
      </c>
      <c r="AL1683" t="s">
        <v>919</v>
      </c>
      <c r="AM1683" t="s">
        <v>919</v>
      </c>
      <c r="AO1683" t="s">
        <v>480</v>
      </c>
      <c r="AP1683" t="s">
        <v>481</v>
      </c>
      <c r="AQ1683" t="s">
        <v>733</v>
      </c>
      <c r="AR1683" t="s">
        <v>482</v>
      </c>
      <c r="AS1683" t="s">
        <v>483</v>
      </c>
      <c r="AT1683" t="s">
        <v>484</v>
      </c>
      <c r="AU1683" t="s">
        <v>490</v>
      </c>
      <c r="AW1683" t="s">
        <v>486</v>
      </c>
      <c r="BF1683" s="1"/>
      <c r="BG1683" t="s">
        <v>71</v>
      </c>
      <c r="BH1683" t="s">
        <v>1366</v>
      </c>
      <c r="BP1683" t="s">
        <v>1489</v>
      </c>
    </row>
    <row r="1684" spans="1:68" x14ac:dyDescent="0.25">
      <c r="A1684" t="s">
        <v>5713</v>
      </c>
      <c r="B1684" t="s">
        <v>474</v>
      </c>
      <c r="C1684" t="s">
        <v>1486</v>
      </c>
      <c r="E1684" t="s">
        <v>480</v>
      </c>
      <c r="G1684" s="1" t="s">
        <v>5022</v>
      </c>
      <c r="H1684" t="s">
        <v>811</v>
      </c>
      <c r="J1684">
        <v>500000</v>
      </c>
      <c r="P1684" t="s">
        <v>160</v>
      </c>
      <c r="R1684" t="s">
        <v>988</v>
      </c>
      <c r="S1684" t="s">
        <v>5071</v>
      </c>
      <c r="T1684" t="s">
        <v>5072</v>
      </c>
      <c r="V1684" t="s">
        <v>5073</v>
      </c>
      <c r="W1684" t="s">
        <v>70</v>
      </c>
      <c r="AE1684" t="s">
        <v>478</v>
      </c>
      <c r="AF1684" t="s">
        <v>479</v>
      </c>
      <c r="AL1684" t="s">
        <v>919</v>
      </c>
      <c r="AM1684" t="s">
        <v>919</v>
      </c>
      <c r="AO1684" t="s">
        <v>480</v>
      </c>
      <c r="AP1684" t="s">
        <v>481</v>
      </c>
      <c r="AQ1684" t="s">
        <v>730</v>
      </c>
      <c r="AR1684" t="s">
        <v>482</v>
      </c>
      <c r="AS1684" t="s">
        <v>483</v>
      </c>
      <c r="AT1684" t="s">
        <v>484</v>
      </c>
      <c r="AU1684" t="s">
        <v>490</v>
      </c>
      <c r="AW1684" t="s">
        <v>486</v>
      </c>
      <c r="BF1684" s="1"/>
      <c r="BG1684" t="s">
        <v>71</v>
      </c>
      <c r="BH1684" t="s">
        <v>1366</v>
      </c>
      <c r="BP1684" t="s">
        <v>1489</v>
      </c>
    </row>
    <row r="1685" spans="1:68" x14ac:dyDescent="0.25">
      <c r="A1685" t="s">
        <v>5713</v>
      </c>
      <c r="B1685" t="s">
        <v>474</v>
      </c>
      <c r="C1685" t="s">
        <v>1486</v>
      </c>
      <c r="E1685" t="s">
        <v>480</v>
      </c>
      <c r="G1685" s="1" t="s">
        <v>5022</v>
      </c>
      <c r="H1685" t="s">
        <v>817</v>
      </c>
      <c r="J1685">
        <v>500000</v>
      </c>
      <c r="P1685" t="s">
        <v>129</v>
      </c>
      <c r="R1685" t="s">
        <v>988</v>
      </c>
      <c r="S1685" t="s">
        <v>5074</v>
      </c>
      <c r="T1685" t="s">
        <v>5075</v>
      </c>
      <c r="V1685" t="s">
        <v>5076</v>
      </c>
      <c r="W1685" t="s">
        <v>73</v>
      </c>
      <c r="AE1685" t="s">
        <v>478</v>
      </c>
      <c r="AF1685" t="s">
        <v>479</v>
      </c>
      <c r="AL1685" t="s">
        <v>919</v>
      </c>
      <c r="AM1685" t="s">
        <v>919</v>
      </c>
      <c r="AO1685" t="s">
        <v>480</v>
      </c>
      <c r="AP1685" t="s">
        <v>481</v>
      </c>
      <c r="AQ1685" t="s">
        <v>691</v>
      </c>
      <c r="AR1685" t="s">
        <v>482</v>
      </c>
      <c r="AS1685" t="s">
        <v>483</v>
      </c>
      <c r="AT1685" t="s">
        <v>484</v>
      </c>
      <c r="AU1685" t="s">
        <v>521</v>
      </c>
      <c r="AW1685" t="s">
        <v>486</v>
      </c>
      <c r="BF1685" s="1"/>
      <c r="BG1685" t="s">
        <v>523</v>
      </c>
      <c r="BH1685" t="s">
        <v>1366</v>
      </c>
      <c r="BP1685" t="s">
        <v>1489</v>
      </c>
    </row>
    <row r="1686" spans="1:68" x14ac:dyDescent="0.25">
      <c r="A1686" t="s">
        <v>5713</v>
      </c>
      <c r="B1686" t="s">
        <v>474</v>
      </c>
      <c r="C1686" t="s">
        <v>1486</v>
      </c>
      <c r="E1686" t="s">
        <v>480</v>
      </c>
      <c r="G1686" s="1" t="s">
        <v>5022</v>
      </c>
      <c r="H1686" t="s">
        <v>820</v>
      </c>
      <c r="J1686">
        <v>500000</v>
      </c>
      <c r="P1686" t="s">
        <v>82</v>
      </c>
      <c r="R1686" t="s">
        <v>988</v>
      </c>
      <c r="S1686" t="s">
        <v>5077</v>
      </c>
      <c r="T1686" t="s">
        <v>5078</v>
      </c>
      <c r="V1686" t="s">
        <v>5079</v>
      </c>
      <c r="W1686" t="s">
        <v>73</v>
      </c>
      <c r="AE1686" t="s">
        <v>478</v>
      </c>
      <c r="AF1686" t="s">
        <v>479</v>
      </c>
      <c r="AL1686" t="s">
        <v>919</v>
      </c>
      <c r="AM1686" t="s">
        <v>919</v>
      </c>
      <c r="AO1686" t="s">
        <v>480</v>
      </c>
      <c r="AP1686" t="s">
        <v>481</v>
      </c>
      <c r="AQ1686" t="s">
        <v>541</v>
      </c>
      <c r="AR1686" t="s">
        <v>482</v>
      </c>
      <c r="AS1686" t="s">
        <v>483</v>
      </c>
      <c r="AT1686" t="s">
        <v>484</v>
      </c>
      <c r="AU1686" t="s">
        <v>521</v>
      </c>
      <c r="AW1686" t="s">
        <v>486</v>
      </c>
      <c r="BF1686" s="1"/>
      <c r="BG1686" t="s">
        <v>523</v>
      </c>
      <c r="BH1686" t="s">
        <v>1366</v>
      </c>
      <c r="BP1686" t="s">
        <v>1489</v>
      </c>
    </row>
    <row r="1687" spans="1:68" x14ac:dyDescent="0.25">
      <c r="A1687" t="s">
        <v>5713</v>
      </c>
      <c r="B1687" t="s">
        <v>474</v>
      </c>
      <c r="C1687" t="s">
        <v>1486</v>
      </c>
      <c r="E1687" t="s">
        <v>480</v>
      </c>
      <c r="G1687" s="1" t="s">
        <v>5022</v>
      </c>
      <c r="H1687" t="s">
        <v>960</v>
      </c>
      <c r="J1687">
        <v>500000</v>
      </c>
      <c r="P1687" t="s">
        <v>150</v>
      </c>
      <c r="R1687" t="s">
        <v>988</v>
      </c>
      <c r="S1687" t="s">
        <v>5080</v>
      </c>
      <c r="T1687" t="s">
        <v>5081</v>
      </c>
      <c r="V1687" t="s">
        <v>5082</v>
      </c>
      <c r="W1687" t="s">
        <v>73</v>
      </c>
      <c r="AE1687" t="s">
        <v>478</v>
      </c>
      <c r="AF1687" t="s">
        <v>479</v>
      </c>
      <c r="AL1687" t="s">
        <v>919</v>
      </c>
      <c r="AM1687" t="s">
        <v>919</v>
      </c>
      <c r="AO1687" t="s">
        <v>480</v>
      </c>
      <c r="AP1687" t="s">
        <v>481</v>
      </c>
      <c r="AQ1687" t="s">
        <v>570</v>
      </c>
      <c r="AR1687" t="s">
        <v>482</v>
      </c>
      <c r="AS1687" t="s">
        <v>483</v>
      </c>
      <c r="AT1687" t="s">
        <v>484</v>
      </c>
      <c r="AU1687" t="s">
        <v>521</v>
      </c>
      <c r="AW1687" t="s">
        <v>486</v>
      </c>
      <c r="BF1687" s="1"/>
      <c r="BG1687" t="s">
        <v>523</v>
      </c>
      <c r="BH1687" t="s">
        <v>1366</v>
      </c>
      <c r="BP1687" t="s">
        <v>1489</v>
      </c>
    </row>
    <row r="1688" spans="1:68" x14ac:dyDescent="0.25">
      <c r="A1688" t="s">
        <v>5713</v>
      </c>
      <c r="B1688" t="s">
        <v>474</v>
      </c>
      <c r="C1688" t="s">
        <v>1486</v>
      </c>
      <c r="E1688" t="s">
        <v>480</v>
      </c>
      <c r="G1688" s="1" t="s">
        <v>5022</v>
      </c>
      <c r="H1688" t="s">
        <v>965</v>
      </c>
      <c r="J1688">
        <v>500000</v>
      </c>
      <c r="P1688" t="s">
        <v>154</v>
      </c>
      <c r="R1688" t="s">
        <v>988</v>
      </c>
      <c r="S1688" t="s">
        <v>5083</v>
      </c>
      <c r="T1688" t="s">
        <v>5084</v>
      </c>
      <c r="V1688" t="s">
        <v>5085</v>
      </c>
      <c r="W1688" t="s">
        <v>73</v>
      </c>
      <c r="AE1688" t="s">
        <v>478</v>
      </c>
      <c r="AF1688" t="s">
        <v>479</v>
      </c>
      <c r="AL1688" t="s">
        <v>919</v>
      </c>
      <c r="AM1688" t="s">
        <v>919</v>
      </c>
      <c r="AO1688" t="s">
        <v>480</v>
      </c>
      <c r="AP1688" t="s">
        <v>481</v>
      </c>
      <c r="AQ1688" t="s">
        <v>531</v>
      </c>
      <c r="AR1688" t="s">
        <v>482</v>
      </c>
      <c r="AS1688" t="s">
        <v>483</v>
      </c>
      <c r="AT1688" t="s">
        <v>484</v>
      </c>
      <c r="AU1688" t="s">
        <v>521</v>
      </c>
      <c r="AW1688" t="s">
        <v>486</v>
      </c>
      <c r="BF1688" s="1"/>
      <c r="BG1688" t="s">
        <v>523</v>
      </c>
      <c r="BH1688" t="s">
        <v>1366</v>
      </c>
      <c r="BP1688" t="s">
        <v>1489</v>
      </c>
    </row>
    <row r="1689" spans="1:68" x14ac:dyDescent="0.25">
      <c r="A1689" t="s">
        <v>5713</v>
      </c>
      <c r="B1689" t="s">
        <v>474</v>
      </c>
      <c r="C1689" t="s">
        <v>1486</v>
      </c>
      <c r="E1689" t="s">
        <v>480</v>
      </c>
      <c r="G1689" s="1" t="s">
        <v>5022</v>
      </c>
      <c r="H1689" t="s">
        <v>961</v>
      </c>
      <c r="J1689">
        <v>500000</v>
      </c>
      <c r="P1689" t="s">
        <v>102</v>
      </c>
      <c r="R1689" t="s">
        <v>988</v>
      </c>
      <c r="S1689" t="s">
        <v>5086</v>
      </c>
      <c r="T1689" t="s">
        <v>5087</v>
      </c>
      <c r="V1689" t="s">
        <v>5088</v>
      </c>
      <c r="W1689" t="s">
        <v>73</v>
      </c>
      <c r="AE1689" t="s">
        <v>478</v>
      </c>
      <c r="AF1689" t="s">
        <v>479</v>
      </c>
      <c r="AL1689" t="s">
        <v>919</v>
      </c>
      <c r="AM1689" t="s">
        <v>919</v>
      </c>
      <c r="AO1689" t="s">
        <v>480</v>
      </c>
      <c r="AP1689" t="s">
        <v>481</v>
      </c>
      <c r="AQ1689" t="s">
        <v>646</v>
      </c>
      <c r="AR1689" t="s">
        <v>482</v>
      </c>
      <c r="AS1689" t="s">
        <v>483</v>
      </c>
      <c r="AT1689" t="s">
        <v>484</v>
      </c>
      <c r="AU1689" t="s">
        <v>521</v>
      </c>
      <c r="AW1689" t="s">
        <v>486</v>
      </c>
      <c r="BF1689" s="1"/>
      <c r="BG1689" t="s">
        <v>523</v>
      </c>
      <c r="BH1689" t="s">
        <v>1366</v>
      </c>
      <c r="BP1689" t="s">
        <v>1489</v>
      </c>
    </row>
    <row r="1690" spans="1:68" x14ac:dyDescent="0.25">
      <c r="A1690" t="s">
        <v>5713</v>
      </c>
      <c r="B1690" t="s">
        <v>474</v>
      </c>
      <c r="C1690" t="s">
        <v>1486</v>
      </c>
      <c r="E1690" t="s">
        <v>480</v>
      </c>
      <c r="G1690" s="1" t="s">
        <v>5022</v>
      </c>
      <c r="H1690" t="s">
        <v>966</v>
      </c>
      <c r="J1690">
        <v>500000</v>
      </c>
      <c r="P1690" t="s">
        <v>81</v>
      </c>
      <c r="R1690" t="s">
        <v>988</v>
      </c>
      <c r="S1690" t="s">
        <v>5089</v>
      </c>
      <c r="T1690" t="s">
        <v>5090</v>
      </c>
      <c r="V1690" t="s">
        <v>5091</v>
      </c>
      <c r="W1690" t="s">
        <v>73</v>
      </c>
      <c r="AE1690" t="s">
        <v>478</v>
      </c>
      <c r="AF1690" t="s">
        <v>479</v>
      </c>
      <c r="AL1690" t="s">
        <v>919</v>
      </c>
      <c r="AM1690" t="s">
        <v>919</v>
      </c>
      <c r="AO1690" t="s">
        <v>480</v>
      </c>
      <c r="AP1690" t="s">
        <v>481</v>
      </c>
      <c r="AQ1690" t="s">
        <v>805</v>
      </c>
      <c r="AR1690" t="s">
        <v>482</v>
      </c>
      <c r="AS1690" t="s">
        <v>483</v>
      </c>
      <c r="AT1690" t="s">
        <v>484</v>
      </c>
      <c r="AU1690" t="s">
        <v>521</v>
      </c>
      <c r="AW1690" t="s">
        <v>486</v>
      </c>
      <c r="BF1690" s="1"/>
      <c r="BG1690" t="s">
        <v>523</v>
      </c>
      <c r="BH1690" t="s">
        <v>1366</v>
      </c>
      <c r="BP1690" t="s">
        <v>1489</v>
      </c>
    </row>
    <row r="1691" spans="1:68" x14ac:dyDescent="0.25">
      <c r="A1691" t="s">
        <v>5713</v>
      </c>
      <c r="B1691" t="s">
        <v>474</v>
      </c>
      <c r="C1691" t="s">
        <v>1486</v>
      </c>
      <c r="E1691" t="s">
        <v>480</v>
      </c>
      <c r="G1691" s="1" t="s">
        <v>5022</v>
      </c>
      <c r="H1691" t="s">
        <v>967</v>
      </c>
      <c r="J1691">
        <v>500000</v>
      </c>
      <c r="P1691" t="s">
        <v>128</v>
      </c>
      <c r="R1691" t="s">
        <v>988</v>
      </c>
      <c r="S1691" t="s">
        <v>5092</v>
      </c>
      <c r="T1691" t="s">
        <v>5093</v>
      </c>
      <c r="V1691" t="s">
        <v>5094</v>
      </c>
      <c r="W1691" t="s">
        <v>73</v>
      </c>
      <c r="AE1691" t="s">
        <v>478</v>
      </c>
      <c r="AF1691" t="s">
        <v>479</v>
      </c>
      <c r="AL1691" t="s">
        <v>919</v>
      </c>
      <c r="AM1691" t="s">
        <v>919</v>
      </c>
      <c r="AO1691" t="s">
        <v>480</v>
      </c>
      <c r="AP1691" t="s">
        <v>481</v>
      </c>
      <c r="AQ1691" t="s">
        <v>528</v>
      </c>
      <c r="AR1691" t="s">
        <v>482</v>
      </c>
      <c r="AS1691" t="s">
        <v>483</v>
      </c>
      <c r="AT1691" t="s">
        <v>484</v>
      </c>
      <c r="AU1691" t="s">
        <v>521</v>
      </c>
      <c r="AW1691" t="s">
        <v>486</v>
      </c>
      <c r="BF1691" s="1"/>
      <c r="BG1691" t="s">
        <v>523</v>
      </c>
      <c r="BH1691" t="s">
        <v>1366</v>
      </c>
      <c r="BP1691" t="s">
        <v>1489</v>
      </c>
    </row>
    <row r="1692" spans="1:68" x14ac:dyDescent="0.25">
      <c r="A1692" t="s">
        <v>5713</v>
      </c>
      <c r="B1692" t="s">
        <v>474</v>
      </c>
      <c r="C1692" t="s">
        <v>1486</v>
      </c>
      <c r="E1692" t="s">
        <v>480</v>
      </c>
      <c r="G1692" s="1" t="s">
        <v>5022</v>
      </c>
      <c r="H1692" t="s">
        <v>962</v>
      </c>
      <c r="J1692">
        <v>500000</v>
      </c>
      <c r="P1692" t="s">
        <v>94</v>
      </c>
      <c r="R1692" t="s">
        <v>988</v>
      </c>
      <c r="S1692" t="s">
        <v>5095</v>
      </c>
      <c r="T1692" t="s">
        <v>5096</v>
      </c>
      <c r="V1692" t="s">
        <v>5097</v>
      </c>
      <c r="W1692" t="s">
        <v>73</v>
      </c>
      <c r="AE1692" t="s">
        <v>478</v>
      </c>
      <c r="AF1692" t="s">
        <v>479</v>
      </c>
      <c r="AL1692" t="s">
        <v>919</v>
      </c>
      <c r="AM1692" t="s">
        <v>919</v>
      </c>
      <c r="AO1692" t="s">
        <v>480</v>
      </c>
      <c r="AP1692" t="s">
        <v>481</v>
      </c>
      <c r="AQ1692" t="s">
        <v>555</v>
      </c>
      <c r="AR1692" t="s">
        <v>482</v>
      </c>
      <c r="AS1692" t="s">
        <v>483</v>
      </c>
      <c r="AT1692" t="s">
        <v>484</v>
      </c>
      <c r="AU1692" t="s">
        <v>521</v>
      </c>
      <c r="AW1692" t="s">
        <v>486</v>
      </c>
      <c r="BF1692" s="1"/>
      <c r="BG1692" t="s">
        <v>523</v>
      </c>
      <c r="BH1692" t="s">
        <v>1366</v>
      </c>
      <c r="BP1692" t="s">
        <v>1489</v>
      </c>
    </row>
    <row r="1693" spans="1:68" x14ac:dyDescent="0.25">
      <c r="A1693" t="s">
        <v>5713</v>
      </c>
      <c r="B1693" t="s">
        <v>474</v>
      </c>
      <c r="C1693" t="s">
        <v>1486</v>
      </c>
      <c r="E1693" t="s">
        <v>480</v>
      </c>
      <c r="G1693" s="1" t="s">
        <v>5022</v>
      </c>
      <c r="H1693" t="s">
        <v>968</v>
      </c>
      <c r="J1693">
        <v>500000</v>
      </c>
      <c r="P1693" t="s">
        <v>135</v>
      </c>
      <c r="R1693" t="s">
        <v>988</v>
      </c>
      <c r="S1693" t="s">
        <v>5098</v>
      </c>
      <c r="T1693" t="s">
        <v>5099</v>
      </c>
      <c r="V1693" t="s">
        <v>5100</v>
      </c>
      <c r="W1693" t="s">
        <v>73</v>
      </c>
      <c r="AE1693" t="s">
        <v>478</v>
      </c>
      <c r="AF1693" t="s">
        <v>479</v>
      </c>
      <c r="AL1693" t="s">
        <v>919</v>
      </c>
      <c r="AM1693" t="s">
        <v>919</v>
      </c>
      <c r="AO1693" t="s">
        <v>480</v>
      </c>
      <c r="AP1693" t="s">
        <v>481</v>
      </c>
      <c r="AQ1693" t="s">
        <v>574</v>
      </c>
      <c r="AR1693" t="s">
        <v>482</v>
      </c>
      <c r="AS1693" t="s">
        <v>483</v>
      </c>
      <c r="AT1693" t="s">
        <v>484</v>
      </c>
      <c r="AU1693" t="s">
        <v>521</v>
      </c>
      <c r="AW1693" t="s">
        <v>486</v>
      </c>
      <c r="BF1693" s="1"/>
      <c r="BG1693" t="s">
        <v>523</v>
      </c>
      <c r="BH1693" t="s">
        <v>1366</v>
      </c>
      <c r="BP1693" t="s">
        <v>1489</v>
      </c>
    </row>
    <row r="1694" spans="1:68" x14ac:dyDescent="0.25">
      <c r="A1694" t="s">
        <v>5713</v>
      </c>
      <c r="B1694" t="s">
        <v>474</v>
      </c>
      <c r="C1694" t="s">
        <v>1486</v>
      </c>
      <c r="E1694" t="s">
        <v>480</v>
      </c>
      <c r="G1694" s="1" t="s">
        <v>5022</v>
      </c>
      <c r="H1694" t="s">
        <v>969</v>
      </c>
      <c r="J1694">
        <v>500000</v>
      </c>
      <c r="P1694" t="s">
        <v>126</v>
      </c>
      <c r="R1694" t="s">
        <v>988</v>
      </c>
      <c r="S1694" t="s">
        <v>5101</v>
      </c>
      <c r="T1694" t="s">
        <v>5102</v>
      </c>
      <c r="V1694" t="s">
        <v>5103</v>
      </c>
      <c r="W1694" t="s">
        <v>73</v>
      </c>
      <c r="AE1694" t="s">
        <v>478</v>
      </c>
      <c r="AF1694" t="s">
        <v>479</v>
      </c>
      <c r="AL1694" t="s">
        <v>919</v>
      </c>
      <c r="AM1694" t="s">
        <v>919</v>
      </c>
      <c r="AO1694" t="s">
        <v>480</v>
      </c>
      <c r="AP1694" t="s">
        <v>481</v>
      </c>
      <c r="AQ1694" t="s">
        <v>639</v>
      </c>
      <c r="AR1694" t="s">
        <v>482</v>
      </c>
      <c r="AS1694" t="s">
        <v>483</v>
      </c>
      <c r="AT1694" t="s">
        <v>484</v>
      </c>
      <c r="AU1694" t="s">
        <v>521</v>
      </c>
      <c r="AW1694" t="s">
        <v>486</v>
      </c>
      <c r="BF1694" s="1"/>
      <c r="BG1694" t="s">
        <v>523</v>
      </c>
      <c r="BH1694" t="s">
        <v>1366</v>
      </c>
      <c r="BP1694" t="s">
        <v>1489</v>
      </c>
    </row>
    <row r="1695" spans="1:68" x14ac:dyDescent="0.25">
      <c r="A1695" t="s">
        <v>5713</v>
      </c>
      <c r="B1695" t="s">
        <v>474</v>
      </c>
      <c r="C1695" t="s">
        <v>1486</v>
      </c>
      <c r="E1695" t="s">
        <v>480</v>
      </c>
      <c r="G1695" s="1" t="s">
        <v>5022</v>
      </c>
      <c r="H1695" t="s">
        <v>963</v>
      </c>
      <c r="J1695">
        <v>500000</v>
      </c>
      <c r="P1695" t="s">
        <v>155</v>
      </c>
      <c r="R1695" t="s">
        <v>988</v>
      </c>
      <c r="S1695" t="s">
        <v>5104</v>
      </c>
      <c r="T1695" t="s">
        <v>5105</v>
      </c>
      <c r="V1695" t="s">
        <v>5106</v>
      </c>
      <c r="W1695" t="s">
        <v>73</v>
      </c>
      <c r="AE1695" t="s">
        <v>478</v>
      </c>
      <c r="AF1695" t="s">
        <v>479</v>
      </c>
      <c r="AL1695" t="s">
        <v>919</v>
      </c>
      <c r="AM1695" t="s">
        <v>919</v>
      </c>
      <c r="AO1695" t="s">
        <v>480</v>
      </c>
      <c r="AP1695" t="s">
        <v>481</v>
      </c>
      <c r="AQ1695" t="s">
        <v>610</v>
      </c>
      <c r="AR1695" t="s">
        <v>482</v>
      </c>
      <c r="AS1695" t="s">
        <v>483</v>
      </c>
      <c r="AT1695" t="s">
        <v>484</v>
      </c>
      <c r="AU1695" t="s">
        <v>521</v>
      </c>
      <c r="AW1695" t="s">
        <v>486</v>
      </c>
      <c r="BF1695" s="1"/>
      <c r="BG1695" t="s">
        <v>523</v>
      </c>
      <c r="BH1695" t="s">
        <v>1366</v>
      </c>
      <c r="BP1695" t="s">
        <v>1489</v>
      </c>
    </row>
    <row r="1696" spans="1:68" x14ac:dyDescent="0.25">
      <c r="A1696" t="s">
        <v>5713</v>
      </c>
      <c r="B1696" t="s">
        <v>474</v>
      </c>
      <c r="C1696" t="s">
        <v>1486</v>
      </c>
      <c r="E1696" t="s">
        <v>480</v>
      </c>
      <c r="G1696" s="1" t="s">
        <v>5022</v>
      </c>
      <c r="H1696" t="s">
        <v>964</v>
      </c>
      <c r="J1696">
        <v>500000</v>
      </c>
      <c r="P1696" t="s">
        <v>98</v>
      </c>
      <c r="R1696" t="s">
        <v>988</v>
      </c>
      <c r="S1696" t="s">
        <v>5107</v>
      </c>
      <c r="T1696" t="s">
        <v>5108</v>
      </c>
      <c r="V1696" t="s">
        <v>5109</v>
      </c>
      <c r="W1696" t="s">
        <v>73</v>
      </c>
      <c r="AE1696" t="s">
        <v>478</v>
      </c>
      <c r="AF1696" t="s">
        <v>479</v>
      </c>
      <c r="AL1696" t="s">
        <v>919</v>
      </c>
      <c r="AM1696" t="s">
        <v>919</v>
      </c>
      <c r="AO1696" t="s">
        <v>480</v>
      </c>
      <c r="AP1696" t="s">
        <v>481</v>
      </c>
      <c r="AQ1696" t="s">
        <v>580</v>
      </c>
      <c r="AR1696" t="s">
        <v>482</v>
      </c>
      <c r="AS1696" t="s">
        <v>483</v>
      </c>
      <c r="AT1696" t="s">
        <v>484</v>
      </c>
      <c r="AU1696" t="s">
        <v>521</v>
      </c>
      <c r="AW1696" t="s">
        <v>486</v>
      </c>
      <c r="BF1696" s="1"/>
      <c r="BG1696" t="s">
        <v>523</v>
      </c>
      <c r="BH1696" t="s">
        <v>1366</v>
      </c>
      <c r="BP1696" t="s">
        <v>1489</v>
      </c>
    </row>
    <row r="1697" spans="1:68" x14ac:dyDescent="0.25">
      <c r="A1697" t="s">
        <v>5713</v>
      </c>
      <c r="B1697" t="s">
        <v>474</v>
      </c>
      <c r="C1697" t="s">
        <v>1486</v>
      </c>
      <c r="E1697" t="s">
        <v>480</v>
      </c>
      <c r="G1697" s="1" t="s">
        <v>5022</v>
      </c>
      <c r="H1697" t="s">
        <v>1127</v>
      </c>
      <c r="J1697">
        <v>500000</v>
      </c>
      <c r="P1697" t="s">
        <v>114</v>
      </c>
      <c r="R1697" t="s">
        <v>988</v>
      </c>
      <c r="S1697" t="s">
        <v>5110</v>
      </c>
      <c r="T1697" t="s">
        <v>5111</v>
      </c>
      <c r="V1697" t="s">
        <v>5112</v>
      </c>
      <c r="W1697" t="s">
        <v>73</v>
      </c>
      <c r="AE1697" t="s">
        <v>478</v>
      </c>
      <c r="AF1697" t="s">
        <v>479</v>
      </c>
      <c r="AL1697" t="s">
        <v>919</v>
      </c>
      <c r="AM1697" t="s">
        <v>919</v>
      </c>
      <c r="AO1697" t="s">
        <v>480</v>
      </c>
      <c r="AP1697" t="s">
        <v>481</v>
      </c>
      <c r="AQ1697" t="s">
        <v>584</v>
      </c>
      <c r="AR1697" t="s">
        <v>482</v>
      </c>
      <c r="AS1697" t="s">
        <v>483</v>
      </c>
      <c r="AT1697" t="s">
        <v>484</v>
      </c>
      <c r="AU1697" t="s">
        <v>521</v>
      </c>
      <c r="AW1697" t="s">
        <v>486</v>
      </c>
      <c r="BF1697" s="1"/>
      <c r="BG1697" t="s">
        <v>523</v>
      </c>
      <c r="BH1697" t="s">
        <v>1366</v>
      </c>
      <c r="BP1697" t="s">
        <v>1489</v>
      </c>
    </row>
    <row r="1698" spans="1:68" x14ac:dyDescent="0.25">
      <c r="A1698" t="s">
        <v>5713</v>
      </c>
      <c r="B1698" t="s">
        <v>474</v>
      </c>
      <c r="C1698" t="s">
        <v>1486</v>
      </c>
      <c r="E1698" t="s">
        <v>480</v>
      </c>
      <c r="G1698" s="1" t="s">
        <v>5022</v>
      </c>
      <c r="H1698" t="s">
        <v>936</v>
      </c>
      <c r="J1698">
        <v>500000</v>
      </c>
      <c r="P1698" t="s">
        <v>86</v>
      </c>
      <c r="R1698" t="s">
        <v>1000</v>
      </c>
      <c r="S1698" t="s">
        <v>5113</v>
      </c>
      <c r="T1698" t="s">
        <v>5114</v>
      </c>
      <c r="V1698" t="s">
        <v>5115</v>
      </c>
      <c r="W1698" t="s">
        <v>73</v>
      </c>
      <c r="AE1698" t="s">
        <v>478</v>
      </c>
      <c r="AF1698" t="s">
        <v>479</v>
      </c>
      <c r="AL1698" t="s">
        <v>919</v>
      </c>
      <c r="AM1698" t="s">
        <v>919</v>
      </c>
      <c r="AO1698" t="s">
        <v>480</v>
      </c>
      <c r="AP1698" t="s">
        <v>481</v>
      </c>
      <c r="AQ1698" t="s">
        <v>566</v>
      </c>
      <c r="AR1698" t="s">
        <v>482</v>
      </c>
      <c r="AS1698" t="s">
        <v>483</v>
      </c>
      <c r="AT1698" t="s">
        <v>484</v>
      </c>
      <c r="AU1698" t="s">
        <v>521</v>
      </c>
      <c r="AW1698" t="s">
        <v>486</v>
      </c>
      <c r="BF1698" s="1"/>
      <c r="BG1698" t="s">
        <v>523</v>
      </c>
      <c r="BH1698" t="s">
        <v>1366</v>
      </c>
      <c r="BP1698" t="s">
        <v>1489</v>
      </c>
    </row>
    <row r="1699" spans="1:68" x14ac:dyDescent="0.25">
      <c r="A1699" t="s">
        <v>5713</v>
      </c>
      <c r="B1699" t="s">
        <v>474</v>
      </c>
      <c r="C1699" t="s">
        <v>1486</v>
      </c>
      <c r="E1699" t="s">
        <v>480</v>
      </c>
      <c r="G1699" s="1" t="s">
        <v>5022</v>
      </c>
      <c r="H1699" t="s">
        <v>971</v>
      </c>
      <c r="J1699">
        <v>500000</v>
      </c>
      <c r="P1699" t="s">
        <v>78</v>
      </c>
      <c r="R1699" t="s">
        <v>988</v>
      </c>
      <c r="S1699" t="s">
        <v>5116</v>
      </c>
      <c r="T1699" t="s">
        <v>5117</v>
      </c>
      <c r="V1699" t="s">
        <v>5118</v>
      </c>
      <c r="W1699" t="s">
        <v>73</v>
      </c>
      <c r="AE1699" t="s">
        <v>478</v>
      </c>
      <c r="AF1699" t="s">
        <v>479</v>
      </c>
      <c r="AL1699" t="s">
        <v>919</v>
      </c>
      <c r="AM1699" t="s">
        <v>919</v>
      </c>
      <c r="AO1699" t="s">
        <v>480</v>
      </c>
      <c r="AP1699" t="s">
        <v>481</v>
      </c>
      <c r="AQ1699" t="s">
        <v>631</v>
      </c>
      <c r="AR1699" t="s">
        <v>482</v>
      </c>
      <c r="AS1699" t="s">
        <v>483</v>
      </c>
      <c r="AT1699" t="s">
        <v>484</v>
      </c>
      <c r="AU1699" t="s">
        <v>521</v>
      </c>
      <c r="AW1699" t="s">
        <v>486</v>
      </c>
      <c r="BF1699" s="1"/>
      <c r="BG1699" t="s">
        <v>523</v>
      </c>
      <c r="BH1699" t="s">
        <v>1366</v>
      </c>
      <c r="BP1699" t="s">
        <v>1489</v>
      </c>
    </row>
    <row r="1700" spans="1:68" x14ac:dyDescent="0.25">
      <c r="A1700" t="s">
        <v>5713</v>
      </c>
      <c r="B1700" t="s">
        <v>474</v>
      </c>
      <c r="C1700" t="s">
        <v>1486</v>
      </c>
      <c r="E1700" t="s">
        <v>480</v>
      </c>
      <c r="G1700" s="1" t="s">
        <v>5022</v>
      </c>
      <c r="H1700" t="s">
        <v>938</v>
      </c>
      <c r="J1700">
        <v>500000</v>
      </c>
      <c r="P1700" t="s">
        <v>148</v>
      </c>
      <c r="R1700" t="s">
        <v>1000</v>
      </c>
      <c r="S1700" t="s">
        <v>5119</v>
      </c>
      <c r="T1700" t="s">
        <v>5120</v>
      </c>
      <c r="V1700" t="s">
        <v>5121</v>
      </c>
      <c r="W1700" t="s">
        <v>73</v>
      </c>
      <c r="AE1700" t="s">
        <v>478</v>
      </c>
      <c r="AF1700" t="s">
        <v>479</v>
      </c>
      <c r="AL1700" t="s">
        <v>919</v>
      </c>
      <c r="AM1700" t="s">
        <v>919</v>
      </c>
      <c r="AO1700" t="s">
        <v>480</v>
      </c>
      <c r="AP1700" t="s">
        <v>481</v>
      </c>
      <c r="AQ1700" t="s">
        <v>591</v>
      </c>
      <c r="AR1700" t="s">
        <v>482</v>
      </c>
      <c r="AS1700" t="s">
        <v>483</v>
      </c>
      <c r="AT1700" t="s">
        <v>484</v>
      </c>
      <c r="AU1700" t="s">
        <v>521</v>
      </c>
      <c r="AW1700" t="s">
        <v>486</v>
      </c>
      <c r="BF1700" s="1"/>
      <c r="BG1700" t="s">
        <v>523</v>
      </c>
      <c r="BH1700" t="s">
        <v>1366</v>
      </c>
      <c r="BP1700" t="s">
        <v>1489</v>
      </c>
    </row>
    <row r="1701" spans="1:68" x14ac:dyDescent="0.25">
      <c r="A1701" t="s">
        <v>5713</v>
      </c>
      <c r="B1701" t="s">
        <v>474</v>
      </c>
      <c r="C1701" t="s">
        <v>1486</v>
      </c>
      <c r="E1701" t="s">
        <v>480</v>
      </c>
      <c r="G1701" s="1" t="s">
        <v>5022</v>
      </c>
      <c r="H1701" t="s">
        <v>973</v>
      </c>
      <c r="J1701">
        <v>500000</v>
      </c>
      <c r="P1701" t="s">
        <v>136</v>
      </c>
      <c r="R1701" t="s">
        <v>988</v>
      </c>
      <c r="S1701" t="s">
        <v>5122</v>
      </c>
      <c r="T1701" t="s">
        <v>5123</v>
      </c>
      <c r="V1701" t="s">
        <v>5124</v>
      </c>
      <c r="W1701" t="s">
        <v>73</v>
      </c>
      <c r="AE1701" t="s">
        <v>478</v>
      </c>
      <c r="AF1701" t="s">
        <v>479</v>
      </c>
      <c r="AL1701" t="s">
        <v>919</v>
      </c>
      <c r="AM1701" t="s">
        <v>919</v>
      </c>
      <c r="AO1701" t="s">
        <v>480</v>
      </c>
      <c r="AP1701" t="s">
        <v>481</v>
      </c>
      <c r="AQ1701" t="s">
        <v>790</v>
      </c>
      <c r="AR1701" t="s">
        <v>482</v>
      </c>
      <c r="AS1701" t="s">
        <v>483</v>
      </c>
      <c r="AT1701" t="s">
        <v>484</v>
      </c>
      <c r="AU1701" t="s">
        <v>521</v>
      </c>
      <c r="AW1701" t="s">
        <v>486</v>
      </c>
      <c r="BF1701" s="1"/>
      <c r="BG1701" t="s">
        <v>523</v>
      </c>
      <c r="BH1701" t="s">
        <v>1366</v>
      </c>
      <c r="BP1701" t="s">
        <v>1489</v>
      </c>
    </row>
    <row r="1702" spans="1:68" x14ac:dyDescent="0.25">
      <c r="A1702" t="s">
        <v>5713</v>
      </c>
      <c r="B1702" t="s">
        <v>474</v>
      </c>
      <c r="C1702" t="s">
        <v>1486</v>
      </c>
      <c r="E1702" t="s">
        <v>480</v>
      </c>
      <c r="G1702" s="1" t="s">
        <v>5022</v>
      </c>
      <c r="H1702" t="s">
        <v>1133</v>
      </c>
      <c r="J1702">
        <v>500000</v>
      </c>
      <c r="P1702" t="s">
        <v>103</v>
      </c>
      <c r="R1702" t="s">
        <v>988</v>
      </c>
      <c r="S1702" t="s">
        <v>5125</v>
      </c>
      <c r="T1702" t="s">
        <v>5126</v>
      </c>
      <c r="V1702" t="s">
        <v>5127</v>
      </c>
      <c r="W1702" t="s">
        <v>73</v>
      </c>
      <c r="AE1702" t="s">
        <v>478</v>
      </c>
      <c r="AF1702" t="s">
        <v>479</v>
      </c>
      <c r="AL1702" t="s">
        <v>919</v>
      </c>
      <c r="AM1702" t="s">
        <v>919</v>
      </c>
      <c r="AO1702" t="s">
        <v>480</v>
      </c>
      <c r="AP1702" t="s">
        <v>481</v>
      </c>
      <c r="AQ1702" t="s">
        <v>545</v>
      </c>
      <c r="AR1702" t="s">
        <v>482</v>
      </c>
      <c r="AS1702" t="s">
        <v>483</v>
      </c>
      <c r="AT1702" t="s">
        <v>484</v>
      </c>
      <c r="AU1702" t="s">
        <v>521</v>
      </c>
      <c r="AW1702" t="s">
        <v>486</v>
      </c>
      <c r="BF1702" s="1"/>
      <c r="BG1702" t="s">
        <v>523</v>
      </c>
      <c r="BH1702" t="s">
        <v>1366</v>
      </c>
      <c r="BP1702" t="s">
        <v>1489</v>
      </c>
    </row>
    <row r="1703" spans="1:68" x14ac:dyDescent="0.25">
      <c r="A1703" t="s">
        <v>5713</v>
      </c>
      <c r="B1703" t="s">
        <v>474</v>
      </c>
      <c r="C1703" t="s">
        <v>1486</v>
      </c>
      <c r="E1703" t="s">
        <v>480</v>
      </c>
      <c r="G1703" s="1" t="s">
        <v>5022</v>
      </c>
      <c r="H1703" t="s">
        <v>941</v>
      </c>
      <c r="J1703">
        <v>500000</v>
      </c>
      <c r="P1703" t="s">
        <v>110</v>
      </c>
      <c r="R1703" t="s">
        <v>1000</v>
      </c>
      <c r="S1703" t="s">
        <v>5128</v>
      </c>
      <c r="T1703" t="s">
        <v>5129</v>
      </c>
      <c r="V1703" t="s">
        <v>5130</v>
      </c>
      <c r="W1703" t="s">
        <v>73</v>
      </c>
      <c r="AE1703" t="s">
        <v>478</v>
      </c>
      <c r="AF1703" t="s">
        <v>479</v>
      </c>
      <c r="AL1703" t="s">
        <v>919</v>
      </c>
      <c r="AM1703" t="s">
        <v>919</v>
      </c>
      <c r="AO1703" t="s">
        <v>480</v>
      </c>
      <c r="AP1703" t="s">
        <v>481</v>
      </c>
      <c r="AQ1703" t="s">
        <v>624</v>
      </c>
      <c r="AR1703" t="s">
        <v>482</v>
      </c>
      <c r="AS1703" t="s">
        <v>483</v>
      </c>
      <c r="AT1703" t="s">
        <v>484</v>
      </c>
      <c r="AU1703" t="s">
        <v>521</v>
      </c>
      <c r="AW1703" t="s">
        <v>486</v>
      </c>
      <c r="BF1703" s="1"/>
      <c r="BG1703" t="s">
        <v>523</v>
      </c>
      <c r="BH1703" t="s">
        <v>1366</v>
      </c>
      <c r="BP1703" t="s">
        <v>1489</v>
      </c>
    </row>
    <row r="1704" spans="1:68" x14ac:dyDescent="0.25">
      <c r="A1704" t="s">
        <v>5713</v>
      </c>
      <c r="B1704" t="s">
        <v>474</v>
      </c>
      <c r="C1704" t="s">
        <v>1486</v>
      </c>
      <c r="E1704" t="s">
        <v>480</v>
      </c>
      <c r="G1704" s="1" t="s">
        <v>5022</v>
      </c>
      <c r="H1704" t="s">
        <v>942</v>
      </c>
      <c r="J1704">
        <v>500000</v>
      </c>
      <c r="P1704" t="s">
        <v>116</v>
      </c>
      <c r="R1704" t="s">
        <v>1000</v>
      </c>
      <c r="S1704" t="s">
        <v>5131</v>
      </c>
      <c r="T1704" t="s">
        <v>5132</v>
      </c>
      <c r="V1704" t="s">
        <v>5133</v>
      </c>
      <c r="W1704" t="s">
        <v>73</v>
      </c>
      <c r="AE1704" t="s">
        <v>478</v>
      </c>
      <c r="AF1704" t="s">
        <v>479</v>
      </c>
      <c r="AL1704" t="s">
        <v>919</v>
      </c>
      <c r="AM1704" t="s">
        <v>919</v>
      </c>
      <c r="AO1704" t="s">
        <v>480</v>
      </c>
      <c r="AP1704" t="s">
        <v>481</v>
      </c>
      <c r="AQ1704" t="s">
        <v>645</v>
      </c>
      <c r="AR1704" t="s">
        <v>482</v>
      </c>
      <c r="AS1704" t="s">
        <v>483</v>
      </c>
      <c r="AT1704" t="s">
        <v>484</v>
      </c>
      <c r="AU1704" t="s">
        <v>521</v>
      </c>
      <c r="AW1704" t="s">
        <v>486</v>
      </c>
      <c r="BF1704" s="1"/>
      <c r="BG1704" t="s">
        <v>523</v>
      </c>
      <c r="BH1704" t="s">
        <v>1366</v>
      </c>
      <c r="BP1704" t="s">
        <v>1489</v>
      </c>
    </row>
    <row r="1705" spans="1:68" x14ac:dyDescent="0.25">
      <c r="A1705" t="s">
        <v>5713</v>
      </c>
      <c r="B1705" t="s">
        <v>474</v>
      </c>
      <c r="C1705" t="s">
        <v>1486</v>
      </c>
      <c r="E1705" t="s">
        <v>480</v>
      </c>
      <c r="G1705" s="1" t="s">
        <v>5022</v>
      </c>
      <c r="H1705" t="s">
        <v>976</v>
      </c>
      <c r="J1705">
        <v>500000</v>
      </c>
      <c r="P1705" t="s">
        <v>115</v>
      </c>
      <c r="R1705" t="s">
        <v>988</v>
      </c>
      <c r="S1705" t="s">
        <v>5134</v>
      </c>
      <c r="T1705" t="s">
        <v>5135</v>
      </c>
      <c r="V1705" t="s">
        <v>5136</v>
      </c>
      <c r="W1705" t="s">
        <v>73</v>
      </c>
      <c r="AE1705" t="s">
        <v>478</v>
      </c>
      <c r="AF1705" t="s">
        <v>479</v>
      </c>
      <c r="AL1705" t="s">
        <v>919</v>
      </c>
      <c r="AM1705" t="s">
        <v>919</v>
      </c>
      <c r="AO1705" t="s">
        <v>480</v>
      </c>
      <c r="AP1705" t="s">
        <v>481</v>
      </c>
      <c r="AQ1705" t="s">
        <v>626</v>
      </c>
      <c r="AR1705" t="s">
        <v>482</v>
      </c>
      <c r="AS1705" t="s">
        <v>483</v>
      </c>
      <c r="AT1705" t="s">
        <v>484</v>
      </c>
      <c r="AU1705" t="s">
        <v>521</v>
      </c>
      <c r="AW1705" t="s">
        <v>486</v>
      </c>
      <c r="BF1705" s="1"/>
      <c r="BG1705" t="s">
        <v>523</v>
      </c>
      <c r="BH1705" t="s">
        <v>1366</v>
      </c>
      <c r="BP1705" t="s">
        <v>1489</v>
      </c>
    </row>
    <row r="1706" spans="1:68" x14ac:dyDescent="0.25">
      <c r="A1706" t="s">
        <v>5713</v>
      </c>
      <c r="B1706" t="s">
        <v>474</v>
      </c>
      <c r="C1706" t="s">
        <v>1486</v>
      </c>
      <c r="E1706" t="s">
        <v>480</v>
      </c>
      <c r="G1706" s="1" t="s">
        <v>5022</v>
      </c>
      <c r="H1706" t="s">
        <v>977</v>
      </c>
      <c r="J1706">
        <v>500000</v>
      </c>
      <c r="P1706" t="s">
        <v>124</v>
      </c>
      <c r="R1706" t="s">
        <v>988</v>
      </c>
      <c r="S1706" t="s">
        <v>5137</v>
      </c>
      <c r="T1706" t="s">
        <v>5138</v>
      </c>
      <c r="V1706" t="s">
        <v>5139</v>
      </c>
      <c r="W1706" t="s">
        <v>73</v>
      </c>
      <c r="AE1706" t="s">
        <v>478</v>
      </c>
      <c r="AF1706" t="s">
        <v>479</v>
      </c>
      <c r="AL1706" t="s">
        <v>919</v>
      </c>
      <c r="AM1706" t="s">
        <v>919</v>
      </c>
      <c r="AO1706" t="s">
        <v>480</v>
      </c>
      <c r="AP1706" t="s">
        <v>481</v>
      </c>
      <c r="AQ1706" t="s">
        <v>588</v>
      </c>
      <c r="AR1706" t="s">
        <v>482</v>
      </c>
      <c r="AS1706" t="s">
        <v>483</v>
      </c>
      <c r="AT1706" t="s">
        <v>484</v>
      </c>
      <c r="AU1706" t="s">
        <v>521</v>
      </c>
      <c r="AW1706" t="s">
        <v>486</v>
      </c>
      <c r="BF1706" s="1"/>
      <c r="BG1706" t="s">
        <v>523</v>
      </c>
      <c r="BH1706" t="s">
        <v>1366</v>
      </c>
      <c r="BP1706" t="s">
        <v>1489</v>
      </c>
    </row>
    <row r="1707" spans="1:68" x14ac:dyDescent="0.25">
      <c r="A1707" t="s">
        <v>5713</v>
      </c>
      <c r="B1707" t="s">
        <v>474</v>
      </c>
      <c r="C1707" t="s">
        <v>1486</v>
      </c>
      <c r="E1707" t="s">
        <v>480</v>
      </c>
      <c r="G1707" s="1" t="s">
        <v>5022</v>
      </c>
      <c r="H1707" t="s">
        <v>1139</v>
      </c>
      <c r="J1707">
        <v>500000</v>
      </c>
      <c r="P1707" t="s">
        <v>88</v>
      </c>
      <c r="R1707" t="s">
        <v>988</v>
      </c>
      <c r="S1707" t="s">
        <v>5140</v>
      </c>
      <c r="T1707" t="s">
        <v>5141</v>
      </c>
      <c r="V1707" t="s">
        <v>5142</v>
      </c>
      <c r="W1707" t="s">
        <v>73</v>
      </c>
      <c r="AE1707" t="s">
        <v>478</v>
      </c>
      <c r="AF1707" t="s">
        <v>479</v>
      </c>
      <c r="AL1707" t="s">
        <v>919</v>
      </c>
      <c r="AM1707" t="s">
        <v>919</v>
      </c>
      <c r="AO1707" t="s">
        <v>480</v>
      </c>
      <c r="AP1707" t="s">
        <v>481</v>
      </c>
      <c r="AQ1707" t="s">
        <v>597</v>
      </c>
      <c r="AR1707" t="s">
        <v>482</v>
      </c>
      <c r="AS1707" t="s">
        <v>483</v>
      </c>
      <c r="AT1707" t="s">
        <v>484</v>
      </c>
      <c r="AU1707" t="s">
        <v>521</v>
      </c>
      <c r="AW1707" t="s">
        <v>486</v>
      </c>
      <c r="BF1707" s="1"/>
      <c r="BG1707" t="s">
        <v>523</v>
      </c>
      <c r="BH1707" t="s">
        <v>1366</v>
      </c>
      <c r="BP1707" t="s">
        <v>1489</v>
      </c>
    </row>
    <row r="1708" spans="1:68" x14ac:dyDescent="0.25">
      <c r="A1708" t="s">
        <v>5713</v>
      </c>
      <c r="B1708" t="s">
        <v>474</v>
      </c>
      <c r="C1708" t="s">
        <v>1486</v>
      </c>
      <c r="E1708" t="s">
        <v>480</v>
      </c>
      <c r="G1708" s="1" t="s">
        <v>5022</v>
      </c>
      <c r="H1708" t="s">
        <v>946</v>
      </c>
      <c r="J1708">
        <v>500000</v>
      </c>
      <c r="P1708" t="s">
        <v>101</v>
      </c>
      <c r="R1708" t="s">
        <v>1000</v>
      </c>
      <c r="S1708" t="s">
        <v>5143</v>
      </c>
      <c r="T1708" t="s">
        <v>5144</v>
      </c>
      <c r="V1708" t="s">
        <v>5145</v>
      </c>
      <c r="W1708" t="s">
        <v>73</v>
      </c>
      <c r="AE1708" t="s">
        <v>478</v>
      </c>
      <c r="AF1708" t="s">
        <v>479</v>
      </c>
      <c r="AL1708" t="s">
        <v>919</v>
      </c>
      <c r="AM1708" t="s">
        <v>919</v>
      </c>
      <c r="AO1708" t="s">
        <v>480</v>
      </c>
      <c r="AP1708" t="s">
        <v>481</v>
      </c>
      <c r="AQ1708" t="s">
        <v>699</v>
      </c>
      <c r="AR1708" t="s">
        <v>482</v>
      </c>
      <c r="AS1708" t="s">
        <v>483</v>
      </c>
      <c r="AT1708" t="s">
        <v>484</v>
      </c>
      <c r="AU1708" t="s">
        <v>521</v>
      </c>
      <c r="AW1708" t="s">
        <v>486</v>
      </c>
      <c r="BF1708" s="1"/>
      <c r="BG1708" t="s">
        <v>523</v>
      </c>
      <c r="BH1708" t="s">
        <v>1366</v>
      </c>
      <c r="BP1708" t="s">
        <v>1489</v>
      </c>
    </row>
    <row r="1709" spans="1:68" x14ac:dyDescent="0.25">
      <c r="A1709" t="s">
        <v>5713</v>
      </c>
      <c r="B1709" t="s">
        <v>474</v>
      </c>
      <c r="C1709" t="s">
        <v>1486</v>
      </c>
      <c r="E1709" t="s">
        <v>480</v>
      </c>
      <c r="G1709" s="1" t="s">
        <v>5022</v>
      </c>
      <c r="H1709" t="s">
        <v>979</v>
      </c>
      <c r="J1709">
        <v>500000</v>
      </c>
      <c r="P1709" t="s">
        <v>79</v>
      </c>
      <c r="R1709" t="s">
        <v>988</v>
      </c>
      <c r="S1709" t="s">
        <v>5146</v>
      </c>
      <c r="T1709" t="s">
        <v>5147</v>
      </c>
      <c r="V1709" t="s">
        <v>5148</v>
      </c>
      <c r="W1709" t="s">
        <v>73</v>
      </c>
      <c r="AE1709" t="s">
        <v>478</v>
      </c>
      <c r="AF1709" t="s">
        <v>479</v>
      </c>
      <c r="AL1709" t="s">
        <v>919</v>
      </c>
      <c r="AM1709" t="s">
        <v>919</v>
      </c>
      <c r="AO1709" t="s">
        <v>480</v>
      </c>
      <c r="AP1709" t="s">
        <v>481</v>
      </c>
      <c r="AQ1709" t="s">
        <v>932</v>
      </c>
      <c r="AR1709" t="s">
        <v>482</v>
      </c>
      <c r="AS1709" t="s">
        <v>483</v>
      </c>
      <c r="AT1709" t="s">
        <v>484</v>
      </c>
      <c r="AU1709" t="s">
        <v>521</v>
      </c>
      <c r="AW1709" t="s">
        <v>486</v>
      </c>
      <c r="BF1709" s="1"/>
      <c r="BG1709" t="s">
        <v>523</v>
      </c>
      <c r="BH1709" t="s">
        <v>1366</v>
      </c>
      <c r="BP1709" t="s">
        <v>1489</v>
      </c>
    </row>
    <row r="1710" spans="1:68" x14ac:dyDescent="0.25">
      <c r="A1710" t="s">
        <v>5713</v>
      </c>
      <c r="B1710" t="s">
        <v>474</v>
      </c>
      <c r="C1710" t="s">
        <v>1486</v>
      </c>
      <c r="E1710" t="s">
        <v>480</v>
      </c>
      <c r="G1710" s="1" t="s">
        <v>5022</v>
      </c>
      <c r="H1710" t="s">
        <v>948</v>
      </c>
      <c r="J1710">
        <v>500000</v>
      </c>
      <c r="P1710" t="s">
        <v>85</v>
      </c>
      <c r="R1710" t="s">
        <v>1000</v>
      </c>
      <c r="S1710" t="s">
        <v>5149</v>
      </c>
      <c r="T1710" t="s">
        <v>5150</v>
      </c>
      <c r="V1710" t="s">
        <v>5151</v>
      </c>
      <c r="W1710" t="s">
        <v>73</v>
      </c>
      <c r="AE1710" t="s">
        <v>478</v>
      </c>
      <c r="AF1710" t="s">
        <v>479</v>
      </c>
      <c r="AL1710" t="s">
        <v>919</v>
      </c>
      <c r="AM1710" t="s">
        <v>919</v>
      </c>
      <c r="AO1710" t="s">
        <v>480</v>
      </c>
      <c r="AP1710" t="s">
        <v>481</v>
      </c>
      <c r="AQ1710" t="s">
        <v>630</v>
      </c>
      <c r="AR1710" t="s">
        <v>482</v>
      </c>
      <c r="AS1710" t="s">
        <v>483</v>
      </c>
      <c r="AT1710" t="s">
        <v>484</v>
      </c>
      <c r="AU1710" t="s">
        <v>521</v>
      </c>
      <c r="AW1710" t="s">
        <v>486</v>
      </c>
      <c r="BF1710" s="1"/>
      <c r="BG1710" t="s">
        <v>523</v>
      </c>
      <c r="BH1710" t="s">
        <v>1366</v>
      </c>
      <c r="BP1710" t="s">
        <v>1489</v>
      </c>
    </row>
    <row r="1711" spans="1:68" x14ac:dyDescent="0.25">
      <c r="A1711" t="s">
        <v>5713</v>
      </c>
      <c r="B1711" t="s">
        <v>474</v>
      </c>
      <c r="C1711" t="s">
        <v>1486</v>
      </c>
      <c r="E1711" t="s">
        <v>480</v>
      </c>
      <c r="G1711" s="1" t="s">
        <v>5022</v>
      </c>
      <c r="H1711" t="s">
        <v>949</v>
      </c>
      <c r="J1711">
        <v>500000</v>
      </c>
      <c r="P1711" t="s">
        <v>108</v>
      </c>
      <c r="R1711" t="s">
        <v>1000</v>
      </c>
      <c r="S1711" t="s">
        <v>5152</v>
      </c>
      <c r="T1711" t="s">
        <v>5153</v>
      </c>
      <c r="V1711" t="s">
        <v>5154</v>
      </c>
      <c r="W1711" t="s">
        <v>73</v>
      </c>
      <c r="AE1711" t="s">
        <v>478</v>
      </c>
      <c r="AF1711" t="s">
        <v>479</v>
      </c>
      <c r="AL1711" t="s">
        <v>919</v>
      </c>
      <c r="AM1711" t="s">
        <v>919</v>
      </c>
      <c r="AO1711" t="s">
        <v>480</v>
      </c>
      <c r="AP1711" t="s">
        <v>481</v>
      </c>
      <c r="AQ1711" t="s">
        <v>520</v>
      </c>
      <c r="AR1711" t="s">
        <v>482</v>
      </c>
      <c r="AS1711" t="s">
        <v>483</v>
      </c>
      <c r="AT1711" t="s">
        <v>484</v>
      </c>
      <c r="AU1711" t="s">
        <v>521</v>
      </c>
      <c r="AW1711" t="s">
        <v>486</v>
      </c>
      <c r="BF1711" s="1"/>
      <c r="BG1711" t="s">
        <v>523</v>
      </c>
      <c r="BH1711" t="s">
        <v>1366</v>
      </c>
      <c r="BP1711" t="s">
        <v>1489</v>
      </c>
    </row>
    <row r="1712" spans="1:68" x14ac:dyDescent="0.25">
      <c r="A1712" t="s">
        <v>5713</v>
      </c>
      <c r="B1712" t="s">
        <v>474</v>
      </c>
      <c r="C1712" t="s">
        <v>1486</v>
      </c>
      <c r="E1712" t="s">
        <v>480</v>
      </c>
      <c r="G1712" s="1" t="s">
        <v>5022</v>
      </c>
      <c r="H1712" t="s">
        <v>980</v>
      </c>
      <c r="J1712">
        <v>500000</v>
      </c>
      <c r="P1712" t="s">
        <v>123</v>
      </c>
      <c r="R1712" t="s">
        <v>988</v>
      </c>
      <c r="S1712" t="s">
        <v>5155</v>
      </c>
      <c r="T1712" t="s">
        <v>5156</v>
      </c>
      <c r="V1712" t="s">
        <v>5157</v>
      </c>
      <c r="W1712" t="s">
        <v>73</v>
      </c>
      <c r="AE1712" t="s">
        <v>478</v>
      </c>
      <c r="AF1712" t="s">
        <v>479</v>
      </c>
      <c r="AL1712" t="s">
        <v>919</v>
      </c>
      <c r="AM1712" t="s">
        <v>919</v>
      </c>
      <c r="AO1712" t="s">
        <v>480</v>
      </c>
      <c r="AP1712" t="s">
        <v>481</v>
      </c>
      <c r="AQ1712" t="s">
        <v>744</v>
      </c>
      <c r="AR1712" t="s">
        <v>482</v>
      </c>
      <c r="AS1712" t="s">
        <v>483</v>
      </c>
      <c r="AT1712" t="s">
        <v>484</v>
      </c>
      <c r="AU1712" t="s">
        <v>521</v>
      </c>
      <c r="AW1712" t="s">
        <v>486</v>
      </c>
      <c r="BF1712" s="1"/>
      <c r="BG1712" t="s">
        <v>523</v>
      </c>
      <c r="BH1712" t="s">
        <v>1366</v>
      </c>
      <c r="BP1712" t="s">
        <v>1489</v>
      </c>
    </row>
    <row r="1713" spans="1:68" x14ac:dyDescent="0.25">
      <c r="A1713" t="s">
        <v>5713</v>
      </c>
      <c r="B1713" t="s">
        <v>474</v>
      </c>
      <c r="C1713" t="s">
        <v>1486</v>
      </c>
      <c r="E1713" t="s">
        <v>480</v>
      </c>
      <c r="G1713" s="1" t="s">
        <v>5022</v>
      </c>
      <c r="H1713" t="s">
        <v>1148</v>
      </c>
      <c r="J1713">
        <v>500000</v>
      </c>
      <c r="P1713" t="s">
        <v>80</v>
      </c>
      <c r="R1713" t="s">
        <v>988</v>
      </c>
      <c r="S1713" t="s">
        <v>5158</v>
      </c>
      <c r="T1713" t="s">
        <v>5159</v>
      </c>
      <c r="V1713" t="s">
        <v>5160</v>
      </c>
      <c r="W1713" t="s">
        <v>73</v>
      </c>
      <c r="AE1713" t="s">
        <v>478</v>
      </c>
      <c r="AF1713" t="s">
        <v>479</v>
      </c>
      <c r="AL1713" t="s">
        <v>919</v>
      </c>
      <c r="AM1713" t="s">
        <v>919</v>
      </c>
      <c r="AO1713" t="s">
        <v>480</v>
      </c>
      <c r="AP1713" t="s">
        <v>481</v>
      </c>
      <c r="AQ1713" t="s">
        <v>603</v>
      </c>
      <c r="AR1713" t="s">
        <v>482</v>
      </c>
      <c r="AS1713" t="s">
        <v>483</v>
      </c>
      <c r="AT1713" t="s">
        <v>484</v>
      </c>
      <c r="AU1713" t="s">
        <v>521</v>
      </c>
      <c r="AW1713" t="s">
        <v>486</v>
      </c>
      <c r="BF1713" s="1"/>
      <c r="BG1713" t="s">
        <v>523</v>
      </c>
      <c r="BH1713" t="s">
        <v>1366</v>
      </c>
      <c r="BP1713" t="s">
        <v>1489</v>
      </c>
    </row>
    <row r="1714" spans="1:68" x14ac:dyDescent="0.25">
      <c r="A1714" t="s">
        <v>5713</v>
      </c>
      <c r="B1714" t="s">
        <v>474</v>
      </c>
      <c r="C1714" t="s">
        <v>1486</v>
      </c>
      <c r="E1714" t="s">
        <v>480</v>
      </c>
      <c r="G1714" s="1" t="s">
        <v>5022</v>
      </c>
      <c r="H1714" t="s">
        <v>1150</v>
      </c>
      <c r="J1714">
        <v>500000</v>
      </c>
      <c r="P1714" t="s">
        <v>74</v>
      </c>
      <c r="R1714" t="s">
        <v>988</v>
      </c>
      <c r="S1714" t="s">
        <v>5161</v>
      </c>
      <c r="T1714" t="s">
        <v>5162</v>
      </c>
      <c r="V1714" t="s">
        <v>5163</v>
      </c>
      <c r="W1714" t="s">
        <v>73</v>
      </c>
      <c r="AE1714" t="s">
        <v>478</v>
      </c>
      <c r="AF1714" t="s">
        <v>479</v>
      </c>
      <c r="AL1714" t="s">
        <v>919</v>
      </c>
      <c r="AM1714" t="s">
        <v>919</v>
      </c>
      <c r="AO1714" t="s">
        <v>480</v>
      </c>
      <c r="AP1714" t="s">
        <v>481</v>
      </c>
      <c r="AQ1714" t="s">
        <v>678</v>
      </c>
      <c r="AR1714" t="s">
        <v>482</v>
      </c>
      <c r="AS1714" t="s">
        <v>483</v>
      </c>
      <c r="AT1714" t="s">
        <v>484</v>
      </c>
      <c r="AU1714" t="s">
        <v>521</v>
      </c>
      <c r="AW1714" t="s">
        <v>486</v>
      </c>
      <c r="BF1714" s="1"/>
      <c r="BG1714" t="s">
        <v>523</v>
      </c>
      <c r="BH1714" t="s">
        <v>1366</v>
      </c>
      <c r="BP1714" t="s">
        <v>1489</v>
      </c>
    </row>
    <row r="1715" spans="1:68" x14ac:dyDescent="0.25">
      <c r="A1715" t="s">
        <v>5713</v>
      </c>
      <c r="B1715" t="s">
        <v>474</v>
      </c>
      <c r="C1715" t="s">
        <v>1486</v>
      </c>
      <c r="E1715" t="s">
        <v>480</v>
      </c>
      <c r="G1715" s="1" t="s">
        <v>5022</v>
      </c>
      <c r="H1715" t="s">
        <v>1152</v>
      </c>
      <c r="J1715">
        <v>500000</v>
      </c>
      <c r="P1715" t="s">
        <v>109</v>
      </c>
      <c r="R1715" t="s">
        <v>988</v>
      </c>
      <c r="S1715" t="s">
        <v>5164</v>
      </c>
      <c r="T1715" t="s">
        <v>5165</v>
      </c>
      <c r="V1715" t="s">
        <v>5166</v>
      </c>
      <c r="W1715" t="s">
        <v>73</v>
      </c>
      <c r="AE1715" t="s">
        <v>478</v>
      </c>
      <c r="AF1715" t="s">
        <v>479</v>
      </c>
      <c r="AL1715" t="s">
        <v>919</v>
      </c>
      <c r="AM1715" t="s">
        <v>919</v>
      </c>
      <c r="AO1715" t="s">
        <v>480</v>
      </c>
      <c r="AP1715" t="s">
        <v>481</v>
      </c>
      <c r="AQ1715" t="s">
        <v>536</v>
      </c>
      <c r="AR1715" t="s">
        <v>482</v>
      </c>
      <c r="AS1715" t="s">
        <v>483</v>
      </c>
      <c r="AT1715" t="s">
        <v>484</v>
      </c>
      <c r="AU1715" t="s">
        <v>521</v>
      </c>
      <c r="AW1715" t="s">
        <v>486</v>
      </c>
      <c r="BF1715" s="1"/>
      <c r="BG1715" t="s">
        <v>523</v>
      </c>
      <c r="BH1715" t="s">
        <v>1366</v>
      </c>
      <c r="BP1715" t="s">
        <v>1489</v>
      </c>
    </row>
    <row r="1716" spans="1:68" x14ac:dyDescent="0.25">
      <c r="A1716" t="s">
        <v>5713</v>
      </c>
      <c r="B1716" t="s">
        <v>474</v>
      </c>
      <c r="C1716" t="s">
        <v>1486</v>
      </c>
      <c r="E1716" t="s">
        <v>480</v>
      </c>
      <c r="G1716" s="1" t="s">
        <v>5022</v>
      </c>
      <c r="H1716" t="s">
        <v>1154</v>
      </c>
      <c r="J1716">
        <v>500000</v>
      </c>
      <c r="P1716" t="s">
        <v>111</v>
      </c>
      <c r="R1716" t="s">
        <v>988</v>
      </c>
      <c r="S1716" t="s">
        <v>5167</v>
      </c>
      <c r="T1716" t="s">
        <v>1187</v>
      </c>
      <c r="V1716" t="s">
        <v>5168</v>
      </c>
      <c r="W1716" t="s">
        <v>73</v>
      </c>
      <c r="AE1716" t="s">
        <v>478</v>
      </c>
      <c r="AF1716" t="s">
        <v>479</v>
      </c>
      <c r="AL1716" t="s">
        <v>919</v>
      </c>
      <c r="AM1716" t="s">
        <v>919</v>
      </c>
      <c r="AO1716" t="s">
        <v>480</v>
      </c>
      <c r="AP1716" t="s">
        <v>481</v>
      </c>
      <c r="AQ1716" t="s">
        <v>548</v>
      </c>
      <c r="AR1716" t="s">
        <v>482</v>
      </c>
      <c r="AS1716" t="s">
        <v>483</v>
      </c>
      <c r="AT1716" t="s">
        <v>484</v>
      </c>
      <c r="AU1716" t="s">
        <v>521</v>
      </c>
      <c r="AW1716" t="s">
        <v>486</v>
      </c>
      <c r="BF1716" s="1"/>
      <c r="BG1716" t="s">
        <v>523</v>
      </c>
      <c r="BH1716" t="s">
        <v>1366</v>
      </c>
      <c r="BP1716" t="s">
        <v>1489</v>
      </c>
    </row>
    <row r="1717" spans="1:68" x14ac:dyDescent="0.25">
      <c r="A1717" t="s">
        <v>5713</v>
      </c>
      <c r="B1717" t="s">
        <v>474</v>
      </c>
      <c r="C1717" t="s">
        <v>1486</v>
      </c>
      <c r="E1717" t="s">
        <v>480</v>
      </c>
      <c r="G1717" s="1" t="s">
        <v>5022</v>
      </c>
      <c r="H1717" t="s">
        <v>955</v>
      </c>
      <c r="J1717">
        <v>500000</v>
      </c>
      <c r="P1717" t="s">
        <v>89</v>
      </c>
      <c r="R1717" t="s">
        <v>1000</v>
      </c>
      <c r="S1717" t="s">
        <v>5169</v>
      </c>
      <c r="T1717" t="s">
        <v>5170</v>
      </c>
      <c r="V1717" t="s">
        <v>5171</v>
      </c>
      <c r="W1717" t="s">
        <v>73</v>
      </c>
      <c r="AE1717" t="s">
        <v>478</v>
      </c>
      <c r="AF1717" t="s">
        <v>479</v>
      </c>
      <c r="AL1717" t="s">
        <v>919</v>
      </c>
      <c r="AM1717" t="s">
        <v>919</v>
      </c>
      <c r="AO1717" t="s">
        <v>480</v>
      </c>
      <c r="AP1717" t="s">
        <v>481</v>
      </c>
      <c r="AQ1717" t="s">
        <v>561</v>
      </c>
      <c r="AR1717" t="s">
        <v>482</v>
      </c>
      <c r="AS1717" t="s">
        <v>483</v>
      </c>
      <c r="AT1717" t="s">
        <v>484</v>
      </c>
      <c r="AU1717" t="s">
        <v>521</v>
      </c>
      <c r="AW1717" t="s">
        <v>486</v>
      </c>
      <c r="BF1717" s="1"/>
      <c r="BG1717" t="s">
        <v>523</v>
      </c>
      <c r="BH1717" t="s">
        <v>1366</v>
      </c>
      <c r="BP1717" t="s">
        <v>1489</v>
      </c>
    </row>
    <row r="1718" spans="1:68" x14ac:dyDescent="0.25">
      <c r="A1718" t="s">
        <v>5713</v>
      </c>
      <c r="B1718" t="s">
        <v>474</v>
      </c>
      <c r="C1718" t="s">
        <v>1486</v>
      </c>
      <c r="E1718" t="s">
        <v>480</v>
      </c>
      <c r="G1718" s="1" t="s">
        <v>5022</v>
      </c>
      <c r="H1718" t="s">
        <v>1157</v>
      </c>
      <c r="J1718">
        <v>500000</v>
      </c>
      <c r="P1718" t="s">
        <v>157</v>
      </c>
      <c r="R1718" t="s">
        <v>988</v>
      </c>
      <c r="S1718" t="s">
        <v>5172</v>
      </c>
      <c r="T1718" t="s">
        <v>5173</v>
      </c>
      <c r="V1718" t="s">
        <v>5174</v>
      </c>
      <c r="W1718" t="s">
        <v>73</v>
      </c>
      <c r="AE1718" t="s">
        <v>478</v>
      </c>
      <c r="AF1718" t="s">
        <v>479</v>
      </c>
      <c r="AL1718" t="s">
        <v>919</v>
      </c>
      <c r="AM1718" t="s">
        <v>919</v>
      </c>
      <c r="AO1718" t="s">
        <v>480</v>
      </c>
      <c r="AP1718" t="s">
        <v>481</v>
      </c>
      <c r="AQ1718" t="s">
        <v>667</v>
      </c>
      <c r="AR1718" t="s">
        <v>482</v>
      </c>
      <c r="AS1718" t="s">
        <v>483</v>
      </c>
      <c r="AT1718" t="s">
        <v>484</v>
      </c>
      <c r="AU1718" t="s">
        <v>521</v>
      </c>
      <c r="AW1718" t="s">
        <v>486</v>
      </c>
      <c r="BF1718" s="1"/>
      <c r="BG1718" t="s">
        <v>523</v>
      </c>
      <c r="BH1718" t="s">
        <v>1366</v>
      </c>
      <c r="BP1718" t="s">
        <v>1489</v>
      </c>
    </row>
    <row r="1719" spans="1:68" x14ac:dyDescent="0.25">
      <c r="A1719" t="s">
        <v>5713</v>
      </c>
      <c r="B1719" t="s">
        <v>474</v>
      </c>
      <c r="C1719" t="s">
        <v>1486</v>
      </c>
      <c r="E1719" t="s">
        <v>480</v>
      </c>
      <c r="G1719" s="1" t="s">
        <v>5022</v>
      </c>
      <c r="H1719" t="s">
        <v>982</v>
      </c>
      <c r="J1719">
        <v>500000</v>
      </c>
      <c r="P1719" t="s">
        <v>119</v>
      </c>
      <c r="R1719" t="s">
        <v>988</v>
      </c>
      <c r="S1719" t="s">
        <v>5175</v>
      </c>
      <c r="T1719" t="s">
        <v>5176</v>
      </c>
      <c r="V1719" t="s">
        <v>5177</v>
      </c>
      <c r="W1719" t="s">
        <v>73</v>
      </c>
      <c r="AE1719" t="s">
        <v>478</v>
      </c>
      <c r="AF1719" t="s">
        <v>479</v>
      </c>
      <c r="AL1719" t="s">
        <v>919</v>
      </c>
      <c r="AM1719" t="s">
        <v>919</v>
      </c>
      <c r="AO1719" t="s">
        <v>480</v>
      </c>
      <c r="AP1719" t="s">
        <v>481</v>
      </c>
      <c r="AQ1719" t="s">
        <v>756</v>
      </c>
      <c r="AR1719" t="s">
        <v>482</v>
      </c>
      <c r="AS1719" t="s">
        <v>483</v>
      </c>
      <c r="AT1719" t="s">
        <v>484</v>
      </c>
      <c r="AU1719" t="s">
        <v>521</v>
      </c>
      <c r="AW1719" t="s">
        <v>486</v>
      </c>
      <c r="BF1719" s="1"/>
      <c r="BG1719" t="s">
        <v>523</v>
      </c>
      <c r="BH1719" t="s">
        <v>1366</v>
      </c>
      <c r="BP1719" t="s">
        <v>1489</v>
      </c>
    </row>
    <row r="1720" spans="1:68" x14ac:dyDescent="0.25">
      <c r="A1720" t="s">
        <v>5713</v>
      </c>
      <c r="B1720" t="s">
        <v>474</v>
      </c>
      <c r="C1720" t="s">
        <v>1486</v>
      </c>
      <c r="E1720" t="s">
        <v>480</v>
      </c>
      <c r="G1720" s="1" t="s">
        <v>5022</v>
      </c>
      <c r="H1720" t="s">
        <v>983</v>
      </c>
      <c r="J1720">
        <v>500000</v>
      </c>
      <c r="P1720" t="s">
        <v>76</v>
      </c>
      <c r="R1720" t="s">
        <v>988</v>
      </c>
      <c r="S1720" t="s">
        <v>5178</v>
      </c>
      <c r="T1720" t="s">
        <v>5179</v>
      </c>
      <c r="V1720" t="s">
        <v>5180</v>
      </c>
      <c r="W1720" t="s">
        <v>73</v>
      </c>
      <c r="AE1720" t="s">
        <v>478</v>
      </c>
      <c r="AF1720" t="s">
        <v>479</v>
      </c>
      <c r="AL1720" t="s">
        <v>919</v>
      </c>
      <c r="AM1720" t="s">
        <v>919</v>
      </c>
      <c r="AO1720" t="s">
        <v>480</v>
      </c>
      <c r="AP1720" t="s">
        <v>481</v>
      </c>
      <c r="AQ1720" t="s">
        <v>558</v>
      </c>
      <c r="AR1720" t="s">
        <v>482</v>
      </c>
      <c r="AS1720" t="s">
        <v>483</v>
      </c>
      <c r="AT1720" t="s">
        <v>484</v>
      </c>
      <c r="AU1720" t="s">
        <v>521</v>
      </c>
      <c r="AW1720" t="s">
        <v>486</v>
      </c>
      <c r="BF1720" s="1"/>
      <c r="BG1720" t="s">
        <v>523</v>
      </c>
      <c r="BH1720" t="s">
        <v>1366</v>
      </c>
      <c r="BP1720" t="s">
        <v>1489</v>
      </c>
    </row>
    <row r="1721" spans="1:68" x14ac:dyDescent="0.25">
      <c r="A1721" t="s">
        <v>5713</v>
      </c>
      <c r="B1721" t="s">
        <v>474</v>
      </c>
      <c r="C1721" t="s">
        <v>1486</v>
      </c>
      <c r="E1721" t="s">
        <v>480</v>
      </c>
      <c r="G1721" s="1" t="s">
        <v>5022</v>
      </c>
      <c r="H1721" t="s">
        <v>1161</v>
      </c>
      <c r="J1721">
        <v>500000</v>
      </c>
      <c r="P1721" t="s">
        <v>139</v>
      </c>
      <c r="R1721" t="s">
        <v>988</v>
      </c>
      <c r="S1721" t="s">
        <v>5181</v>
      </c>
      <c r="T1721" t="s">
        <v>5182</v>
      </c>
      <c r="V1721" t="s">
        <v>5183</v>
      </c>
      <c r="W1721" t="s">
        <v>73</v>
      </c>
      <c r="AE1721" t="s">
        <v>478</v>
      </c>
      <c r="AF1721" t="s">
        <v>479</v>
      </c>
      <c r="AL1721" t="s">
        <v>919</v>
      </c>
      <c r="AM1721" t="s">
        <v>919</v>
      </c>
      <c r="AO1721" t="s">
        <v>480</v>
      </c>
      <c r="AP1721" t="s">
        <v>481</v>
      </c>
      <c r="AQ1721" t="s">
        <v>618</v>
      </c>
      <c r="AR1721" t="s">
        <v>482</v>
      </c>
      <c r="AS1721" t="s">
        <v>483</v>
      </c>
      <c r="AT1721" t="s">
        <v>484</v>
      </c>
      <c r="AU1721" t="s">
        <v>521</v>
      </c>
      <c r="AW1721" t="s">
        <v>486</v>
      </c>
      <c r="BF1721" s="1"/>
      <c r="BG1721" t="s">
        <v>523</v>
      </c>
      <c r="BH1721" t="s">
        <v>1366</v>
      </c>
      <c r="BP1721" t="s">
        <v>1489</v>
      </c>
    </row>
    <row r="1722" spans="1:68" x14ac:dyDescent="0.25">
      <c r="A1722" t="s">
        <v>5713</v>
      </c>
      <c r="B1722" t="s">
        <v>474</v>
      </c>
      <c r="C1722" t="s">
        <v>1486</v>
      </c>
      <c r="E1722" t="s">
        <v>480</v>
      </c>
      <c r="G1722" s="1" t="s">
        <v>5022</v>
      </c>
      <c r="H1722" t="s">
        <v>1163</v>
      </c>
      <c r="J1722">
        <v>500000</v>
      </c>
      <c r="P1722" t="s">
        <v>95</v>
      </c>
      <c r="R1722" t="s">
        <v>988</v>
      </c>
      <c r="S1722" t="s">
        <v>5184</v>
      </c>
      <c r="T1722" t="s">
        <v>5185</v>
      </c>
      <c r="V1722" t="s">
        <v>5186</v>
      </c>
      <c r="W1722" t="s">
        <v>73</v>
      </c>
      <c r="AE1722" t="s">
        <v>478</v>
      </c>
      <c r="AF1722" t="s">
        <v>479</v>
      </c>
      <c r="AL1722" t="s">
        <v>919</v>
      </c>
      <c r="AM1722" t="s">
        <v>919</v>
      </c>
      <c r="AO1722" t="s">
        <v>480</v>
      </c>
      <c r="AP1722" t="s">
        <v>481</v>
      </c>
      <c r="AQ1722" t="s">
        <v>563</v>
      </c>
      <c r="AR1722" t="s">
        <v>482</v>
      </c>
      <c r="AS1722" t="s">
        <v>483</v>
      </c>
      <c r="AT1722" t="s">
        <v>484</v>
      </c>
      <c r="AU1722" t="s">
        <v>521</v>
      </c>
      <c r="AW1722" t="s">
        <v>486</v>
      </c>
      <c r="BF1722" s="1"/>
      <c r="BG1722" t="s">
        <v>523</v>
      </c>
      <c r="BH1722" t="s">
        <v>1366</v>
      </c>
      <c r="BP1722" t="s">
        <v>1489</v>
      </c>
    </row>
    <row r="1723" spans="1:68" x14ac:dyDescent="0.25">
      <c r="A1723" t="s">
        <v>5713</v>
      </c>
      <c r="B1723" t="s">
        <v>474</v>
      </c>
      <c r="C1723" t="s">
        <v>1486</v>
      </c>
      <c r="E1723" t="s">
        <v>480</v>
      </c>
      <c r="G1723" s="1" t="s">
        <v>5022</v>
      </c>
      <c r="H1723" t="s">
        <v>1165</v>
      </c>
      <c r="J1723">
        <v>500000</v>
      </c>
      <c r="P1723" t="s">
        <v>125</v>
      </c>
      <c r="R1723" t="s">
        <v>988</v>
      </c>
      <c r="S1723" t="s">
        <v>5187</v>
      </c>
      <c r="T1723" t="s">
        <v>5188</v>
      </c>
      <c r="V1723" t="s">
        <v>5189</v>
      </c>
      <c r="W1723" t="s">
        <v>73</v>
      </c>
      <c r="AE1723" t="s">
        <v>478</v>
      </c>
      <c r="AF1723" t="s">
        <v>479</v>
      </c>
      <c r="AL1723" t="s">
        <v>919</v>
      </c>
      <c r="AM1723" t="s">
        <v>919</v>
      </c>
      <c r="AO1723" t="s">
        <v>480</v>
      </c>
      <c r="AP1723" t="s">
        <v>481</v>
      </c>
      <c r="AQ1723" t="s">
        <v>642</v>
      </c>
      <c r="AR1723" t="s">
        <v>482</v>
      </c>
      <c r="AS1723" t="s">
        <v>483</v>
      </c>
      <c r="AT1723" t="s">
        <v>484</v>
      </c>
      <c r="AU1723" t="s">
        <v>521</v>
      </c>
      <c r="AW1723" t="s">
        <v>486</v>
      </c>
      <c r="BF1723" s="1"/>
      <c r="BG1723" t="s">
        <v>523</v>
      </c>
      <c r="BH1723" t="s">
        <v>1366</v>
      </c>
      <c r="BP1723" t="s">
        <v>1489</v>
      </c>
    </row>
    <row r="1724" spans="1:68" x14ac:dyDescent="0.25">
      <c r="A1724" t="s">
        <v>5713</v>
      </c>
      <c r="B1724" t="s">
        <v>474</v>
      </c>
      <c r="C1724" t="s">
        <v>1486</v>
      </c>
      <c r="E1724" t="s">
        <v>480</v>
      </c>
      <c r="G1724" s="1" t="s">
        <v>5022</v>
      </c>
      <c r="H1724" t="s">
        <v>1167</v>
      </c>
      <c r="J1724">
        <v>500000</v>
      </c>
      <c r="P1724" t="s">
        <v>140</v>
      </c>
      <c r="R1724" t="s">
        <v>988</v>
      </c>
      <c r="S1724" t="s">
        <v>5190</v>
      </c>
      <c r="T1724" t="s">
        <v>5191</v>
      </c>
      <c r="V1724" t="s">
        <v>5192</v>
      </c>
      <c r="W1724" t="s">
        <v>73</v>
      </c>
      <c r="AE1724" t="s">
        <v>478</v>
      </c>
      <c r="AF1724" t="s">
        <v>479</v>
      </c>
      <c r="AL1724" t="s">
        <v>919</v>
      </c>
      <c r="AM1724" t="s">
        <v>919</v>
      </c>
      <c r="AO1724" t="s">
        <v>480</v>
      </c>
      <c r="AP1724" t="s">
        <v>481</v>
      </c>
      <c r="AQ1724" t="s">
        <v>681</v>
      </c>
      <c r="AR1724" t="s">
        <v>482</v>
      </c>
      <c r="AS1724" t="s">
        <v>483</v>
      </c>
      <c r="AT1724" t="s">
        <v>484</v>
      </c>
      <c r="AU1724" t="s">
        <v>521</v>
      </c>
      <c r="AW1724" t="s">
        <v>486</v>
      </c>
      <c r="BF1724" s="1"/>
      <c r="BG1724" t="s">
        <v>523</v>
      </c>
      <c r="BH1724" t="s">
        <v>1366</v>
      </c>
      <c r="BP1724" t="s">
        <v>1489</v>
      </c>
    </row>
    <row r="1725" spans="1:68" x14ac:dyDescent="0.25">
      <c r="A1725" t="s">
        <v>5713</v>
      </c>
      <c r="B1725" t="s">
        <v>474</v>
      </c>
      <c r="C1725" t="s">
        <v>1486</v>
      </c>
      <c r="E1725" t="s">
        <v>480</v>
      </c>
      <c r="G1725" s="1" t="s">
        <v>5022</v>
      </c>
      <c r="H1725" t="s">
        <v>1169</v>
      </c>
      <c r="J1725">
        <v>500000</v>
      </c>
      <c r="P1725" t="s">
        <v>87</v>
      </c>
      <c r="R1725" t="s">
        <v>988</v>
      </c>
      <c r="S1725" t="s">
        <v>5193</v>
      </c>
      <c r="T1725" t="s">
        <v>5194</v>
      </c>
      <c r="V1725" t="s">
        <v>5195</v>
      </c>
      <c r="W1725" t="s">
        <v>73</v>
      </c>
      <c r="AE1725" t="s">
        <v>478</v>
      </c>
      <c r="AF1725" t="s">
        <v>479</v>
      </c>
      <c r="AL1725" t="s">
        <v>919</v>
      </c>
      <c r="AM1725" t="s">
        <v>919</v>
      </c>
      <c r="AO1725" t="s">
        <v>480</v>
      </c>
      <c r="AP1725" t="s">
        <v>481</v>
      </c>
      <c r="AQ1725" t="s">
        <v>552</v>
      </c>
      <c r="AR1725" t="s">
        <v>482</v>
      </c>
      <c r="AS1725" t="s">
        <v>483</v>
      </c>
      <c r="AT1725" t="s">
        <v>484</v>
      </c>
      <c r="AU1725" t="s">
        <v>521</v>
      </c>
      <c r="AW1725" t="s">
        <v>486</v>
      </c>
      <c r="BF1725" s="1"/>
      <c r="BG1725" t="s">
        <v>523</v>
      </c>
      <c r="BH1725" t="s">
        <v>1366</v>
      </c>
      <c r="BP1725" t="s">
        <v>1489</v>
      </c>
    </row>
    <row r="1726" spans="1:68" x14ac:dyDescent="0.25">
      <c r="A1726" t="s">
        <v>5713</v>
      </c>
      <c r="B1726" t="s">
        <v>474</v>
      </c>
      <c r="C1726" t="s">
        <v>1486</v>
      </c>
      <c r="E1726" t="s">
        <v>480</v>
      </c>
      <c r="G1726" s="1" t="s">
        <v>5022</v>
      </c>
      <c r="H1726" t="s">
        <v>1171</v>
      </c>
      <c r="J1726">
        <v>500000</v>
      </c>
      <c r="P1726" t="s">
        <v>169</v>
      </c>
      <c r="R1726" t="s">
        <v>988</v>
      </c>
      <c r="S1726" t="s">
        <v>5196</v>
      </c>
      <c r="T1726" t="s">
        <v>5197</v>
      </c>
      <c r="V1726" t="s">
        <v>5198</v>
      </c>
      <c r="W1726" t="s">
        <v>73</v>
      </c>
      <c r="AE1726" t="s">
        <v>478</v>
      </c>
      <c r="AF1726" t="s">
        <v>479</v>
      </c>
      <c r="AL1726" t="s">
        <v>919</v>
      </c>
      <c r="AM1726" t="s">
        <v>919</v>
      </c>
      <c r="AO1726" t="s">
        <v>480</v>
      </c>
      <c r="AP1726" t="s">
        <v>481</v>
      </c>
      <c r="AQ1726" t="s">
        <v>852</v>
      </c>
      <c r="AR1726" t="s">
        <v>482</v>
      </c>
      <c r="AS1726" t="s">
        <v>483</v>
      </c>
      <c r="AT1726" t="s">
        <v>484</v>
      </c>
      <c r="AU1726" t="s">
        <v>521</v>
      </c>
      <c r="AW1726" t="s">
        <v>486</v>
      </c>
      <c r="BF1726" s="1"/>
      <c r="BG1726" t="s">
        <v>523</v>
      </c>
      <c r="BH1726" t="s">
        <v>1366</v>
      </c>
      <c r="BP1726" t="s">
        <v>1489</v>
      </c>
    </row>
    <row r="1727" spans="1:68" x14ac:dyDescent="0.25">
      <c r="A1727" t="s">
        <v>5713</v>
      </c>
      <c r="B1727" t="s">
        <v>474</v>
      </c>
      <c r="C1727" t="s">
        <v>1486</v>
      </c>
      <c r="E1727" t="s">
        <v>480</v>
      </c>
      <c r="G1727" s="1" t="s">
        <v>5022</v>
      </c>
      <c r="H1727" t="s">
        <v>1173</v>
      </c>
      <c r="J1727">
        <v>500000</v>
      </c>
      <c r="P1727" t="s">
        <v>170</v>
      </c>
      <c r="R1727" t="s">
        <v>988</v>
      </c>
      <c r="S1727" t="s">
        <v>5199</v>
      </c>
      <c r="T1727" t="s">
        <v>5200</v>
      </c>
      <c r="V1727" t="s">
        <v>5201</v>
      </c>
      <c r="W1727" t="s">
        <v>73</v>
      </c>
      <c r="AE1727" t="s">
        <v>478</v>
      </c>
      <c r="AF1727" t="s">
        <v>479</v>
      </c>
      <c r="AL1727" t="s">
        <v>919</v>
      </c>
      <c r="AM1727" t="s">
        <v>919</v>
      </c>
      <c r="AO1727" t="s">
        <v>480</v>
      </c>
      <c r="AP1727" t="s">
        <v>481</v>
      </c>
      <c r="AQ1727" t="s">
        <v>854</v>
      </c>
      <c r="AR1727" t="s">
        <v>482</v>
      </c>
      <c r="AS1727" t="s">
        <v>483</v>
      </c>
      <c r="AT1727" t="s">
        <v>484</v>
      </c>
      <c r="AU1727" t="s">
        <v>521</v>
      </c>
      <c r="AW1727" t="s">
        <v>486</v>
      </c>
      <c r="BF1727" s="1"/>
      <c r="BG1727" t="s">
        <v>523</v>
      </c>
      <c r="BH1727" t="s">
        <v>1366</v>
      </c>
      <c r="BP1727" t="s">
        <v>1489</v>
      </c>
    </row>
    <row r="1728" spans="1:68" x14ac:dyDescent="0.25">
      <c r="A1728" t="s">
        <v>5713</v>
      </c>
      <c r="B1728" t="s">
        <v>474</v>
      </c>
      <c r="C1728" t="s">
        <v>1486</v>
      </c>
      <c r="E1728" t="s">
        <v>480</v>
      </c>
      <c r="G1728" s="1" t="s">
        <v>5022</v>
      </c>
      <c r="H1728" t="s">
        <v>1194</v>
      </c>
      <c r="J1728">
        <v>500000</v>
      </c>
      <c r="P1728" t="s">
        <v>156</v>
      </c>
      <c r="R1728" t="s">
        <v>988</v>
      </c>
      <c r="S1728" t="s">
        <v>5202</v>
      </c>
      <c r="T1728" t="s">
        <v>5203</v>
      </c>
      <c r="V1728" t="s">
        <v>5204</v>
      </c>
      <c r="W1728" t="s">
        <v>73</v>
      </c>
      <c r="AE1728" t="s">
        <v>478</v>
      </c>
      <c r="AF1728" t="s">
        <v>479</v>
      </c>
      <c r="AL1728" t="s">
        <v>919</v>
      </c>
      <c r="AM1728" t="s">
        <v>919</v>
      </c>
      <c r="AO1728" t="s">
        <v>480</v>
      </c>
      <c r="AP1728" t="s">
        <v>481</v>
      </c>
      <c r="AQ1728" t="s">
        <v>615</v>
      </c>
      <c r="AR1728" t="s">
        <v>482</v>
      </c>
      <c r="AS1728" t="s">
        <v>483</v>
      </c>
      <c r="AT1728" t="s">
        <v>484</v>
      </c>
      <c r="AU1728" t="s">
        <v>521</v>
      </c>
      <c r="AW1728" t="s">
        <v>486</v>
      </c>
      <c r="BF1728" s="1"/>
      <c r="BG1728" t="s">
        <v>523</v>
      </c>
      <c r="BH1728" t="s">
        <v>1366</v>
      </c>
      <c r="BP1728" t="s">
        <v>1489</v>
      </c>
    </row>
    <row r="1729" spans="1:68" x14ac:dyDescent="0.25">
      <c r="A1729" t="s">
        <v>5713</v>
      </c>
      <c r="B1729" t="s">
        <v>474</v>
      </c>
      <c r="C1729" t="s">
        <v>1486</v>
      </c>
      <c r="E1729" t="s">
        <v>480</v>
      </c>
      <c r="G1729" s="1" t="s">
        <v>5022</v>
      </c>
      <c r="H1729" t="s">
        <v>1195</v>
      </c>
      <c r="J1729">
        <v>500000</v>
      </c>
      <c r="P1729" t="s">
        <v>105</v>
      </c>
      <c r="R1729" t="s">
        <v>988</v>
      </c>
      <c r="S1729" t="s">
        <v>5205</v>
      </c>
      <c r="T1729" t="s">
        <v>5206</v>
      </c>
      <c r="V1729" t="s">
        <v>5207</v>
      </c>
      <c r="W1729" t="s">
        <v>73</v>
      </c>
      <c r="AE1729" t="s">
        <v>478</v>
      </c>
      <c r="AF1729" t="s">
        <v>479</v>
      </c>
      <c r="AL1729" t="s">
        <v>919</v>
      </c>
      <c r="AM1729" t="s">
        <v>919</v>
      </c>
      <c r="AO1729" t="s">
        <v>480</v>
      </c>
      <c r="AP1729" t="s">
        <v>481</v>
      </c>
      <c r="AQ1729" t="s">
        <v>607</v>
      </c>
      <c r="AR1729" t="s">
        <v>482</v>
      </c>
      <c r="AS1729" t="s">
        <v>483</v>
      </c>
      <c r="AT1729" t="s">
        <v>484</v>
      </c>
      <c r="AU1729" t="s">
        <v>521</v>
      </c>
      <c r="AW1729" t="s">
        <v>486</v>
      </c>
      <c r="BF1729" s="1"/>
      <c r="BG1729" t="s">
        <v>523</v>
      </c>
      <c r="BH1729" t="s">
        <v>1366</v>
      </c>
      <c r="BP1729" t="s">
        <v>1489</v>
      </c>
    </row>
    <row r="1730" spans="1:68" x14ac:dyDescent="0.25">
      <c r="A1730" t="s">
        <v>5713</v>
      </c>
      <c r="B1730" t="s">
        <v>474</v>
      </c>
      <c r="C1730" t="s">
        <v>1486</v>
      </c>
      <c r="E1730" t="s">
        <v>480</v>
      </c>
      <c r="G1730" s="1" t="s">
        <v>5022</v>
      </c>
      <c r="H1730" t="s">
        <v>1196</v>
      </c>
      <c r="J1730">
        <v>500000</v>
      </c>
      <c r="P1730" t="s">
        <v>158</v>
      </c>
      <c r="R1730" t="s">
        <v>988</v>
      </c>
      <c r="S1730" t="s">
        <v>5208</v>
      </c>
      <c r="T1730" t="s">
        <v>3573</v>
      </c>
      <c r="V1730" t="s">
        <v>5209</v>
      </c>
      <c r="W1730" t="s">
        <v>73</v>
      </c>
      <c r="AE1730" t="s">
        <v>478</v>
      </c>
      <c r="AF1730" t="s">
        <v>479</v>
      </c>
      <c r="AL1730" t="s">
        <v>919</v>
      </c>
      <c r="AM1730" t="s">
        <v>919</v>
      </c>
      <c r="AO1730" t="s">
        <v>480</v>
      </c>
      <c r="AP1730" t="s">
        <v>481</v>
      </c>
      <c r="AQ1730" t="s">
        <v>690</v>
      </c>
      <c r="AR1730" t="s">
        <v>482</v>
      </c>
      <c r="AS1730" t="s">
        <v>483</v>
      </c>
      <c r="AT1730" t="s">
        <v>484</v>
      </c>
      <c r="AU1730" t="s">
        <v>521</v>
      </c>
      <c r="AW1730" t="s">
        <v>486</v>
      </c>
      <c r="BF1730" s="1"/>
      <c r="BG1730" t="s">
        <v>523</v>
      </c>
      <c r="BH1730" t="s">
        <v>1366</v>
      </c>
      <c r="BP1730" t="s">
        <v>1489</v>
      </c>
    </row>
    <row r="1731" spans="1:68" x14ac:dyDescent="0.25">
      <c r="A1731" t="s">
        <v>5713</v>
      </c>
      <c r="B1731" t="s">
        <v>474</v>
      </c>
      <c r="C1731" t="s">
        <v>1486</v>
      </c>
      <c r="E1731" t="s">
        <v>480</v>
      </c>
      <c r="G1731" s="1" t="s">
        <v>5022</v>
      </c>
      <c r="H1731" t="s">
        <v>1197</v>
      </c>
      <c r="J1731">
        <v>500000</v>
      </c>
      <c r="P1731" t="s">
        <v>104</v>
      </c>
      <c r="R1731" t="s">
        <v>988</v>
      </c>
      <c r="S1731" t="s">
        <v>5210</v>
      </c>
      <c r="T1731" t="s">
        <v>5211</v>
      </c>
      <c r="V1731" t="s">
        <v>5212</v>
      </c>
      <c r="W1731" t="s">
        <v>73</v>
      </c>
      <c r="AE1731" t="s">
        <v>478</v>
      </c>
      <c r="AF1731" t="s">
        <v>479</v>
      </c>
      <c r="AL1731" t="s">
        <v>919</v>
      </c>
      <c r="AM1731" t="s">
        <v>919</v>
      </c>
      <c r="AO1731" t="s">
        <v>480</v>
      </c>
      <c r="AP1731" t="s">
        <v>481</v>
      </c>
      <c r="AQ1731" t="s">
        <v>637</v>
      </c>
      <c r="AR1731" t="s">
        <v>482</v>
      </c>
      <c r="AS1731" t="s">
        <v>483</v>
      </c>
      <c r="AT1731" t="s">
        <v>484</v>
      </c>
      <c r="AU1731" t="s">
        <v>521</v>
      </c>
      <c r="AW1731" t="s">
        <v>486</v>
      </c>
      <c r="BF1731" s="1"/>
      <c r="BG1731" t="s">
        <v>523</v>
      </c>
      <c r="BH1731" t="s">
        <v>1366</v>
      </c>
      <c r="BP1731" t="s">
        <v>1489</v>
      </c>
    </row>
    <row r="1732" spans="1:68" x14ac:dyDescent="0.25">
      <c r="A1732" t="s">
        <v>5713</v>
      </c>
      <c r="B1732" t="s">
        <v>474</v>
      </c>
      <c r="C1732" t="s">
        <v>1486</v>
      </c>
      <c r="E1732" t="s">
        <v>480</v>
      </c>
      <c r="G1732" s="1" t="s">
        <v>5022</v>
      </c>
      <c r="H1732" t="s">
        <v>1198</v>
      </c>
      <c r="J1732">
        <v>500000</v>
      </c>
      <c r="P1732" t="s">
        <v>113</v>
      </c>
      <c r="R1732" t="s">
        <v>988</v>
      </c>
      <c r="S1732" t="s">
        <v>5213</v>
      </c>
      <c r="T1732" t="s">
        <v>5214</v>
      </c>
      <c r="V1732" t="s">
        <v>5215</v>
      </c>
      <c r="W1732" t="s">
        <v>73</v>
      </c>
      <c r="AE1732" t="s">
        <v>478</v>
      </c>
      <c r="AF1732" t="s">
        <v>479</v>
      </c>
      <c r="AL1732" t="s">
        <v>919</v>
      </c>
      <c r="AM1732" t="s">
        <v>919</v>
      </c>
      <c r="AO1732" t="s">
        <v>480</v>
      </c>
      <c r="AP1732" t="s">
        <v>481</v>
      </c>
      <c r="AQ1732" t="s">
        <v>657</v>
      </c>
      <c r="AR1732" t="s">
        <v>482</v>
      </c>
      <c r="AS1732" t="s">
        <v>483</v>
      </c>
      <c r="AT1732" t="s">
        <v>484</v>
      </c>
      <c r="AU1732" t="s">
        <v>521</v>
      </c>
      <c r="AW1732" t="s">
        <v>486</v>
      </c>
      <c r="BF1732" s="1"/>
      <c r="BG1732" t="s">
        <v>523</v>
      </c>
      <c r="BH1732" t="s">
        <v>1366</v>
      </c>
      <c r="BP1732" t="s">
        <v>1489</v>
      </c>
    </row>
    <row r="1733" spans="1:68" x14ac:dyDescent="0.25">
      <c r="A1733" t="s">
        <v>5713</v>
      </c>
      <c r="B1733" t="s">
        <v>474</v>
      </c>
      <c r="C1733" t="s">
        <v>1486</v>
      </c>
      <c r="E1733" t="s">
        <v>480</v>
      </c>
      <c r="G1733" s="1" t="s">
        <v>5022</v>
      </c>
      <c r="H1733" t="s">
        <v>1199</v>
      </c>
      <c r="J1733">
        <v>500000</v>
      </c>
      <c r="P1733" t="s">
        <v>72</v>
      </c>
      <c r="R1733" t="s">
        <v>988</v>
      </c>
      <c r="S1733" t="s">
        <v>5216</v>
      </c>
      <c r="T1733" t="s">
        <v>5217</v>
      </c>
      <c r="V1733" t="s">
        <v>5218</v>
      </c>
      <c r="W1733" t="s">
        <v>73</v>
      </c>
      <c r="AE1733" t="s">
        <v>478</v>
      </c>
      <c r="AF1733" t="s">
        <v>479</v>
      </c>
      <c r="AL1733" t="s">
        <v>919</v>
      </c>
      <c r="AM1733" t="s">
        <v>919</v>
      </c>
      <c r="AO1733" t="s">
        <v>480</v>
      </c>
      <c r="AP1733" t="s">
        <v>481</v>
      </c>
      <c r="AQ1733" t="s">
        <v>757</v>
      </c>
      <c r="AR1733" t="s">
        <v>482</v>
      </c>
      <c r="AS1733" t="s">
        <v>483</v>
      </c>
      <c r="AT1733" t="s">
        <v>484</v>
      </c>
      <c r="AU1733" t="s">
        <v>521</v>
      </c>
      <c r="AW1733" t="s">
        <v>486</v>
      </c>
      <c r="BF1733" s="1"/>
      <c r="BG1733" t="s">
        <v>523</v>
      </c>
      <c r="BH1733" t="s">
        <v>1366</v>
      </c>
      <c r="BP1733" t="s">
        <v>1489</v>
      </c>
    </row>
    <row r="1734" spans="1:68" x14ac:dyDescent="0.25">
      <c r="A1734" t="s">
        <v>5713</v>
      </c>
      <c r="B1734" t="s">
        <v>474</v>
      </c>
      <c r="C1734" t="s">
        <v>1486</v>
      </c>
      <c r="E1734" t="s">
        <v>480</v>
      </c>
      <c r="G1734" s="1" t="s">
        <v>5022</v>
      </c>
      <c r="H1734" t="s">
        <v>1200</v>
      </c>
      <c r="J1734">
        <v>500000</v>
      </c>
      <c r="P1734" t="s">
        <v>77</v>
      </c>
      <c r="R1734" t="s">
        <v>988</v>
      </c>
      <c r="S1734" t="s">
        <v>5219</v>
      </c>
      <c r="T1734" t="s">
        <v>5220</v>
      </c>
      <c r="V1734" t="s">
        <v>5221</v>
      </c>
      <c r="W1734" t="s">
        <v>73</v>
      </c>
      <c r="AE1734" t="s">
        <v>478</v>
      </c>
      <c r="AF1734" t="s">
        <v>479</v>
      </c>
      <c r="AL1734" t="s">
        <v>919</v>
      </c>
      <c r="AM1734" t="s">
        <v>919</v>
      </c>
      <c r="AO1734" t="s">
        <v>480</v>
      </c>
      <c r="AP1734" t="s">
        <v>481</v>
      </c>
      <c r="AQ1734" t="s">
        <v>533</v>
      </c>
      <c r="AR1734" t="s">
        <v>482</v>
      </c>
      <c r="AS1734" t="s">
        <v>483</v>
      </c>
      <c r="AT1734" t="s">
        <v>484</v>
      </c>
      <c r="AU1734" t="s">
        <v>521</v>
      </c>
      <c r="AW1734" t="s">
        <v>486</v>
      </c>
      <c r="BF1734" s="1"/>
      <c r="BG1734" t="s">
        <v>523</v>
      </c>
      <c r="BH1734" t="s">
        <v>1366</v>
      </c>
      <c r="BP1734" t="s">
        <v>1489</v>
      </c>
    </row>
    <row r="1735" spans="1:68" x14ac:dyDescent="0.25">
      <c r="A1735" t="s">
        <v>5713</v>
      </c>
      <c r="B1735" t="s">
        <v>474</v>
      </c>
      <c r="C1735" t="s">
        <v>1486</v>
      </c>
      <c r="E1735" t="s">
        <v>480</v>
      </c>
      <c r="G1735" s="1" t="s">
        <v>5022</v>
      </c>
      <c r="H1735" t="s">
        <v>1201</v>
      </c>
      <c r="J1735">
        <v>500000</v>
      </c>
      <c r="P1735" t="s">
        <v>97</v>
      </c>
      <c r="R1735" t="s">
        <v>988</v>
      </c>
      <c r="S1735" t="s">
        <v>5222</v>
      </c>
      <c r="T1735" t="s">
        <v>5223</v>
      </c>
      <c r="V1735" t="s">
        <v>5224</v>
      </c>
      <c r="W1735" t="s">
        <v>73</v>
      </c>
      <c r="AE1735" t="s">
        <v>478</v>
      </c>
      <c r="AF1735" t="s">
        <v>479</v>
      </c>
      <c r="AL1735" t="s">
        <v>919</v>
      </c>
      <c r="AM1735" t="s">
        <v>919</v>
      </c>
      <c r="AO1735" t="s">
        <v>480</v>
      </c>
      <c r="AP1735" t="s">
        <v>481</v>
      </c>
      <c r="AQ1735" t="s">
        <v>677</v>
      </c>
      <c r="AR1735" t="s">
        <v>482</v>
      </c>
      <c r="AS1735" t="s">
        <v>483</v>
      </c>
      <c r="AT1735" t="s">
        <v>484</v>
      </c>
      <c r="AU1735" t="s">
        <v>521</v>
      </c>
      <c r="AW1735" t="s">
        <v>486</v>
      </c>
      <c r="BF1735" s="1"/>
      <c r="BG1735" t="s">
        <v>523</v>
      </c>
      <c r="BH1735" t="s">
        <v>1366</v>
      </c>
      <c r="BP1735" t="s">
        <v>1489</v>
      </c>
    </row>
    <row r="1736" spans="1:68" x14ac:dyDescent="0.25">
      <c r="A1736" t="s">
        <v>5713</v>
      </c>
      <c r="B1736" t="s">
        <v>474</v>
      </c>
      <c r="C1736" t="s">
        <v>1486</v>
      </c>
      <c r="E1736" t="s">
        <v>480</v>
      </c>
      <c r="G1736" s="1" t="s">
        <v>5022</v>
      </c>
      <c r="H1736" t="s">
        <v>1202</v>
      </c>
      <c r="J1736">
        <v>500000</v>
      </c>
      <c r="P1736" t="s">
        <v>75</v>
      </c>
      <c r="R1736" t="s">
        <v>988</v>
      </c>
      <c r="S1736" t="s">
        <v>5225</v>
      </c>
      <c r="T1736" t="s">
        <v>5226</v>
      </c>
      <c r="V1736" t="s">
        <v>5227</v>
      </c>
      <c r="W1736" t="s">
        <v>73</v>
      </c>
      <c r="AE1736" t="s">
        <v>478</v>
      </c>
      <c r="AF1736" t="s">
        <v>479</v>
      </c>
      <c r="AL1736" t="s">
        <v>919</v>
      </c>
      <c r="AM1736" t="s">
        <v>919</v>
      </c>
      <c r="AO1736" t="s">
        <v>480</v>
      </c>
      <c r="AP1736" t="s">
        <v>481</v>
      </c>
      <c r="AQ1736" t="s">
        <v>599</v>
      </c>
      <c r="AR1736" t="s">
        <v>482</v>
      </c>
      <c r="AS1736" t="s">
        <v>483</v>
      </c>
      <c r="AT1736" t="s">
        <v>484</v>
      </c>
      <c r="AU1736" t="s">
        <v>521</v>
      </c>
      <c r="AW1736" t="s">
        <v>486</v>
      </c>
      <c r="BF1736" s="1"/>
      <c r="BG1736" t="s">
        <v>523</v>
      </c>
      <c r="BH1736" t="s">
        <v>1366</v>
      </c>
      <c r="BP1736" t="s">
        <v>1489</v>
      </c>
    </row>
    <row r="1737" spans="1:68" x14ac:dyDescent="0.25">
      <c r="A1737" t="s">
        <v>5713</v>
      </c>
      <c r="B1737" t="s">
        <v>474</v>
      </c>
      <c r="C1737" t="s">
        <v>1486</v>
      </c>
      <c r="E1737" t="s">
        <v>480</v>
      </c>
      <c r="G1737" s="1" t="s">
        <v>5022</v>
      </c>
      <c r="H1737" t="s">
        <v>1203</v>
      </c>
      <c r="J1737">
        <v>500000</v>
      </c>
      <c r="P1737" t="s">
        <v>112</v>
      </c>
      <c r="R1737" t="s">
        <v>988</v>
      </c>
      <c r="S1737" t="s">
        <v>5228</v>
      </c>
      <c r="T1737" t="s">
        <v>5229</v>
      </c>
      <c r="V1737" t="s">
        <v>5230</v>
      </c>
      <c r="W1737" t="s">
        <v>73</v>
      </c>
      <c r="AE1737" t="s">
        <v>478</v>
      </c>
      <c r="AF1737" t="s">
        <v>479</v>
      </c>
      <c r="AL1737" t="s">
        <v>919</v>
      </c>
      <c r="AM1737" t="s">
        <v>919</v>
      </c>
      <c r="AO1737" t="s">
        <v>480</v>
      </c>
      <c r="AP1737" t="s">
        <v>481</v>
      </c>
      <c r="AQ1737" t="s">
        <v>577</v>
      </c>
      <c r="AR1737" t="s">
        <v>482</v>
      </c>
      <c r="AS1737" t="s">
        <v>483</v>
      </c>
      <c r="AT1737" t="s">
        <v>484</v>
      </c>
      <c r="AU1737" t="s">
        <v>521</v>
      </c>
      <c r="AW1737" t="s">
        <v>486</v>
      </c>
      <c r="BF1737" s="1"/>
      <c r="BG1737" t="s">
        <v>523</v>
      </c>
      <c r="BH1737" t="s">
        <v>1366</v>
      </c>
      <c r="BP1737" t="s">
        <v>1489</v>
      </c>
    </row>
    <row r="1738" spans="1:68" x14ac:dyDescent="0.25">
      <c r="A1738" t="s">
        <v>5713</v>
      </c>
      <c r="B1738" t="s">
        <v>474</v>
      </c>
      <c r="C1738" t="s">
        <v>1486</v>
      </c>
      <c r="E1738" t="s">
        <v>480</v>
      </c>
      <c r="G1738" s="1" t="s">
        <v>5022</v>
      </c>
      <c r="H1738" t="s">
        <v>5231</v>
      </c>
      <c r="J1738">
        <v>500000</v>
      </c>
      <c r="P1738" t="s">
        <v>120</v>
      </c>
      <c r="R1738" t="s">
        <v>1000</v>
      </c>
      <c r="S1738" t="s">
        <v>5232</v>
      </c>
      <c r="T1738" t="s">
        <v>5233</v>
      </c>
      <c r="V1738" t="s">
        <v>5234</v>
      </c>
      <c r="W1738" t="s">
        <v>73</v>
      </c>
      <c r="AE1738" t="s">
        <v>478</v>
      </c>
      <c r="AF1738" t="s">
        <v>479</v>
      </c>
      <c r="AL1738" t="s">
        <v>919</v>
      </c>
      <c r="AM1738" t="s">
        <v>919</v>
      </c>
      <c r="AO1738" t="s">
        <v>480</v>
      </c>
      <c r="AP1738" t="s">
        <v>481</v>
      </c>
      <c r="AQ1738" t="s">
        <v>632</v>
      </c>
      <c r="AR1738" t="s">
        <v>482</v>
      </c>
      <c r="AS1738" t="s">
        <v>483</v>
      </c>
      <c r="AT1738" t="s">
        <v>484</v>
      </c>
      <c r="AU1738" t="s">
        <v>521</v>
      </c>
      <c r="AW1738" t="s">
        <v>486</v>
      </c>
      <c r="BF1738" s="1"/>
      <c r="BG1738" t="s">
        <v>523</v>
      </c>
      <c r="BH1738" t="s">
        <v>1366</v>
      </c>
      <c r="BP1738" t="s">
        <v>1489</v>
      </c>
    </row>
    <row r="1739" spans="1:68" x14ac:dyDescent="0.25">
      <c r="A1739" t="s">
        <v>5713</v>
      </c>
      <c r="B1739" t="s">
        <v>474</v>
      </c>
      <c r="C1739" t="s">
        <v>1486</v>
      </c>
      <c r="E1739" t="s">
        <v>480</v>
      </c>
      <c r="G1739" s="1" t="s">
        <v>5022</v>
      </c>
      <c r="H1739" t="s">
        <v>1362</v>
      </c>
      <c r="J1739">
        <v>500000</v>
      </c>
      <c r="P1739" t="s">
        <v>91</v>
      </c>
      <c r="R1739" t="s">
        <v>988</v>
      </c>
      <c r="S1739" t="s">
        <v>5235</v>
      </c>
      <c r="T1739" t="s">
        <v>5236</v>
      </c>
      <c r="V1739" t="s">
        <v>5237</v>
      </c>
      <c r="W1739" t="s">
        <v>235</v>
      </c>
      <c r="AE1739" t="s">
        <v>478</v>
      </c>
      <c r="AF1739" t="s">
        <v>479</v>
      </c>
      <c r="AL1739" t="s">
        <v>919</v>
      </c>
      <c r="AM1739" t="s">
        <v>919</v>
      </c>
      <c r="AO1739" t="s">
        <v>480</v>
      </c>
      <c r="AP1739" t="s">
        <v>481</v>
      </c>
      <c r="AQ1739" t="s">
        <v>738</v>
      </c>
      <c r="AR1739" t="s">
        <v>482</v>
      </c>
      <c r="AS1739" t="s">
        <v>483</v>
      </c>
      <c r="AT1739" t="s">
        <v>484</v>
      </c>
      <c r="AU1739" t="s">
        <v>130</v>
      </c>
      <c r="AW1739" t="s">
        <v>486</v>
      </c>
      <c r="BF1739" s="1"/>
      <c r="BG1739" t="s">
        <v>266</v>
      </c>
      <c r="BH1739" t="s">
        <v>1366</v>
      </c>
      <c r="BP1739" t="s">
        <v>1489</v>
      </c>
    </row>
    <row r="1740" spans="1:68" x14ac:dyDescent="0.25">
      <c r="A1740" t="s">
        <v>5713</v>
      </c>
      <c r="B1740" t="s">
        <v>474</v>
      </c>
      <c r="C1740" t="s">
        <v>1486</v>
      </c>
      <c r="E1740" t="s">
        <v>480</v>
      </c>
      <c r="G1740" s="1" t="s">
        <v>5022</v>
      </c>
      <c r="H1740" t="s">
        <v>1206</v>
      </c>
      <c r="J1740">
        <v>500000</v>
      </c>
      <c r="P1740" t="s">
        <v>143</v>
      </c>
      <c r="R1740" t="s">
        <v>988</v>
      </c>
      <c r="S1740" t="s">
        <v>5238</v>
      </c>
      <c r="T1740" t="s">
        <v>5239</v>
      </c>
      <c r="V1740" t="s">
        <v>5240</v>
      </c>
      <c r="W1740" t="s">
        <v>235</v>
      </c>
      <c r="AE1740" t="s">
        <v>478</v>
      </c>
      <c r="AF1740" t="s">
        <v>479</v>
      </c>
      <c r="AL1740" t="s">
        <v>919</v>
      </c>
      <c r="AM1740" t="s">
        <v>919</v>
      </c>
      <c r="AO1740" t="s">
        <v>480</v>
      </c>
      <c r="AP1740" t="s">
        <v>481</v>
      </c>
      <c r="AQ1740" t="s">
        <v>785</v>
      </c>
      <c r="AR1740" t="s">
        <v>482</v>
      </c>
      <c r="AS1740" t="s">
        <v>483</v>
      </c>
      <c r="AT1740" t="s">
        <v>484</v>
      </c>
      <c r="AU1740" t="s">
        <v>130</v>
      </c>
      <c r="AW1740" t="s">
        <v>486</v>
      </c>
      <c r="BF1740" s="1"/>
      <c r="BG1740" t="s">
        <v>266</v>
      </c>
      <c r="BH1740" t="s">
        <v>1366</v>
      </c>
      <c r="BP1740" t="s">
        <v>1489</v>
      </c>
    </row>
    <row r="1741" spans="1:68" x14ac:dyDescent="0.25">
      <c r="A1741" t="s">
        <v>5713</v>
      </c>
      <c r="B1741" t="s">
        <v>474</v>
      </c>
      <c r="C1741" t="s">
        <v>1486</v>
      </c>
      <c r="E1741" t="s">
        <v>480</v>
      </c>
      <c r="G1741" s="1" t="s">
        <v>5022</v>
      </c>
      <c r="H1741" t="s">
        <v>1208</v>
      </c>
      <c r="J1741">
        <v>500000</v>
      </c>
      <c r="P1741" t="s">
        <v>92</v>
      </c>
      <c r="R1741" t="s">
        <v>988</v>
      </c>
      <c r="S1741" t="s">
        <v>5241</v>
      </c>
      <c r="T1741" t="s">
        <v>5242</v>
      </c>
      <c r="V1741" t="s">
        <v>5243</v>
      </c>
      <c r="W1741" t="s">
        <v>235</v>
      </c>
      <c r="AE1741" t="s">
        <v>478</v>
      </c>
      <c r="AF1741" t="s">
        <v>479</v>
      </c>
      <c r="AL1741" t="s">
        <v>919</v>
      </c>
      <c r="AM1741" t="s">
        <v>919</v>
      </c>
      <c r="AO1741" t="s">
        <v>480</v>
      </c>
      <c r="AP1741" t="s">
        <v>481</v>
      </c>
      <c r="AQ1741" t="s">
        <v>713</v>
      </c>
      <c r="AR1741" t="s">
        <v>482</v>
      </c>
      <c r="AS1741" t="s">
        <v>483</v>
      </c>
      <c r="AT1741" t="s">
        <v>484</v>
      </c>
      <c r="AU1741" t="s">
        <v>130</v>
      </c>
      <c r="AW1741" t="s">
        <v>486</v>
      </c>
      <c r="BF1741" s="1"/>
      <c r="BG1741" t="s">
        <v>266</v>
      </c>
      <c r="BH1741" t="s">
        <v>1366</v>
      </c>
      <c r="BP1741" t="s">
        <v>1489</v>
      </c>
    </row>
    <row r="1742" spans="1:68" x14ac:dyDescent="0.25">
      <c r="A1742" t="s">
        <v>5713</v>
      </c>
      <c r="B1742" t="s">
        <v>474</v>
      </c>
      <c r="C1742" t="s">
        <v>1486</v>
      </c>
      <c r="E1742" t="s">
        <v>480</v>
      </c>
      <c r="G1742" s="1" t="s">
        <v>5022</v>
      </c>
      <c r="H1742" t="s">
        <v>5244</v>
      </c>
      <c r="J1742">
        <v>500000</v>
      </c>
      <c r="P1742" t="s">
        <v>96</v>
      </c>
      <c r="R1742" t="s">
        <v>1000</v>
      </c>
      <c r="S1742" t="s">
        <v>5245</v>
      </c>
      <c r="T1742" t="s">
        <v>5246</v>
      </c>
      <c r="V1742" t="s">
        <v>5247</v>
      </c>
      <c r="W1742" t="s">
        <v>235</v>
      </c>
      <c r="AE1742" t="s">
        <v>478</v>
      </c>
      <c r="AF1742" t="s">
        <v>479</v>
      </c>
      <c r="AL1742" t="s">
        <v>919</v>
      </c>
      <c r="AM1742" t="s">
        <v>919</v>
      </c>
      <c r="AO1742" t="s">
        <v>480</v>
      </c>
      <c r="AP1742" t="s">
        <v>481</v>
      </c>
      <c r="AQ1742" t="s">
        <v>737</v>
      </c>
      <c r="AR1742" t="s">
        <v>482</v>
      </c>
      <c r="AS1742" t="s">
        <v>483</v>
      </c>
      <c r="AT1742" t="s">
        <v>484</v>
      </c>
      <c r="AU1742" t="s">
        <v>130</v>
      </c>
      <c r="AW1742" t="s">
        <v>486</v>
      </c>
      <c r="BF1742" s="1"/>
      <c r="BG1742" t="s">
        <v>266</v>
      </c>
      <c r="BH1742" t="s">
        <v>1366</v>
      </c>
      <c r="BP1742" t="s">
        <v>1489</v>
      </c>
    </row>
    <row r="1743" spans="1:68" x14ac:dyDescent="0.25">
      <c r="A1743" t="s">
        <v>5713</v>
      </c>
      <c r="B1743" t="s">
        <v>474</v>
      </c>
      <c r="C1743" t="s">
        <v>1486</v>
      </c>
      <c r="E1743" t="s">
        <v>480</v>
      </c>
      <c r="G1743" s="1" t="s">
        <v>5022</v>
      </c>
      <c r="H1743" t="s">
        <v>1210</v>
      </c>
      <c r="J1743">
        <v>500000</v>
      </c>
      <c r="P1743" t="s">
        <v>90</v>
      </c>
      <c r="R1743" t="s">
        <v>988</v>
      </c>
      <c r="S1743" t="s">
        <v>5248</v>
      </c>
      <c r="T1743" t="s">
        <v>5249</v>
      </c>
      <c r="V1743" t="s">
        <v>5250</v>
      </c>
      <c r="W1743" t="s">
        <v>235</v>
      </c>
      <c r="AE1743" t="s">
        <v>478</v>
      </c>
      <c r="AF1743" t="s">
        <v>479</v>
      </c>
      <c r="AL1743" t="s">
        <v>919</v>
      </c>
      <c r="AM1743" t="s">
        <v>919</v>
      </c>
      <c r="AO1743" t="s">
        <v>480</v>
      </c>
      <c r="AP1743" t="s">
        <v>481</v>
      </c>
      <c r="AQ1743" t="s">
        <v>740</v>
      </c>
      <c r="AR1743" t="s">
        <v>482</v>
      </c>
      <c r="AS1743" t="s">
        <v>483</v>
      </c>
      <c r="AT1743" t="s">
        <v>484</v>
      </c>
      <c r="AU1743" t="s">
        <v>130</v>
      </c>
      <c r="AW1743" t="s">
        <v>486</v>
      </c>
      <c r="BF1743" s="1"/>
      <c r="BG1743" t="s">
        <v>266</v>
      </c>
      <c r="BH1743" t="s">
        <v>1366</v>
      </c>
      <c r="BP1743" t="s">
        <v>1489</v>
      </c>
    </row>
    <row r="1744" spans="1:68" x14ac:dyDescent="0.25">
      <c r="A1744" t="s">
        <v>5713</v>
      </c>
      <c r="B1744" t="s">
        <v>474</v>
      </c>
      <c r="C1744" t="s">
        <v>1486</v>
      </c>
      <c r="E1744" t="s">
        <v>480</v>
      </c>
      <c r="G1744" s="1" t="s">
        <v>5022</v>
      </c>
      <c r="H1744" t="s">
        <v>1211</v>
      </c>
      <c r="J1744">
        <v>500000</v>
      </c>
      <c r="P1744" t="s">
        <v>100</v>
      </c>
      <c r="R1744" t="s">
        <v>988</v>
      </c>
      <c r="S1744" t="s">
        <v>1438</v>
      </c>
      <c r="T1744" t="s">
        <v>1439</v>
      </c>
      <c r="V1744" t="s">
        <v>5251</v>
      </c>
      <c r="W1744" t="s">
        <v>235</v>
      </c>
      <c r="AE1744" t="s">
        <v>478</v>
      </c>
      <c r="AF1744" t="s">
        <v>479</v>
      </c>
      <c r="AL1744" t="s">
        <v>919</v>
      </c>
      <c r="AM1744" t="s">
        <v>919</v>
      </c>
      <c r="AO1744" t="s">
        <v>480</v>
      </c>
      <c r="AP1744" t="s">
        <v>481</v>
      </c>
      <c r="AQ1744" t="s">
        <v>709</v>
      </c>
      <c r="AR1744" t="s">
        <v>482</v>
      </c>
      <c r="AS1744" t="s">
        <v>483</v>
      </c>
      <c r="AT1744" t="s">
        <v>484</v>
      </c>
      <c r="AU1744" t="s">
        <v>130</v>
      </c>
      <c r="AW1744" t="s">
        <v>486</v>
      </c>
      <c r="BF1744" s="1"/>
      <c r="BG1744" t="s">
        <v>266</v>
      </c>
      <c r="BH1744" t="s">
        <v>1366</v>
      </c>
      <c r="BP1744" t="s">
        <v>1489</v>
      </c>
    </row>
    <row r="1745" spans="1:68" x14ac:dyDescent="0.25">
      <c r="A1745" t="s">
        <v>5713</v>
      </c>
      <c r="B1745" t="s">
        <v>474</v>
      </c>
      <c r="C1745" t="s">
        <v>1486</v>
      </c>
      <c r="E1745" t="s">
        <v>480</v>
      </c>
      <c r="G1745" s="1" t="s">
        <v>5022</v>
      </c>
      <c r="H1745" t="s">
        <v>1212</v>
      </c>
      <c r="J1745">
        <v>500000</v>
      </c>
      <c r="P1745" t="s">
        <v>117</v>
      </c>
      <c r="R1745" t="s">
        <v>988</v>
      </c>
      <c r="S1745" t="s">
        <v>5252</v>
      </c>
      <c r="T1745" t="s">
        <v>5253</v>
      </c>
      <c r="V1745" t="s">
        <v>5254</v>
      </c>
      <c r="W1745" t="s">
        <v>235</v>
      </c>
      <c r="AE1745" t="s">
        <v>478</v>
      </c>
      <c r="AF1745" t="s">
        <v>479</v>
      </c>
      <c r="AL1745" t="s">
        <v>919</v>
      </c>
      <c r="AM1745" t="s">
        <v>919</v>
      </c>
      <c r="AO1745" t="s">
        <v>480</v>
      </c>
      <c r="AP1745" t="s">
        <v>481</v>
      </c>
      <c r="AQ1745" t="s">
        <v>718</v>
      </c>
      <c r="AR1745" t="s">
        <v>482</v>
      </c>
      <c r="AS1745" t="s">
        <v>483</v>
      </c>
      <c r="AT1745" t="s">
        <v>484</v>
      </c>
      <c r="AU1745" t="s">
        <v>130</v>
      </c>
      <c r="AW1745" t="s">
        <v>486</v>
      </c>
      <c r="BF1745" s="1"/>
      <c r="BG1745" t="s">
        <v>266</v>
      </c>
      <c r="BH1745" t="s">
        <v>1366</v>
      </c>
      <c r="BP1745" t="s">
        <v>1489</v>
      </c>
    </row>
    <row r="1746" spans="1:68" x14ac:dyDescent="0.25">
      <c r="A1746" t="s">
        <v>5713</v>
      </c>
      <c r="B1746" t="s">
        <v>474</v>
      </c>
      <c r="C1746" t="s">
        <v>1486</v>
      </c>
      <c r="E1746" t="s">
        <v>480</v>
      </c>
      <c r="G1746" s="1" t="s">
        <v>5022</v>
      </c>
      <c r="H1746" t="s">
        <v>1213</v>
      </c>
      <c r="J1746">
        <v>500000</v>
      </c>
      <c r="P1746" t="s">
        <v>118</v>
      </c>
      <c r="R1746" t="s">
        <v>988</v>
      </c>
      <c r="S1746" t="s">
        <v>5255</v>
      </c>
      <c r="T1746" t="s">
        <v>5256</v>
      </c>
      <c r="V1746" t="s">
        <v>5257</v>
      </c>
      <c r="W1746" t="s">
        <v>235</v>
      </c>
      <c r="AE1746" t="s">
        <v>478</v>
      </c>
      <c r="AF1746" t="s">
        <v>479</v>
      </c>
      <c r="AL1746" t="s">
        <v>919</v>
      </c>
      <c r="AM1746" t="s">
        <v>919</v>
      </c>
      <c r="AO1746" t="s">
        <v>480</v>
      </c>
      <c r="AP1746" t="s">
        <v>481</v>
      </c>
      <c r="AQ1746" t="s">
        <v>705</v>
      </c>
      <c r="AR1746" t="s">
        <v>482</v>
      </c>
      <c r="AS1746" t="s">
        <v>483</v>
      </c>
      <c r="AT1746" t="s">
        <v>484</v>
      </c>
      <c r="AU1746" t="s">
        <v>130</v>
      </c>
      <c r="AW1746" t="s">
        <v>486</v>
      </c>
      <c r="BF1746" s="1"/>
      <c r="BG1746" t="s">
        <v>266</v>
      </c>
      <c r="BH1746" t="s">
        <v>1366</v>
      </c>
      <c r="BP1746" t="s">
        <v>1489</v>
      </c>
    </row>
    <row r="1747" spans="1:68" x14ac:dyDescent="0.25">
      <c r="A1747" t="s">
        <v>5713</v>
      </c>
      <c r="B1747" t="s">
        <v>474</v>
      </c>
      <c r="C1747" t="s">
        <v>1486</v>
      </c>
      <c r="E1747" t="s">
        <v>480</v>
      </c>
      <c r="G1747" s="1" t="s">
        <v>5022</v>
      </c>
      <c r="H1747" t="s">
        <v>1214</v>
      </c>
      <c r="J1747">
        <v>500000</v>
      </c>
      <c r="P1747" t="s">
        <v>122</v>
      </c>
      <c r="R1747" t="s">
        <v>988</v>
      </c>
      <c r="S1747" t="s">
        <v>5258</v>
      </c>
      <c r="T1747" t="s">
        <v>5259</v>
      </c>
      <c r="V1747" t="s">
        <v>5260</v>
      </c>
      <c r="W1747" t="s">
        <v>235</v>
      </c>
      <c r="AE1747" t="s">
        <v>478</v>
      </c>
      <c r="AF1747" t="s">
        <v>479</v>
      </c>
      <c r="AL1747" t="s">
        <v>919</v>
      </c>
      <c r="AM1747" t="s">
        <v>919</v>
      </c>
      <c r="AO1747" t="s">
        <v>480</v>
      </c>
      <c r="AP1747" t="s">
        <v>481</v>
      </c>
      <c r="AQ1747" t="s">
        <v>721</v>
      </c>
      <c r="AR1747" t="s">
        <v>482</v>
      </c>
      <c r="AS1747" t="s">
        <v>483</v>
      </c>
      <c r="AT1747" t="s">
        <v>484</v>
      </c>
      <c r="AU1747" t="s">
        <v>130</v>
      </c>
      <c r="AW1747" t="s">
        <v>486</v>
      </c>
      <c r="BF1747" s="1"/>
      <c r="BG1747" t="s">
        <v>266</v>
      </c>
      <c r="BH1747" t="s">
        <v>1366</v>
      </c>
      <c r="BP1747" t="s">
        <v>1489</v>
      </c>
    </row>
    <row r="1748" spans="1:68" x14ac:dyDescent="0.25">
      <c r="A1748" t="s">
        <v>5713</v>
      </c>
      <c r="B1748" t="s">
        <v>474</v>
      </c>
      <c r="C1748" t="s">
        <v>1486</v>
      </c>
      <c r="E1748" t="s">
        <v>480</v>
      </c>
      <c r="G1748" s="1" t="s">
        <v>5022</v>
      </c>
      <c r="H1748" t="s">
        <v>1215</v>
      </c>
      <c r="J1748">
        <v>500000</v>
      </c>
      <c r="P1748" t="s">
        <v>438</v>
      </c>
      <c r="R1748" t="s">
        <v>988</v>
      </c>
      <c r="S1748" t="s">
        <v>5261</v>
      </c>
      <c r="T1748" t="s">
        <v>5262</v>
      </c>
      <c r="V1748" t="s">
        <v>5263</v>
      </c>
      <c r="W1748" t="s">
        <v>235</v>
      </c>
      <c r="AE1748" t="s">
        <v>478</v>
      </c>
      <c r="AF1748" t="s">
        <v>479</v>
      </c>
      <c r="AL1748" t="s">
        <v>919</v>
      </c>
      <c r="AM1748" t="s">
        <v>919</v>
      </c>
      <c r="AO1748" t="s">
        <v>480</v>
      </c>
      <c r="AP1748" t="s">
        <v>481</v>
      </c>
      <c r="AQ1748" t="s">
        <v>1523</v>
      </c>
      <c r="AR1748" t="s">
        <v>482</v>
      </c>
      <c r="AS1748" t="s">
        <v>483</v>
      </c>
      <c r="AT1748" t="s">
        <v>484</v>
      </c>
      <c r="AU1748" t="s">
        <v>130</v>
      </c>
      <c r="AW1748" t="s">
        <v>486</v>
      </c>
      <c r="BF1748" s="1"/>
      <c r="BG1748" t="s">
        <v>266</v>
      </c>
      <c r="BH1748" t="s">
        <v>1366</v>
      </c>
      <c r="BP1748" t="s">
        <v>1489</v>
      </c>
    </row>
    <row r="1749" spans="1:68" x14ac:dyDescent="0.25">
      <c r="A1749" t="s">
        <v>5713</v>
      </c>
      <c r="B1749" t="s">
        <v>474</v>
      </c>
      <c r="C1749" t="s">
        <v>1486</v>
      </c>
      <c r="E1749" t="s">
        <v>480</v>
      </c>
      <c r="G1749" s="1" t="s">
        <v>5264</v>
      </c>
      <c r="H1749" t="s">
        <v>476</v>
      </c>
      <c r="J1749">
        <v>500000</v>
      </c>
      <c r="P1749" t="s">
        <v>121</v>
      </c>
      <c r="R1749" t="s">
        <v>1000</v>
      </c>
      <c r="S1749" t="s">
        <v>5265</v>
      </c>
      <c r="T1749" t="s">
        <v>5266</v>
      </c>
      <c r="V1749" t="s">
        <v>5267</v>
      </c>
      <c r="W1749" t="s">
        <v>70</v>
      </c>
      <c r="AE1749" t="s">
        <v>478</v>
      </c>
      <c r="AF1749" t="s">
        <v>479</v>
      </c>
      <c r="AL1749" t="s">
        <v>919</v>
      </c>
      <c r="AM1749" t="s">
        <v>919</v>
      </c>
      <c r="AO1749" t="s">
        <v>480</v>
      </c>
      <c r="AP1749" t="s">
        <v>481</v>
      </c>
      <c r="AQ1749" t="s">
        <v>499</v>
      </c>
      <c r="AR1749" t="s">
        <v>482</v>
      </c>
      <c r="AS1749" t="s">
        <v>483</v>
      </c>
      <c r="AT1749" t="s">
        <v>484</v>
      </c>
      <c r="AU1749" t="s">
        <v>490</v>
      </c>
      <c r="AW1749" t="s">
        <v>486</v>
      </c>
      <c r="BF1749" s="1"/>
      <c r="BG1749" t="s">
        <v>71</v>
      </c>
      <c r="BH1749" t="s">
        <v>1366</v>
      </c>
      <c r="BP1749" t="s">
        <v>1489</v>
      </c>
    </row>
    <row r="1750" spans="1:68" x14ac:dyDescent="0.25">
      <c r="A1750" t="s">
        <v>5713</v>
      </c>
      <c r="B1750" t="s">
        <v>474</v>
      </c>
      <c r="C1750" t="s">
        <v>1486</v>
      </c>
      <c r="E1750" t="s">
        <v>480</v>
      </c>
      <c r="G1750" s="1" t="s">
        <v>5264</v>
      </c>
      <c r="H1750" t="s">
        <v>498</v>
      </c>
      <c r="J1750">
        <v>500000</v>
      </c>
      <c r="P1750" t="s">
        <v>129</v>
      </c>
      <c r="R1750" t="s">
        <v>1000</v>
      </c>
      <c r="S1750" t="s">
        <v>5268</v>
      </c>
      <c r="T1750" t="s">
        <v>5269</v>
      </c>
      <c r="V1750" t="s">
        <v>5270</v>
      </c>
      <c r="W1750" t="s">
        <v>73</v>
      </c>
      <c r="AE1750" t="s">
        <v>478</v>
      </c>
      <c r="AF1750" t="s">
        <v>479</v>
      </c>
      <c r="AL1750" t="s">
        <v>919</v>
      </c>
      <c r="AM1750" t="s">
        <v>919</v>
      </c>
      <c r="AO1750" t="s">
        <v>480</v>
      </c>
      <c r="AP1750" t="s">
        <v>481</v>
      </c>
      <c r="AQ1750" t="s">
        <v>691</v>
      </c>
      <c r="AR1750" t="s">
        <v>482</v>
      </c>
      <c r="AS1750" t="s">
        <v>483</v>
      </c>
      <c r="AT1750" t="s">
        <v>484</v>
      </c>
      <c r="AU1750" t="s">
        <v>521</v>
      </c>
      <c r="AW1750" t="s">
        <v>486</v>
      </c>
      <c r="BF1750" s="1"/>
      <c r="BG1750" t="s">
        <v>523</v>
      </c>
      <c r="BH1750" t="s">
        <v>1366</v>
      </c>
      <c r="BP1750" t="s">
        <v>1489</v>
      </c>
    </row>
    <row r="1751" spans="1:68" x14ac:dyDescent="0.25">
      <c r="A1751" t="s">
        <v>5713</v>
      </c>
      <c r="B1751" t="s">
        <v>474</v>
      </c>
      <c r="C1751" t="s">
        <v>1486</v>
      </c>
      <c r="E1751" t="s">
        <v>480</v>
      </c>
      <c r="G1751" s="1" t="s">
        <v>5264</v>
      </c>
      <c r="H1751" t="s">
        <v>517</v>
      </c>
      <c r="J1751">
        <v>500000</v>
      </c>
      <c r="P1751" t="s">
        <v>82</v>
      </c>
      <c r="R1751" t="s">
        <v>1000</v>
      </c>
      <c r="S1751" t="s">
        <v>5271</v>
      </c>
      <c r="T1751" t="s">
        <v>5272</v>
      </c>
      <c r="V1751" t="s">
        <v>5273</v>
      </c>
      <c r="W1751" t="s">
        <v>73</v>
      </c>
      <c r="AE1751" t="s">
        <v>478</v>
      </c>
      <c r="AF1751" t="s">
        <v>479</v>
      </c>
      <c r="AL1751" t="s">
        <v>919</v>
      </c>
      <c r="AM1751" t="s">
        <v>919</v>
      </c>
      <c r="AO1751" t="s">
        <v>480</v>
      </c>
      <c r="AP1751" t="s">
        <v>481</v>
      </c>
      <c r="AQ1751" t="s">
        <v>541</v>
      </c>
      <c r="AR1751" t="s">
        <v>482</v>
      </c>
      <c r="AS1751" t="s">
        <v>483</v>
      </c>
      <c r="AT1751" t="s">
        <v>484</v>
      </c>
      <c r="AU1751" t="s">
        <v>521</v>
      </c>
      <c r="AW1751" t="s">
        <v>486</v>
      </c>
      <c r="BF1751" s="1"/>
      <c r="BG1751" t="s">
        <v>523</v>
      </c>
      <c r="BH1751" t="s">
        <v>1366</v>
      </c>
      <c r="BP1751" t="s">
        <v>1489</v>
      </c>
    </row>
    <row r="1752" spans="1:68" x14ac:dyDescent="0.25">
      <c r="A1752" t="s">
        <v>5713</v>
      </c>
      <c r="B1752" t="s">
        <v>474</v>
      </c>
      <c r="C1752" t="s">
        <v>1486</v>
      </c>
      <c r="E1752" t="s">
        <v>480</v>
      </c>
      <c r="G1752" s="1" t="s">
        <v>5264</v>
      </c>
      <c r="H1752" t="s">
        <v>542</v>
      </c>
      <c r="J1752">
        <v>500000</v>
      </c>
      <c r="P1752" t="s">
        <v>154</v>
      </c>
      <c r="R1752" t="s">
        <v>1000</v>
      </c>
      <c r="S1752" t="s">
        <v>5274</v>
      </c>
      <c r="T1752" t="s">
        <v>5275</v>
      </c>
      <c r="V1752" t="s">
        <v>5276</v>
      </c>
      <c r="W1752" t="s">
        <v>73</v>
      </c>
      <c r="AE1752" t="s">
        <v>478</v>
      </c>
      <c r="AF1752" t="s">
        <v>479</v>
      </c>
      <c r="AL1752" t="s">
        <v>919</v>
      </c>
      <c r="AM1752" t="s">
        <v>919</v>
      </c>
      <c r="AO1752" t="s">
        <v>480</v>
      </c>
      <c r="AP1752" t="s">
        <v>481</v>
      </c>
      <c r="AQ1752" t="s">
        <v>531</v>
      </c>
      <c r="AR1752" t="s">
        <v>482</v>
      </c>
      <c r="AS1752" t="s">
        <v>483</v>
      </c>
      <c r="AT1752" t="s">
        <v>484</v>
      </c>
      <c r="AU1752" t="s">
        <v>521</v>
      </c>
      <c r="AW1752" t="s">
        <v>486</v>
      </c>
      <c r="BF1752" s="1"/>
      <c r="BG1752" t="s">
        <v>523</v>
      </c>
      <c r="BH1752" t="s">
        <v>1366</v>
      </c>
      <c r="BP1752" t="s">
        <v>1489</v>
      </c>
    </row>
    <row r="1753" spans="1:68" x14ac:dyDescent="0.25">
      <c r="A1753" t="s">
        <v>5713</v>
      </c>
      <c r="B1753" t="s">
        <v>474</v>
      </c>
      <c r="C1753" t="s">
        <v>1486</v>
      </c>
      <c r="E1753" t="s">
        <v>480</v>
      </c>
      <c r="G1753" s="1" t="s">
        <v>5264</v>
      </c>
      <c r="H1753" t="s">
        <v>549</v>
      </c>
      <c r="J1753">
        <v>500000</v>
      </c>
      <c r="P1753" t="s">
        <v>102</v>
      </c>
      <c r="R1753" t="s">
        <v>1000</v>
      </c>
      <c r="S1753" t="s">
        <v>5277</v>
      </c>
      <c r="T1753" t="s">
        <v>5278</v>
      </c>
      <c r="V1753" t="s">
        <v>5279</v>
      </c>
      <c r="W1753" t="s">
        <v>73</v>
      </c>
      <c r="AE1753" t="s">
        <v>478</v>
      </c>
      <c r="AF1753" t="s">
        <v>479</v>
      </c>
      <c r="AL1753" t="s">
        <v>919</v>
      </c>
      <c r="AM1753" t="s">
        <v>919</v>
      </c>
      <c r="AO1753" t="s">
        <v>480</v>
      </c>
      <c r="AP1753" t="s">
        <v>481</v>
      </c>
      <c r="AQ1753" t="s">
        <v>646</v>
      </c>
      <c r="AR1753" t="s">
        <v>482</v>
      </c>
      <c r="AS1753" t="s">
        <v>483</v>
      </c>
      <c r="AT1753" t="s">
        <v>484</v>
      </c>
      <c r="AU1753" t="s">
        <v>521</v>
      </c>
      <c r="AW1753" t="s">
        <v>486</v>
      </c>
      <c r="BF1753" s="1"/>
      <c r="BG1753" t="s">
        <v>523</v>
      </c>
      <c r="BH1753" t="s">
        <v>1366</v>
      </c>
      <c r="BP1753" t="s">
        <v>1489</v>
      </c>
    </row>
    <row r="1754" spans="1:68" x14ac:dyDescent="0.25">
      <c r="A1754" t="s">
        <v>5713</v>
      </c>
      <c r="B1754" t="s">
        <v>474</v>
      </c>
      <c r="C1754" t="s">
        <v>1486</v>
      </c>
      <c r="E1754" t="s">
        <v>480</v>
      </c>
      <c r="G1754" s="1" t="s">
        <v>5264</v>
      </c>
      <c r="H1754" t="s">
        <v>556</v>
      </c>
      <c r="J1754">
        <v>500000</v>
      </c>
      <c r="P1754" t="s">
        <v>81</v>
      </c>
      <c r="R1754" t="s">
        <v>1000</v>
      </c>
      <c r="S1754" t="s">
        <v>5280</v>
      </c>
      <c r="T1754" t="s">
        <v>5281</v>
      </c>
      <c r="V1754" t="s">
        <v>5282</v>
      </c>
      <c r="W1754" t="s">
        <v>73</v>
      </c>
      <c r="AE1754" t="s">
        <v>478</v>
      </c>
      <c r="AF1754" t="s">
        <v>479</v>
      </c>
      <c r="AL1754" t="s">
        <v>919</v>
      </c>
      <c r="AM1754" t="s">
        <v>919</v>
      </c>
      <c r="AO1754" t="s">
        <v>480</v>
      </c>
      <c r="AP1754" t="s">
        <v>481</v>
      </c>
      <c r="AQ1754" t="s">
        <v>805</v>
      </c>
      <c r="AR1754" t="s">
        <v>482</v>
      </c>
      <c r="AS1754" t="s">
        <v>483</v>
      </c>
      <c r="AT1754" t="s">
        <v>484</v>
      </c>
      <c r="AU1754" t="s">
        <v>521</v>
      </c>
      <c r="AW1754" t="s">
        <v>486</v>
      </c>
      <c r="BF1754" s="1"/>
      <c r="BG1754" t="s">
        <v>523</v>
      </c>
      <c r="BH1754" t="s">
        <v>1366</v>
      </c>
      <c r="BP1754" t="s">
        <v>1489</v>
      </c>
    </row>
    <row r="1755" spans="1:68" x14ac:dyDescent="0.25">
      <c r="A1755" t="s">
        <v>5713</v>
      </c>
      <c r="B1755" t="s">
        <v>474</v>
      </c>
      <c r="C1755" t="s">
        <v>1486</v>
      </c>
      <c r="E1755" t="s">
        <v>480</v>
      </c>
      <c r="G1755" s="1" t="s">
        <v>5264</v>
      </c>
      <c r="H1755" t="s">
        <v>562</v>
      </c>
      <c r="J1755">
        <v>500000</v>
      </c>
      <c r="P1755" t="s">
        <v>128</v>
      </c>
      <c r="R1755" t="s">
        <v>1000</v>
      </c>
      <c r="S1755" t="s">
        <v>5283</v>
      </c>
      <c r="T1755" t="s">
        <v>5284</v>
      </c>
      <c r="V1755" t="s">
        <v>5285</v>
      </c>
      <c r="W1755" t="s">
        <v>73</v>
      </c>
      <c r="AE1755" t="s">
        <v>478</v>
      </c>
      <c r="AF1755" t="s">
        <v>479</v>
      </c>
      <c r="AL1755" t="s">
        <v>919</v>
      </c>
      <c r="AM1755" t="s">
        <v>919</v>
      </c>
      <c r="AO1755" t="s">
        <v>480</v>
      </c>
      <c r="AP1755" t="s">
        <v>481</v>
      </c>
      <c r="AQ1755" t="s">
        <v>528</v>
      </c>
      <c r="AR1755" t="s">
        <v>482</v>
      </c>
      <c r="AS1755" t="s">
        <v>483</v>
      </c>
      <c r="AT1755" t="s">
        <v>484</v>
      </c>
      <c r="AU1755" t="s">
        <v>521</v>
      </c>
      <c r="AW1755" t="s">
        <v>486</v>
      </c>
      <c r="BF1755" s="1"/>
      <c r="BG1755" t="s">
        <v>523</v>
      </c>
      <c r="BH1755" t="s">
        <v>1366</v>
      </c>
      <c r="BP1755" t="s">
        <v>1489</v>
      </c>
    </row>
    <row r="1756" spans="1:68" x14ac:dyDescent="0.25">
      <c r="A1756" t="s">
        <v>5713</v>
      </c>
      <c r="B1756" t="s">
        <v>474</v>
      </c>
      <c r="C1756" t="s">
        <v>1486</v>
      </c>
      <c r="E1756" t="s">
        <v>480</v>
      </c>
      <c r="G1756" s="1" t="s">
        <v>5264</v>
      </c>
      <c r="H1756" t="s">
        <v>567</v>
      </c>
      <c r="J1756">
        <v>500000</v>
      </c>
      <c r="P1756" t="s">
        <v>94</v>
      </c>
      <c r="R1756" t="s">
        <v>1000</v>
      </c>
      <c r="S1756" t="s">
        <v>5286</v>
      </c>
      <c r="T1756" t="s">
        <v>5287</v>
      </c>
      <c r="V1756" t="s">
        <v>5288</v>
      </c>
      <c r="W1756" t="s">
        <v>73</v>
      </c>
      <c r="AE1756" t="s">
        <v>478</v>
      </c>
      <c r="AF1756" t="s">
        <v>479</v>
      </c>
      <c r="AL1756" t="s">
        <v>919</v>
      </c>
      <c r="AM1756" t="s">
        <v>919</v>
      </c>
      <c r="AO1756" t="s">
        <v>480</v>
      </c>
      <c r="AP1756" t="s">
        <v>481</v>
      </c>
      <c r="AQ1756" t="s">
        <v>555</v>
      </c>
      <c r="AR1756" t="s">
        <v>482</v>
      </c>
      <c r="AS1756" t="s">
        <v>483</v>
      </c>
      <c r="AT1756" t="s">
        <v>484</v>
      </c>
      <c r="AU1756" t="s">
        <v>521</v>
      </c>
      <c r="AW1756" t="s">
        <v>486</v>
      </c>
      <c r="BF1756" s="1"/>
      <c r="BG1756" t="s">
        <v>523</v>
      </c>
      <c r="BH1756" t="s">
        <v>1366</v>
      </c>
      <c r="BP1756" t="s">
        <v>1489</v>
      </c>
    </row>
    <row r="1757" spans="1:68" x14ac:dyDescent="0.25">
      <c r="A1757" t="s">
        <v>5713</v>
      </c>
      <c r="B1757" t="s">
        <v>474</v>
      </c>
      <c r="C1757" t="s">
        <v>1486</v>
      </c>
      <c r="E1757" t="s">
        <v>480</v>
      </c>
      <c r="G1757" s="1" t="s">
        <v>5264</v>
      </c>
      <c r="H1757" t="s">
        <v>575</v>
      </c>
      <c r="J1757">
        <v>500000</v>
      </c>
      <c r="P1757" t="s">
        <v>135</v>
      </c>
      <c r="R1757" t="s">
        <v>1000</v>
      </c>
      <c r="S1757" t="s">
        <v>5289</v>
      </c>
      <c r="T1757" t="s">
        <v>5290</v>
      </c>
      <c r="V1757" t="s">
        <v>5291</v>
      </c>
      <c r="W1757" t="s">
        <v>73</v>
      </c>
      <c r="AE1757" t="s">
        <v>478</v>
      </c>
      <c r="AF1757" t="s">
        <v>479</v>
      </c>
      <c r="AL1757" t="s">
        <v>919</v>
      </c>
      <c r="AM1757" t="s">
        <v>919</v>
      </c>
      <c r="AO1757" t="s">
        <v>480</v>
      </c>
      <c r="AP1757" t="s">
        <v>481</v>
      </c>
      <c r="AQ1757" t="s">
        <v>574</v>
      </c>
      <c r="AR1757" t="s">
        <v>482</v>
      </c>
      <c r="AS1757" t="s">
        <v>483</v>
      </c>
      <c r="AT1757" t="s">
        <v>484</v>
      </c>
      <c r="AU1757" t="s">
        <v>521</v>
      </c>
      <c r="AW1757" t="s">
        <v>486</v>
      </c>
      <c r="BF1757" s="1"/>
      <c r="BG1757" t="s">
        <v>523</v>
      </c>
      <c r="BH1757" t="s">
        <v>1366</v>
      </c>
      <c r="BP1757" t="s">
        <v>1489</v>
      </c>
    </row>
    <row r="1758" spans="1:68" x14ac:dyDescent="0.25">
      <c r="A1758" t="s">
        <v>5713</v>
      </c>
      <c r="B1758" t="s">
        <v>474</v>
      </c>
      <c r="C1758" t="s">
        <v>1486</v>
      </c>
      <c r="E1758" t="s">
        <v>480</v>
      </c>
      <c r="G1758" s="1" t="s">
        <v>5264</v>
      </c>
      <c r="H1758" t="s">
        <v>581</v>
      </c>
      <c r="J1758">
        <v>500000</v>
      </c>
      <c r="P1758" t="s">
        <v>126</v>
      </c>
      <c r="R1758" t="s">
        <v>1000</v>
      </c>
      <c r="S1758" t="s">
        <v>5292</v>
      </c>
      <c r="T1758" t="s">
        <v>5293</v>
      </c>
      <c r="V1758" t="s">
        <v>5294</v>
      </c>
      <c r="W1758" t="s">
        <v>73</v>
      </c>
      <c r="AE1758" t="s">
        <v>478</v>
      </c>
      <c r="AF1758" t="s">
        <v>479</v>
      </c>
      <c r="AL1758" t="s">
        <v>919</v>
      </c>
      <c r="AM1758" t="s">
        <v>919</v>
      </c>
      <c r="AO1758" t="s">
        <v>480</v>
      </c>
      <c r="AP1758" t="s">
        <v>481</v>
      </c>
      <c r="AQ1758" t="s">
        <v>639</v>
      </c>
      <c r="AR1758" t="s">
        <v>482</v>
      </c>
      <c r="AS1758" t="s">
        <v>483</v>
      </c>
      <c r="AT1758" t="s">
        <v>484</v>
      </c>
      <c r="AU1758" t="s">
        <v>521</v>
      </c>
      <c r="AW1758" t="s">
        <v>486</v>
      </c>
      <c r="BF1758" s="1"/>
      <c r="BG1758" t="s">
        <v>523</v>
      </c>
      <c r="BH1758" t="s">
        <v>1366</v>
      </c>
      <c r="BP1758" t="s">
        <v>1489</v>
      </c>
    </row>
    <row r="1759" spans="1:68" x14ac:dyDescent="0.25">
      <c r="A1759" t="s">
        <v>5713</v>
      </c>
      <c r="B1759" t="s">
        <v>474</v>
      </c>
      <c r="C1759" t="s">
        <v>1486</v>
      </c>
      <c r="E1759" t="s">
        <v>480</v>
      </c>
      <c r="G1759" s="1" t="s">
        <v>5264</v>
      </c>
      <c r="H1759" t="s">
        <v>589</v>
      </c>
      <c r="J1759">
        <v>500000</v>
      </c>
      <c r="P1759" t="s">
        <v>155</v>
      </c>
      <c r="R1759" t="s">
        <v>1000</v>
      </c>
      <c r="S1759" t="s">
        <v>5295</v>
      </c>
      <c r="T1759" t="s">
        <v>5296</v>
      </c>
      <c r="V1759" t="s">
        <v>5297</v>
      </c>
      <c r="W1759" t="s">
        <v>73</v>
      </c>
      <c r="AE1759" t="s">
        <v>478</v>
      </c>
      <c r="AF1759" t="s">
        <v>479</v>
      </c>
      <c r="AL1759" t="s">
        <v>919</v>
      </c>
      <c r="AM1759" t="s">
        <v>919</v>
      </c>
      <c r="AO1759" t="s">
        <v>480</v>
      </c>
      <c r="AP1759" t="s">
        <v>481</v>
      </c>
      <c r="AQ1759" t="s">
        <v>610</v>
      </c>
      <c r="AR1759" t="s">
        <v>482</v>
      </c>
      <c r="AS1759" t="s">
        <v>483</v>
      </c>
      <c r="AT1759" t="s">
        <v>484</v>
      </c>
      <c r="AU1759" t="s">
        <v>521</v>
      </c>
      <c r="AW1759" t="s">
        <v>486</v>
      </c>
      <c r="BF1759" s="1"/>
      <c r="BG1759" t="s">
        <v>523</v>
      </c>
      <c r="BH1759" t="s">
        <v>1366</v>
      </c>
      <c r="BP1759" t="s">
        <v>1489</v>
      </c>
    </row>
    <row r="1760" spans="1:68" x14ac:dyDescent="0.25">
      <c r="A1760" t="s">
        <v>5713</v>
      </c>
      <c r="B1760" t="s">
        <v>474</v>
      </c>
      <c r="C1760" t="s">
        <v>1486</v>
      </c>
      <c r="E1760" t="s">
        <v>480</v>
      </c>
      <c r="G1760" s="1" t="s">
        <v>5264</v>
      </c>
      <c r="H1760" t="s">
        <v>598</v>
      </c>
      <c r="J1760">
        <v>500000</v>
      </c>
      <c r="P1760" t="s">
        <v>98</v>
      </c>
      <c r="R1760" t="s">
        <v>1000</v>
      </c>
      <c r="S1760" t="s">
        <v>5298</v>
      </c>
      <c r="T1760" t="s">
        <v>5299</v>
      </c>
      <c r="V1760" t="s">
        <v>5300</v>
      </c>
      <c r="W1760" t="s">
        <v>73</v>
      </c>
      <c r="AE1760" t="s">
        <v>478</v>
      </c>
      <c r="AF1760" t="s">
        <v>479</v>
      </c>
      <c r="AL1760" t="s">
        <v>919</v>
      </c>
      <c r="AM1760" t="s">
        <v>919</v>
      </c>
      <c r="AO1760" t="s">
        <v>480</v>
      </c>
      <c r="AP1760" t="s">
        <v>481</v>
      </c>
      <c r="AQ1760" t="s">
        <v>580</v>
      </c>
      <c r="AR1760" t="s">
        <v>482</v>
      </c>
      <c r="AS1760" t="s">
        <v>483</v>
      </c>
      <c r="AT1760" t="s">
        <v>484</v>
      </c>
      <c r="AU1760" t="s">
        <v>521</v>
      </c>
      <c r="AW1760" t="s">
        <v>486</v>
      </c>
      <c r="BF1760" s="1"/>
      <c r="BG1760" t="s">
        <v>523</v>
      </c>
      <c r="BH1760" t="s">
        <v>1366</v>
      </c>
      <c r="BP1760" t="s">
        <v>1489</v>
      </c>
    </row>
    <row r="1761" spans="1:68" x14ac:dyDescent="0.25">
      <c r="A1761" t="s">
        <v>5713</v>
      </c>
      <c r="B1761" t="s">
        <v>474</v>
      </c>
      <c r="C1761" t="s">
        <v>1486</v>
      </c>
      <c r="E1761" t="s">
        <v>480</v>
      </c>
      <c r="G1761" s="1" t="s">
        <v>5264</v>
      </c>
      <c r="H1761" t="s">
        <v>604</v>
      </c>
      <c r="J1761">
        <v>500000</v>
      </c>
      <c r="P1761" t="s">
        <v>114</v>
      </c>
      <c r="R1761" t="s">
        <v>1000</v>
      </c>
      <c r="S1761" t="s">
        <v>5301</v>
      </c>
      <c r="T1761" t="s">
        <v>5302</v>
      </c>
      <c r="V1761" t="s">
        <v>5303</v>
      </c>
      <c r="W1761" t="s">
        <v>73</v>
      </c>
      <c r="AE1761" t="s">
        <v>478</v>
      </c>
      <c r="AF1761" t="s">
        <v>479</v>
      </c>
      <c r="AL1761" t="s">
        <v>919</v>
      </c>
      <c r="AM1761" t="s">
        <v>919</v>
      </c>
      <c r="AO1761" t="s">
        <v>480</v>
      </c>
      <c r="AP1761" t="s">
        <v>481</v>
      </c>
      <c r="AQ1761" t="s">
        <v>584</v>
      </c>
      <c r="AR1761" t="s">
        <v>482</v>
      </c>
      <c r="AS1761" t="s">
        <v>483</v>
      </c>
      <c r="AT1761" t="s">
        <v>484</v>
      </c>
      <c r="AU1761" t="s">
        <v>521</v>
      </c>
      <c r="AW1761" t="s">
        <v>486</v>
      </c>
      <c r="BF1761" s="1"/>
      <c r="BG1761" t="s">
        <v>523</v>
      </c>
      <c r="BH1761" t="s">
        <v>1366</v>
      </c>
      <c r="BP1761" t="s">
        <v>1489</v>
      </c>
    </row>
    <row r="1762" spans="1:68" x14ac:dyDescent="0.25">
      <c r="A1762" t="s">
        <v>5713</v>
      </c>
      <c r="B1762" t="s">
        <v>474</v>
      </c>
      <c r="C1762" t="s">
        <v>1486</v>
      </c>
      <c r="E1762" t="s">
        <v>480</v>
      </c>
      <c r="G1762" s="1" t="s">
        <v>5264</v>
      </c>
      <c r="H1762" t="s">
        <v>611</v>
      </c>
      <c r="J1762">
        <v>500000</v>
      </c>
      <c r="P1762" t="s">
        <v>86</v>
      </c>
      <c r="R1762" t="s">
        <v>1000</v>
      </c>
      <c r="S1762" t="s">
        <v>5304</v>
      </c>
      <c r="T1762" t="s">
        <v>5305</v>
      </c>
      <c r="V1762" t="s">
        <v>5306</v>
      </c>
      <c r="W1762" t="s">
        <v>73</v>
      </c>
      <c r="AE1762" t="s">
        <v>478</v>
      </c>
      <c r="AF1762" t="s">
        <v>479</v>
      </c>
      <c r="AL1762" t="s">
        <v>919</v>
      </c>
      <c r="AM1762" t="s">
        <v>919</v>
      </c>
      <c r="AO1762" t="s">
        <v>480</v>
      </c>
      <c r="AP1762" t="s">
        <v>481</v>
      </c>
      <c r="AQ1762" t="s">
        <v>566</v>
      </c>
      <c r="AR1762" t="s">
        <v>482</v>
      </c>
      <c r="AS1762" t="s">
        <v>483</v>
      </c>
      <c r="AT1762" t="s">
        <v>484</v>
      </c>
      <c r="AU1762" t="s">
        <v>521</v>
      </c>
      <c r="AW1762" t="s">
        <v>486</v>
      </c>
      <c r="BF1762" s="1"/>
      <c r="BG1762" t="s">
        <v>523</v>
      </c>
      <c r="BH1762" t="s">
        <v>1366</v>
      </c>
      <c r="BP1762" t="s">
        <v>1489</v>
      </c>
    </row>
    <row r="1763" spans="1:68" x14ac:dyDescent="0.25">
      <c r="A1763" t="s">
        <v>5713</v>
      </c>
      <c r="B1763" t="s">
        <v>474</v>
      </c>
      <c r="C1763" t="s">
        <v>1486</v>
      </c>
      <c r="E1763" t="s">
        <v>480</v>
      </c>
      <c r="G1763" s="1" t="s">
        <v>5264</v>
      </c>
      <c r="H1763" t="s">
        <v>616</v>
      </c>
      <c r="J1763">
        <v>500000</v>
      </c>
      <c r="P1763" t="s">
        <v>78</v>
      </c>
      <c r="R1763" t="s">
        <v>1000</v>
      </c>
      <c r="S1763" t="s">
        <v>5307</v>
      </c>
      <c r="T1763" t="s">
        <v>5308</v>
      </c>
      <c r="V1763" t="s">
        <v>5309</v>
      </c>
      <c r="W1763" t="s">
        <v>73</v>
      </c>
      <c r="AE1763" t="s">
        <v>478</v>
      </c>
      <c r="AF1763" t="s">
        <v>479</v>
      </c>
      <c r="AL1763" t="s">
        <v>919</v>
      </c>
      <c r="AM1763" t="s">
        <v>919</v>
      </c>
      <c r="AO1763" t="s">
        <v>480</v>
      </c>
      <c r="AP1763" t="s">
        <v>481</v>
      </c>
      <c r="AQ1763" t="s">
        <v>631</v>
      </c>
      <c r="AR1763" t="s">
        <v>482</v>
      </c>
      <c r="AS1763" t="s">
        <v>483</v>
      </c>
      <c r="AT1763" t="s">
        <v>484</v>
      </c>
      <c r="AU1763" t="s">
        <v>521</v>
      </c>
      <c r="AW1763" t="s">
        <v>486</v>
      </c>
      <c r="BF1763" s="1"/>
      <c r="BG1763" t="s">
        <v>523</v>
      </c>
      <c r="BH1763" t="s">
        <v>1366</v>
      </c>
      <c r="BP1763" t="s">
        <v>1489</v>
      </c>
    </row>
    <row r="1764" spans="1:68" x14ac:dyDescent="0.25">
      <c r="A1764" t="s">
        <v>5713</v>
      </c>
      <c r="B1764" t="s">
        <v>474</v>
      </c>
      <c r="C1764" t="s">
        <v>1486</v>
      </c>
      <c r="E1764" t="s">
        <v>480</v>
      </c>
      <c r="G1764" s="1" t="s">
        <v>5264</v>
      </c>
      <c r="H1764" t="s">
        <v>810</v>
      </c>
      <c r="J1764">
        <v>500000</v>
      </c>
      <c r="P1764" t="s">
        <v>148</v>
      </c>
      <c r="R1764" t="s">
        <v>1000</v>
      </c>
      <c r="S1764" t="s">
        <v>5310</v>
      </c>
      <c r="T1764" t="s">
        <v>5311</v>
      </c>
      <c r="V1764" t="s">
        <v>5312</v>
      </c>
      <c r="W1764" t="s">
        <v>73</v>
      </c>
      <c r="AE1764" t="s">
        <v>478</v>
      </c>
      <c r="AF1764" t="s">
        <v>479</v>
      </c>
      <c r="AL1764" t="s">
        <v>919</v>
      </c>
      <c r="AM1764" t="s">
        <v>919</v>
      </c>
      <c r="AO1764" t="s">
        <v>480</v>
      </c>
      <c r="AP1764" t="s">
        <v>481</v>
      </c>
      <c r="AQ1764" t="s">
        <v>591</v>
      </c>
      <c r="AR1764" t="s">
        <v>482</v>
      </c>
      <c r="AS1764" t="s">
        <v>483</v>
      </c>
      <c r="AT1764" t="s">
        <v>484</v>
      </c>
      <c r="AU1764" t="s">
        <v>521</v>
      </c>
      <c r="AW1764" t="s">
        <v>486</v>
      </c>
      <c r="BF1764" s="1"/>
      <c r="BG1764" t="s">
        <v>523</v>
      </c>
      <c r="BH1764" t="s">
        <v>1366</v>
      </c>
      <c r="BP1764" t="s">
        <v>1489</v>
      </c>
    </row>
    <row r="1765" spans="1:68" x14ac:dyDescent="0.25">
      <c r="A1765" t="s">
        <v>5713</v>
      </c>
      <c r="B1765" t="s">
        <v>474</v>
      </c>
      <c r="C1765" t="s">
        <v>1486</v>
      </c>
      <c r="E1765" t="s">
        <v>480</v>
      </c>
      <c r="G1765" s="1" t="s">
        <v>5264</v>
      </c>
      <c r="H1765" t="s">
        <v>813</v>
      </c>
      <c r="J1765">
        <v>500000</v>
      </c>
      <c r="P1765" t="s">
        <v>136</v>
      </c>
      <c r="R1765" t="s">
        <v>1000</v>
      </c>
      <c r="S1765" t="s">
        <v>5313</v>
      </c>
      <c r="T1765" t="s">
        <v>5314</v>
      </c>
      <c r="V1765" t="s">
        <v>5315</v>
      </c>
      <c r="W1765" t="s">
        <v>73</v>
      </c>
      <c r="AE1765" t="s">
        <v>478</v>
      </c>
      <c r="AF1765" t="s">
        <v>479</v>
      </c>
      <c r="AL1765" t="s">
        <v>919</v>
      </c>
      <c r="AM1765" t="s">
        <v>919</v>
      </c>
      <c r="AO1765" t="s">
        <v>480</v>
      </c>
      <c r="AP1765" t="s">
        <v>481</v>
      </c>
      <c r="AQ1765" t="s">
        <v>790</v>
      </c>
      <c r="AR1765" t="s">
        <v>482</v>
      </c>
      <c r="AS1765" t="s">
        <v>483</v>
      </c>
      <c r="AT1765" t="s">
        <v>484</v>
      </c>
      <c r="AU1765" t="s">
        <v>521</v>
      </c>
      <c r="AW1765" t="s">
        <v>486</v>
      </c>
      <c r="BF1765" s="1"/>
      <c r="BG1765" t="s">
        <v>523</v>
      </c>
      <c r="BH1765" t="s">
        <v>1366</v>
      </c>
      <c r="BP1765" t="s">
        <v>1489</v>
      </c>
    </row>
    <row r="1766" spans="1:68" x14ac:dyDescent="0.25">
      <c r="A1766" t="s">
        <v>5713</v>
      </c>
      <c r="B1766" t="s">
        <v>474</v>
      </c>
      <c r="C1766" t="s">
        <v>1486</v>
      </c>
      <c r="E1766" t="s">
        <v>480</v>
      </c>
      <c r="G1766" s="1" t="s">
        <v>5264</v>
      </c>
      <c r="H1766" t="s">
        <v>819</v>
      </c>
      <c r="J1766">
        <v>500000</v>
      </c>
      <c r="P1766" t="s">
        <v>103</v>
      </c>
      <c r="R1766" t="s">
        <v>1000</v>
      </c>
      <c r="S1766" t="s">
        <v>5316</v>
      </c>
      <c r="T1766" t="s">
        <v>5317</v>
      </c>
      <c r="V1766" t="s">
        <v>5318</v>
      </c>
      <c r="W1766" t="s">
        <v>73</v>
      </c>
      <c r="AE1766" t="s">
        <v>478</v>
      </c>
      <c r="AF1766" t="s">
        <v>479</v>
      </c>
      <c r="AL1766" t="s">
        <v>919</v>
      </c>
      <c r="AM1766" t="s">
        <v>919</v>
      </c>
      <c r="AO1766" t="s">
        <v>480</v>
      </c>
      <c r="AP1766" t="s">
        <v>481</v>
      </c>
      <c r="AQ1766" t="s">
        <v>545</v>
      </c>
      <c r="AR1766" t="s">
        <v>482</v>
      </c>
      <c r="AS1766" t="s">
        <v>483</v>
      </c>
      <c r="AT1766" t="s">
        <v>484</v>
      </c>
      <c r="AU1766" t="s">
        <v>521</v>
      </c>
      <c r="AW1766" t="s">
        <v>486</v>
      </c>
      <c r="BF1766" s="1"/>
      <c r="BG1766" t="s">
        <v>523</v>
      </c>
      <c r="BH1766" t="s">
        <v>1366</v>
      </c>
      <c r="BP1766" t="s">
        <v>1489</v>
      </c>
    </row>
    <row r="1767" spans="1:68" x14ac:dyDescent="0.25">
      <c r="A1767" t="s">
        <v>5713</v>
      </c>
      <c r="B1767" t="s">
        <v>474</v>
      </c>
      <c r="C1767" t="s">
        <v>1486</v>
      </c>
      <c r="E1767" t="s">
        <v>480</v>
      </c>
      <c r="G1767" s="1" t="s">
        <v>5264</v>
      </c>
      <c r="H1767" t="s">
        <v>922</v>
      </c>
      <c r="J1767">
        <v>500000</v>
      </c>
      <c r="P1767" t="s">
        <v>110</v>
      </c>
      <c r="R1767" t="s">
        <v>1000</v>
      </c>
      <c r="S1767" t="s">
        <v>5319</v>
      </c>
      <c r="T1767" t="s">
        <v>5320</v>
      </c>
      <c r="V1767" t="s">
        <v>5321</v>
      </c>
      <c r="W1767" t="s">
        <v>73</v>
      </c>
      <c r="AE1767" t="s">
        <v>478</v>
      </c>
      <c r="AF1767" t="s">
        <v>479</v>
      </c>
      <c r="AL1767" t="s">
        <v>919</v>
      </c>
      <c r="AM1767" t="s">
        <v>919</v>
      </c>
      <c r="AO1767" t="s">
        <v>480</v>
      </c>
      <c r="AP1767" t="s">
        <v>481</v>
      </c>
      <c r="AQ1767" t="s">
        <v>624</v>
      </c>
      <c r="AR1767" t="s">
        <v>482</v>
      </c>
      <c r="AS1767" t="s">
        <v>483</v>
      </c>
      <c r="AT1767" t="s">
        <v>484</v>
      </c>
      <c r="AU1767" t="s">
        <v>521</v>
      </c>
      <c r="AW1767" t="s">
        <v>486</v>
      </c>
      <c r="BF1767" s="1"/>
      <c r="BG1767" t="s">
        <v>523</v>
      </c>
      <c r="BH1767" t="s">
        <v>1366</v>
      </c>
      <c r="BP1767" t="s">
        <v>1489</v>
      </c>
    </row>
    <row r="1768" spans="1:68" x14ac:dyDescent="0.25">
      <c r="A1768" t="s">
        <v>5713</v>
      </c>
      <c r="B1768" t="s">
        <v>474</v>
      </c>
      <c r="C1768" t="s">
        <v>1486</v>
      </c>
      <c r="E1768" t="s">
        <v>480</v>
      </c>
      <c r="G1768" s="1" t="s">
        <v>5264</v>
      </c>
      <c r="H1768" t="s">
        <v>923</v>
      </c>
      <c r="J1768">
        <v>500000</v>
      </c>
      <c r="P1768" t="s">
        <v>116</v>
      </c>
      <c r="R1768" t="s">
        <v>1000</v>
      </c>
      <c r="S1768" t="s">
        <v>5322</v>
      </c>
      <c r="T1768" t="s">
        <v>5323</v>
      </c>
      <c r="V1768" t="s">
        <v>5324</v>
      </c>
      <c r="W1768" t="s">
        <v>73</v>
      </c>
      <c r="AE1768" t="s">
        <v>478</v>
      </c>
      <c r="AF1768" t="s">
        <v>479</v>
      </c>
      <c r="AL1768" t="s">
        <v>919</v>
      </c>
      <c r="AM1768" t="s">
        <v>919</v>
      </c>
      <c r="AO1768" t="s">
        <v>480</v>
      </c>
      <c r="AP1768" t="s">
        <v>481</v>
      </c>
      <c r="AQ1768" t="s">
        <v>645</v>
      </c>
      <c r="AR1768" t="s">
        <v>482</v>
      </c>
      <c r="AS1768" t="s">
        <v>483</v>
      </c>
      <c r="AT1768" t="s">
        <v>484</v>
      </c>
      <c r="AU1768" t="s">
        <v>521</v>
      </c>
      <c r="AW1768" t="s">
        <v>486</v>
      </c>
      <c r="BF1768" s="1"/>
      <c r="BG1768" t="s">
        <v>523</v>
      </c>
      <c r="BH1768" t="s">
        <v>1366</v>
      </c>
      <c r="BP1768" t="s">
        <v>1489</v>
      </c>
    </row>
    <row r="1769" spans="1:68" x14ac:dyDescent="0.25">
      <c r="A1769" t="s">
        <v>5713</v>
      </c>
      <c r="B1769" t="s">
        <v>474</v>
      </c>
      <c r="C1769" t="s">
        <v>1486</v>
      </c>
      <c r="E1769" t="s">
        <v>480</v>
      </c>
      <c r="G1769" s="1" t="s">
        <v>5264</v>
      </c>
      <c r="H1769" t="s">
        <v>924</v>
      </c>
      <c r="J1769">
        <v>500000</v>
      </c>
      <c r="P1769" t="s">
        <v>115</v>
      </c>
      <c r="R1769" t="s">
        <v>1000</v>
      </c>
      <c r="S1769" t="s">
        <v>5325</v>
      </c>
      <c r="T1769" t="s">
        <v>5326</v>
      </c>
      <c r="V1769" t="s">
        <v>5327</v>
      </c>
      <c r="W1769" t="s">
        <v>73</v>
      </c>
      <c r="AE1769" t="s">
        <v>478</v>
      </c>
      <c r="AF1769" t="s">
        <v>479</v>
      </c>
      <c r="AL1769" t="s">
        <v>919</v>
      </c>
      <c r="AM1769" t="s">
        <v>919</v>
      </c>
      <c r="AO1769" t="s">
        <v>480</v>
      </c>
      <c r="AP1769" t="s">
        <v>481</v>
      </c>
      <c r="AQ1769" t="s">
        <v>626</v>
      </c>
      <c r="AR1769" t="s">
        <v>482</v>
      </c>
      <c r="AS1769" t="s">
        <v>483</v>
      </c>
      <c r="AT1769" t="s">
        <v>484</v>
      </c>
      <c r="AU1769" t="s">
        <v>521</v>
      </c>
      <c r="AW1769" t="s">
        <v>486</v>
      </c>
      <c r="BF1769" s="1"/>
      <c r="BG1769" t="s">
        <v>523</v>
      </c>
      <c r="BH1769" t="s">
        <v>1366</v>
      </c>
      <c r="BP1769" t="s">
        <v>1489</v>
      </c>
    </row>
    <row r="1770" spans="1:68" x14ac:dyDescent="0.25">
      <c r="A1770" t="s">
        <v>5713</v>
      </c>
      <c r="B1770" t="s">
        <v>474</v>
      </c>
      <c r="C1770" t="s">
        <v>1486</v>
      </c>
      <c r="E1770" t="s">
        <v>480</v>
      </c>
      <c r="G1770" s="1" t="s">
        <v>5264</v>
      </c>
      <c r="H1770" t="s">
        <v>925</v>
      </c>
      <c r="J1770">
        <v>500000</v>
      </c>
      <c r="P1770" t="s">
        <v>124</v>
      </c>
      <c r="R1770" t="s">
        <v>1000</v>
      </c>
      <c r="S1770" t="s">
        <v>5328</v>
      </c>
      <c r="T1770" t="s">
        <v>5329</v>
      </c>
      <c r="V1770" t="s">
        <v>5330</v>
      </c>
      <c r="W1770" t="s">
        <v>73</v>
      </c>
      <c r="AE1770" t="s">
        <v>478</v>
      </c>
      <c r="AF1770" t="s">
        <v>479</v>
      </c>
      <c r="AL1770" t="s">
        <v>919</v>
      </c>
      <c r="AM1770" t="s">
        <v>919</v>
      </c>
      <c r="AO1770" t="s">
        <v>480</v>
      </c>
      <c r="AP1770" t="s">
        <v>481</v>
      </c>
      <c r="AQ1770" t="s">
        <v>588</v>
      </c>
      <c r="AR1770" t="s">
        <v>482</v>
      </c>
      <c r="AS1770" t="s">
        <v>483</v>
      </c>
      <c r="AT1770" t="s">
        <v>484</v>
      </c>
      <c r="AU1770" t="s">
        <v>521</v>
      </c>
      <c r="AW1770" t="s">
        <v>486</v>
      </c>
      <c r="BF1770" s="1"/>
      <c r="BG1770" t="s">
        <v>523</v>
      </c>
      <c r="BH1770" t="s">
        <v>1366</v>
      </c>
      <c r="BP1770" t="s">
        <v>1489</v>
      </c>
    </row>
    <row r="1771" spans="1:68" x14ac:dyDescent="0.25">
      <c r="A1771" t="s">
        <v>5713</v>
      </c>
      <c r="B1771" t="s">
        <v>474</v>
      </c>
      <c r="C1771" t="s">
        <v>1486</v>
      </c>
      <c r="E1771" t="s">
        <v>480</v>
      </c>
      <c r="G1771" s="1" t="s">
        <v>5264</v>
      </c>
      <c r="H1771" t="s">
        <v>926</v>
      </c>
      <c r="J1771">
        <v>500000</v>
      </c>
      <c r="P1771" t="s">
        <v>88</v>
      </c>
      <c r="R1771" t="s">
        <v>1000</v>
      </c>
      <c r="S1771" t="s">
        <v>5331</v>
      </c>
      <c r="T1771" t="s">
        <v>5332</v>
      </c>
      <c r="V1771" t="s">
        <v>5333</v>
      </c>
      <c r="W1771" t="s">
        <v>73</v>
      </c>
      <c r="AE1771" t="s">
        <v>478</v>
      </c>
      <c r="AF1771" t="s">
        <v>479</v>
      </c>
      <c r="AL1771" t="s">
        <v>919</v>
      </c>
      <c r="AM1771" t="s">
        <v>919</v>
      </c>
      <c r="AO1771" t="s">
        <v>480</v>
      </c>
      <c r="AP1771" t="s">
        <v>481</v>
      </c>
      <c r="AQ1771" t="s">
        <v>597</v>
      </c>
      <c r="AR1771" t="s">
        <v>482</v>
      </c>
      <c r="AS1771" t="s">
        <v>483</v>
      </c>
      <c r="AT1771" t="s">
        <v>484</v>
      </c>
      <c r="AU1771" t="s">
        <v>521</v>
      </c>
      <c r="AW1771" t="s">
        <v>486</v>
      </c>
      <c r="BF1771" s="1"/>
      <c r="BG1771" t="s">
        <v>523</v>
      </c>
      <c r="BH1771" t="s">
        <v>1366</v>
      </c>
      <c r="BP1771" t="s">
        <v>1489</v>
      </c>
    </row>
    <row r="1772" spans="1:68" x14ac:dyDescent="0.25">
      <c r="A1772" t="s">
        <v>5713</v>
      </c>
      <c r="B1772" t="s">
        <v>474</v>
      </c>
      <c r="C1772" t="s">
        <v>1486</v>
      </c>
      <c r="E1772" t="s">
        <v>480</v>
      </c>
      <c r="G1772" s="1" t="s">
        <v>5264</v>
      </c>
      <c r="H1772" t="s">
        <v>927</v>
      </c>
      <c r="J1772">
        <v>500000</v>
      </c>
      <c r="P1772" t="s">
        <v>101</v>
      </c>
      <c r="R1772" t="s">
        <v>1000</v>
      </c>
      <c r="S1772" t="s">
        <v>5334</v>
      </c>
      <c r="T1772" t="s">
        <v>5335</v>
      </c>
      <c r="V1772" t="s">
        <v>5336</v>
      </c>
      <c r="W1772" t="s">
        <v>73</v>
      </c>
      <c r="AE1772" t="s">
        <v>478</v>
      </c>
      <c r="AF1772" t="s">
        <v>479</v>
      </c>
      <c r="AL1772" t="s">
        <v>919</v>
      </c>
      <c r="AM1772" t="s">
        <v>919</v>
      </c>
      <c r="AO1772" t="s">
        <v>480</v>
      </c>
      <c r="AP1772" t="s">
        <v>481</v>
      </c>
      <c r="AQ1772" t="s">
        <v>699</v>
      </c>
      <c r="AR1772" t="s">
        <v>482</v>
      </c>
      <c r="AS1772" t="s">
        <v>483</v>
      </c>
      <c r="AT1772" t="s">
        <v>484</v>
      </c>
      <c r="AU1772" t="s">
        <v>521</v>
      </c>
      <c r="AW1772" t="s">
        <v>486</v>
      </c>
      <c r="BF1772" s="1"/>
      <c r="BG1772" t="s">
        <v>523</v>
      </c>
      <c r="BH1772" t="s">
        <v>1366</v>
      </c>
      <c r="BP1772" t="s">
        <v>1489</v>
      </c>
    </row>
    <row r="1773" spans="1:68" x14ac:dyDescent="0.25">
      <c r="A1773" t="s">
        <v>5713</v>
      </c>
      <c r="B1773" t="s">
        <v>474</v>
      </c>
      <c r="C1773" t="s">
        <v>1486</v>
      </c>
      <c r="E1773" t="s">
        <v>480</v>
      </c>
      <c r="G1773" s="1" t="s">
        <v>5264</v>
      </c>
      <c r="H1773" t="s">
        <v>928</v>
      </c>
      <c r="J1773">
        <v>500000</v>
      </c>
      <c r="P1773" t="s">
        <v>123</v>
      </c>
      <c r="R1773" t="s">
        <v>1000</v>
      </c>
      <c r="S1773" t="s">
        <v>5337</v>
      </c>
      <c r="T1773" t="s">
        <v>5338</v>
      </c>
      <c r="V1773" t="s">
        <v>5339</v>
      </c>
      <c r="W1773" t="s">
        <v>73</v>
      </c>
      <c r="AE1773" t="s">
        <v>478</v>
      </c>
      <c r="AF1773" t="s">
        <v>479</v>
      </c>
      <c r="AL1773" t="s">
        <v>919</v>
      </c>
      <c r="AM1773" t="s">
        <v>919</v>
      </c>
      <c r="AO1773" t="s">
        <v>480</v>
      </c>
      <c r="AP1773" t="s">
        <v>481</v>
      </c>
      <c r="AQ1773" t="s">
        <v>744</v>
      </c>
      <c r="AR1773" t="s">
        <v>482</v>
      </c>
      <c r="AS1773" t="s">
        <v>483</v>
      </c>
      <c r="AT1773" t="s">
        <v>484</v>
      </c>
      <c r="AU1773" t="s">
        <v>521</v>
      </c>
      <c r="AW1773" t="s">
        <v>486</v>
      </c>
      <c r="BF1773" s="1"/>
      <c r="BG1773" t="s">
        <v>523</v>
      </c>
      <c r="BH1773" t="s">
        <v>1366</v>
      </c>
      <c r="BP1773" t="s">
        <v>1489</v>
      </c>
    </row>
    <row r="1774" spans="1:68" x14ac:dyDescent="0.25">
      <c r="A1774" t="s">
        <v>5713</v>
      </c>
      <c r="B1774" t="s">
        <v>474</v>
      </c>
      <c r="C1774" t="s">
        <v>1486</v>
      </c>
      <c r="E1774" t="s">
        <v>480</v>
      </c>
      <c r="G1774" s="1" t="s">
        <v>5264</v>
      </c>
      <c r="H1774" t="s">
        <v>930</v>
      </c>
      <c r="J1774">
        <v>500000</v>
      </c>
      <c r="P1774" t="s">
        <v>80</v>
      </c>
      <c r="R1774" t="s">
        <v>1000</v>
      </c>
      <c r="S1774" t="s">
        <v>5340</v>
      </c>
      <c r="T1774" t="s">
        <v>5341</v>
      </c>
      <c r="V1774" t="s">
        <v>5342</v>
      </c>
      <c r="W1774" t="s">
        <v>73</v>
      </c>
      <c r="AE1774" t="s">
        <v>478</v>
      </c>
      <c r="AF1774" t="s">
        <v>479</v>
      </c>
      <c r="AL1774" t="s">
        <v>919</v>
      </c>
      <c r="AM1774" t="s">
        <v>919</v>
      </c>
      <c r="AO1774" t="s">
        <v>480</v>
      </c>
      <c r="AP1774" t="s">
        <v>481</v>
      </c>
      <c r="AQ1774" t="s">
        <v>603</v>
      </c>
      <c r="AR1774" t="s">
        <v>482</v>
      </c>
      <c r="AS1774" t="s">
        <v>483</v>
      </c>
      <c r="AT1774" t="s">
        <v>484</v>
      </c>
      <c r="AU1774" t="s">
        <v>521</v>
      </c>
      <c r="AW1774" t="s">
        <v>486</v>
      </c>
      <c r="BF1774" s="1"/>
      <c r="BG1774" t="s">
        <v>523</v>
      </c>
      <c r="BH1774" t="s">
        <v>1366</v>
      </c>
      <c r="BP1774" t="s">
        <v>1489</v>
      </c>
    </row>
    <row r="1775" spans="1:68" x14ac:dyDescent="0.25">
      <c r="A1775" t="s">
        <v>5713</v>
      </c>
      <c r="B1775" t="s">
        <v>474</v>
      </c>
      <c r="C1775" t="s">
        <v>1486</v>
      </c>
      <c r="E1775" t="s">
        <v>480</v>
      </c>
      <c r="G1775" s="1" t="s">
        <v>5264</v>
      </c>
      <c r="H1775" t="s">
        <v>931</v>
      </c>
      <c r="J1775">
        <v>500000</v>
      </c>
      <c r="P1775" t="s">
        <v>74</v>
      </c>
      <c r="R1775" t="s">
        <v>1000</v>
      </c>
      <c r="S1775" t="s">
        <v>5343</v>
      </c>
      <c r="T1775" t="s">
        <v>5344</v>
      </c>
      <c r="V1775" t="s">
        <v>5345</v>
      </c>
      <c r="W1775" t="s">
        <v>73</v>
      </c>
      <c r="AE1775" t="s">
        <v>478</v>
      </c>
      <c r="AF1775" t="s">
        <v>479</v>
      </c>
      <c r="AL1775" t="s">
        <v>919</v>
      </c>
      <c r="AM1775" t="s">
        <v>919</v>
      </c>
      <c r="AO1775" t="s">
        <v>480</v>
      </c>
      <c r="AP1775" t="s">
        <v>481</v>
      </c>
      <c r="AQ1775" t="s">
        <v>678</v>
      </c>
      <c r="AR1775" t="s">
        <v>482</v>
      </c>
      <c r="AS1775" t="s">
        <v>483</v>
      </c>
      <c r="AT1775" t="s">
        <v>484</v>
      </c>
      <c r="AU1775" t="s">
        <v>521</v>
      </c>
      <c r="AW1775" t="s">
        <v>486</v>
      </c>
      <c r="BF1775" s="1"/>
      <c r="BG1775" t="s">
        <v>523</v>
      </c>
      <c r="BH1775" t="s">
        <v>1366</v>
      </c>
      <c r="BP1775" t="s">
        <v>1489</v>
      </c>
    </row>
    <row r="1776" spans="1:68" x14ac:dyDescent="0.25">
      <c r="A1776" t="s">
        <v>5713</v>
      </c>
      <c r="B1776" t="s">
        <v>474</v>
      </c>
      <c r="C1776" t="s">
        <v>1486</v>
      </c>
      <c r="E1776" t="s">
        <v>480</v>
      </c>
      <c r="G1776" s="1" t="s">
        <v>5264</v>
      </c>
      <c r="H1776" t="s">
        <v>933</v>
      </c>
      <c r="J1776">
        <v>500000</v>
      </c>
      <c r="P1776" t="s">
        <v>109</v>
      </c>
      <c r="R1776" t="s">
        <v>1000</v>
      </c>
      <c r="S1776" t="s">
        <v>5346</v>
      </c>
      <c r="T1776" t="s">
        <v>5347</v>
      </c>
      <c r="V1776" t="s">
        <v>5348</v>
      </c>
      <c r="W1776" t="s">
        <v>73</v>
      </c>
      <c r="AE1776" t="s">
        <v>478</v>
      </c>
      <c r="AF1776" t="s">
        <v>479</v>
      </c>
      <c r="AL1776" t="s">
        <v>919</v>
      </c>
      <c r="AM1776" t="s">
        <v>919</v>
      </c>
      <c r="AO1776" t="s">
        <v>480</v>
      </c>
      <c r="AP1776" t="s">
        <v>481</v>
      </c>
      <c r="AQ1776" t="s">
        <v>536</v>
      </c>
      <c r="AR1776" t="s">
        <v>482</v>
      </c>
      <c r="AS1776" t="s">
        <v>483</v>
      </c>
      <c r="AT1776" t="s">
        <v>484</v>
      </c>
      <c r="AU1776" t="s">
        <v>521</v>
      </c>
      <c r="AW1776" t="s">
        <v>486</v>
      </c>
      <c r="BF1776" s="1"/>
      <c r="BG1776" t="s">
        <v>523</v>
      </c>
      <c r="BH1776" t="s">
        <v>1366</v>
      </c>
      <c r="BP1776" t="s">
        <v>1489</v>
      </c>
    </row>
    <row r="1777" spans="1:68" x14ac:dyDescent="0.25">
      <c r="A1777" t="s">
        <v>5713</v>
      </c>
      <c r="B1777" t="s">
        <v>474</v>
      </c>
      <c r="C1777" t="s">
        <v>1486</v>
      </c>
      <c r="E1777" t="s">
        <v>480</v>
      </c>
      <c r="G1777" s="1" t="s">
        <v>5264</v>
      </c>
      <c r="H1777" t="s">
        <v>934</v>
      </c>
      <c r="J1777">
        <v>500000</v>
      </c>
      <c r="P1777" t="s">
        <v>111</v>
      </c>
      <c r="R1777" t="s">
        <v>1000</v>
      </c>
      <c r="S1777" t="s">
        <v>5349</v>
      </c>
      <c r="T1777" t="s">
        <v>5350</v>
      </c>
      <c r="V1777" t="s">
        <v>5351</v>
      </c>
      <c r="W1777" t="s">
        <v>73</v>
      </c>
      <c r="AE1777" t="s">
        <v>478</v>
      </c>
      <c r="AF1777" t="s">
        <v>479</v>
      </c>
      <c r="AL1777" t="s">
        <v>919</v>
      </c>
      <c r="AM1777" t="s">
        <v>919</v>
      </c>
      <c r="AO1777" t="s">
        <v>480</v>
      </c>
      <c r="AP1777" t="s">
        <v>481</v>
      </c>
      <c r="AQ1777" t="s">
        <v>548</v>
      </c>
      <c r="AR1777" t="s">
        <v>482</v>
      </c>
      <c r="AS1777" t="s">
        <v>483</v>
      </c>
      <c r="AT1777" t="s">
        <v>484</v>
      </c>
      <c r="AU1777" t="s">
        <v>521</v>
      </c>
      <c r="AW1777" t="s">
        <v>486</v>
      </c>
      <c r="BF1777" s="1"/>
      <c r="BG1777" t="s">
        <v>523</v>
      </c>
      <c r="BH1777" t="s">
        <v>1366</v>
      </c>
      <c r="BP1777" t="s">
        <v>1489</v>
      </c>
    </row>
    <row r="1778" spans="1:68" x14ac:dyDescent="0.25">
      <c r="A1778" t="s">
        <v>5713</v>
      </c>
      <c r="B1778" t="s">
        <v>474</v>
      </c>
      <c r="C1778" t="s">
        <v>1486</v>
      </c>
      <c r="E1778" t="s">
        <v>480</v>
      </c>
      <c r="G1778" s="1" t="s">
        <v>5264</v>
      </c>
      <c r="H1778" t="s">
        <v>935</v>
      </c>
      <c r="J1778">
        <v>500000</v>
      </c>
      <c r="P1778" t="s">
        <v>89</v>
      </c>
      <c r="R1778" t="s">
        <v>1000</v>
      </c>
      <c r="S1778" t="s">
        <v>5352</v>
      </c>
      <c r="T1778" t="s">
        <v>5353</v>
      </c>
      <c r="V1778" t="s">
        <v>5354</v>
      </c>
      <c r="W1778" t="s">
        <v>73</v>
      </c>
      <c r="AE1778" t="s">
        <v>478</v>
      </c>
      <c r="AF1778" t="s">
        <v>479</v>
      </c>
      <c r="AL1778" t="s">
        <v>919</v>
      </c>
      <c r="AM1778" t="s">
        <v>919</v>
      </c>
      <c r="AO1778" t="s">
        <v>480</v>
      </c>
      <c r="AP1778" t="s">
        <v>481</v>
      </c>
      <c r="AQ1778" t="s">
        <v>561</v>
      </c>
      <c r="AR1778" t="s">
        <v>482</v>
      </c>
      <c r="AS1778" t="s">
        <v>483</v>
      </c>
      <c r="AT1778" t="s">
        <v>484</v>
      </c>
      <c r="AU1778" t="s">
        <v>521</v>
      </c>
      <c r="AW1778" t="s">
        <v>486</v>
      </c>
      <c r="BF1778" s="1"/>
      <c r="BG1778" t="s">
        <v>523</v>
      </c>
      <c r="BH1778" t="s">
        <v>1366</v>
      </c>
      <c r="BP1778" t="s">
        <v>1489</v>
      </c>
    </row>
    <row r="1779" spans="1:68" x14ac:dyDescent="0.25">
      <c r="A1779" t="s">
        <v>5713</v>
      </c>
      <c r="B1779" t="s">
        <v>474</v>
      </c>
      <c r="C1779" t="s">
        <v>1486</v>
      </c>
      <c r="E1779" t="s">
        <v>480</v>
      </c>
      <c r="G1779" s="1" t="s">
        <v>5264</v>
      </c>
      <c r="H1779" t="s">
        <v>936</v>
      </c>
      <c r="J1779">
        <v>500000</v>
      </c>
      <c r="P1779" t="s">
        <v>157</v>
      </c>
      <c r="R1779" t="s">
        <v>1000</v>
      </c>
      <c r="S1779" t="s">
        <v>5355</v>
      </c>
      <c r="T1779" t="s">
        <v>5356</v>
      </c>
      <c r="V1779" t="s">
        <v>5357</v>
      </c>
      <c r="W1779" t="s">
        <v>73</v>
      </c>
      <c r="AE1779" t="s">
        <v>478</v>
      </c>
      <c r="AF1779" t="s">
        <v>479</v>
      </c>
      <c r="AL1779" t="s">
        <v>919</v>
      </c>
      <c r="AM1779" t="s">
        <v>919</v>
      </c>
      <c r="AO1779" t="s">
        <v>480</v>
      </c>
      <c r="AP1779" t="s">
        <v>481</v>
      </c>
      <c r="AQ1779" t="s">
        <v>667</v>
      </c>
      <c r="AR1779" t="s">
        <v>482</v>
      </c>
      <c r="AS1779" t="s">
        <v>483</v>
      </c>
      <c r="AT1779" t="s">
        <v>484</v>
      </c>
      <c r="AU1779" t="s">
        <v>521</v>
      </c>
      <c r="AW1779" t="s">
        <v>486</v>
      </c>
      <c r="BF1779" s="1"/>
      <c r="BG1779" t="s">
        <v>523</v>
      </c>
      <c r="BH1779" t="s">
        <v>1366</v>
      </c>
      <c r="BP1779" t="s">
        <v>1489</v>
      </c>
    </row>
    <row r="1780" spans="1:68" x14ac:dyDescent="0.25">
      <c r="A1780" t="s">
        <v>5713</v>
      </c>
      <c r="B1780" t="s">
        <v>474</v>
      </c>
      <c r="C1780" t="s">
        <v>1486</v>
      </c>
      <c r="E1780" t="s">
        <v>480</v>
      </c>
      <c r="G1780" s="1" t="s">
        <v>5264</v>
      </c>
      <c r="H1780" t="s">
        <v>937</v>
      </c>
      <c r="J1780">
        <v>500000</v>
      </c>
      <c r="P1780" t="s">
        <v>119</v>
      </c>
      <c r="R1780" t="s">
        <v>1000</v>
      </c>
      <c r="S1780" t="s">
        <v>5358</v>
      </c>
      <c r="T1780" t="s">
        <v>5359</v>
      </c>
      <c r="V1780" t="s">
        <v>5360</v>
      </c>
      <c r="W1780" t="s">
        <v>73</v>
      </c>
      <c r="AE1780" t="s">
        <v>478</v>
      </c>
      <c r="AF1780" t="s">
        <v>479</v>
      </c>
      <c r="AL1780" t="s">
        <v>919</v>
      </c>
      <c r="AM1780" t="s">
        <v>919</v>
      </c>
      <c r="AO1780" t="s">
        <v>480</v>
      </c>
      <c r="AP1780" t="s">
        <v>481</v>
      </c>
      <c r="AQ1780" t="s">
        <v>756</v>
      </c>
      <c r="AR1780" t="s">
        <v>482</v>
      </c>
      <c r="AS1780" t="s">
        <v>483</v>
      </c>
      <c r="AT1780" t="s">
        <v>484</v>
      </c>
      <c r="AU1780" t="s">
        <v>521</v>
      </c>
      <c r="AW1780" t="s">
        <v>486</v>
      </c>
      <c r="BF1780" s="1"/>
      <c r="BG1780" t="s">
        <v>523</v>
      </c>
      <c r="BH1780" t="s">
        <v>1366</v>
      </c>
      <c r="BP1780" t="s">
        <v>1489</v>
      </c>
    </row>
    <row r="1781" spans="1:68" x14ac:dyDescent="0.25">
      <c r="A1781" t="s">
        <v>5713</v>
      </c>
      <c r="B1781" t="s">
        <v>474</v>
      </c>
      <c r="C1781" t="s">
        <v>1486</v>
      </c>
      <c r="E1781" t="s">
        <v>480</v>
      </c>
      <c r="G1781" s="1" t="s">
        <v>5264</v>
      </c>
      <c r="H1781" t="s">
        <v>938</v>
      </c>
      <c r="J1781">
        <v>500000</v>
      </c>
      <c r="P1781" t="s">
        <v>139</v>
      </c>
      <c r="R1781" t="s">
        <v>1000</v>
      </c>
      <c r="S1781" t="s">
        <v>5361</v>
      </c>
      <c r="T1781" t="s">
        <v>5362</v>
      </c>
      <c r="V1781" t="s">
        <v>5363</v>
      </c>
      <c r="W1781" t="s">
        <v>73</v>
      </c>
      <c r="AE1781" t="s">
        <v>478</v>
      </c>
      <c r="AF1781" t="s">
        <v>479</v>
      </c>
      <c r="AL1781" t="s">
        <v>919</v>
      </c>
      <c r="AM1781" t="s">
        <v>919</v>
      </c>
      <c r="AO1781" t="s">
        <v>480</v>
      </c>
      <c r="AP1781" t="s">
        <v>481</v>
      </c>
      <c r="AQ1781" t="s">
        <v>618</v>
      </c>
      <c r="AR1781" t="s">
        <v>482</v>
      </c>
      <c r="AS1781" t="s">
        <v>483</v>
      </c>
      <c r="AT1781" t="s">
        <v>484</v>
      </c>
      <c r="AU1781" t="s">
        <v>521</v>
      </c>
      <c r="AW1781" t="s">
        <v>486</v>
      </c>
      <c r="BF1781" s="1"/>
      <c r="BG1781" t="s">
        <v>523</v>
      </c>
      <c r="BH1781" t="s">
        <v>1366</v>
      </c>
      <c r="BP1781" t="s">
        <v>1489</v>
      </c>
    </row>
    <row r="1782" spans="1:68" x14ac:dyDescent="0.25">
      <c r="A1782" t="s">
        <v>5713</v>
      </c>
      <c r="B1782" t="s">
        <v>474</v>
      </c>
      <c r="C1782" t="s">
        <v>1486</v>
      </c>
      <c r="E1782" t="s">
        <v>480</v>
      </c>
      <c r="G1782" s="1" t="s">
        <v>5264</v>
      </c>
      <c r="H1782" t="s">
        <v>939</v>
      </c>
      <c r="J1782">
        <v>500000</v>
      </c>
      <c r="P1782" t="s">
        <v>95</v>
      </c>
      <c r="R1782" t="s">
        <v>1000</v>
      </c>
      <c r="S1782" t="s">
        <v>5364</v>
      </c>
      <c r="T1782" t="s">
        <v>5365</v>
      </c>
      <c r="V1782" t="s">
        <v>5366</v>
      </c>
      <c r="W1782" t="s">
        <v>73</v>
      </c>
      <c r="AE1782" t="s">
        <v>478</v>
      </c>
      <c r="AF1782" t="s">
        <v>479</v>
      </c>
      <c r="AL1782" t="s">
        <v>919</v>
      </c>
      <c r="AM1782" t="s">
        <v>919</v>
      </c>
      <c r="AO1782" t="s">
        <v>480</v>
      </c>
      <c r="AP1782" t="s">
        <v>481</v>
      </c>
      <c r="AQ1782" t="s">
        <v>563</v>
      </c>
      <c r="AR1782" t="s">
        <v>482</v>
      </c>
      <c r="AS1782" t="s">
        <v>483</v>
      </c>
      <c r="AT1782" t="s">
        <v>484</v>
      </c>
      <c r="AU1782" t="s">
        <v>521</v>
      </c>
      <c r="AW1782" t="s">
        <v>486</v>
      </c>
      <c r="BF1782" s="1"/>
      <c r="BG1782" t="s">
        <v>523</v>
      </c>
      <c r="BH1782" t="s">
        <v>1366</v>
      </c>
      <c r="BP1782" t="s">
        <v>1489</v>
      </c>
    </row>
    <row r="1783" spans="1:68" x14ac:dyDescent="0.25">
      <c r="A1783" t="s">
        <v>5713</v>
      </c>
      <c r="B1783" t="s">
        <v>474</v>
      </c>
      <c r="C1783" t="s">
        <v>1486</v>
      </c>
      <c r="E1783" t="s">
        <v>480</v>
      </c>
      <c r="G1783" s="1" t="s">
        <v>5264</v>
      </c>
      <c r="H1783" t="s">
        <v>940</v>
      </c>
      <c r="J1783">
        <v>500000</v>
      </c>
      <c r="P1783" t="s">
        <v>140</v>
      </c>
      <c r="R1783" t="s">
        <v>1000</v>
      </c>
      <c r="S1783" t="s">
        <v>5367</v>
      </c>
      <c r="T1783" t="s">
        <v>5368</v>
      </c>
      <c r="V1783" t="s">
        <v>5369</v>
      </c>
      <c r="W1783" t="s">
        <v>73</v>
      </c>
      <c r="AE1783" t="s">
        <v>478</v>
      </c>
      <c r="AF1783" t="s">
        <v>479</v>
      </c>
      <c r="AL1783" t="s">
        <v>919</v>
      </c>
      <c r="AM1783" t="s">
        <v>919</v>
      </c>
      <c r="AO1783" t="s">
        <v>480</v>
      </c>
      <c r="AP1783" t="s">
        <v>481</v>
      </c>
      <c r="AQ1783" t="s">
        <v>681</v>
      </c>
      <c r="AR1783" t="s">
        <v>482</v>
      </c>
      <c r="AS1783" t="s">
        <v>483</v>
      </c>
      <c r="AT1783" t="s">
        <v>484</v>
      </c>
      <c r="AU1783" t="s">
        <v>521</v>
      </c>
      <c r="AW1783" t="s">
        <v>486</v>
      </c>
      <c r="BF1783" s="1"/>
      <c r="BG1783" t="s">
        <v>523</v>
      </c>
      <c r="BH1783" t="s">
        <v>1366</v>
      </c>
      <c r="BP1783" t="s">
        <v>1489</v>
      </c>
    </row>
    <row r="1784" spans="1:68" x14ac:dyDescent="0.25">
      <c r="A1784" t="s">
        <v>5713</v>
      </c>
      <c r="B1784" t="s">
        <v>474</v>
      </c>
      <c r="C1784" t="s">
        <v>1486</v>
      </c>
      <c r="E1784" t="s">
        <v>480</v>
      </c>
      <c r="G1784" s="1" t="s">
        <v>5264</v>
      </c>
      <c r="H1784" t="s">
        <v>941</v>
      </c>
      <c r="J1784">
        <v>500000</v>
      </c>
      <c r="P1784" t="s">
        <v>87</v>
      </c>
      <c r="R1784" t="s">
        <v>1000</v>
      </c>
      <c r="S1784" t="s">
        <v>5370</v>
      </c>
      <c r="T1784" t="s">
        <v>5371</v>
      </c>
      <c r="V1784" t="s">
        <v>5372</v>
      </c>
      <c r="W1784" t="s">
        <v>73</v>
      </c>
      <c r="AE1784" t="s">
        <v>478</v>
      </c>
      <c r="AF1784" t="s">
        <v>479</v>
      </c>
      <c r="AL1784" t="s">
        <v>919</v>
      </c>
      <c r="AM1784" t="s">
        <v>919</v>
      </c>
      <c r="AO1784" t="s">
        <v>480</v>
      </c>
      <c r="AP1784" t="s">
        <v>481</v>
      </c>
      <c r="AQ1784" t="s">
        <v>552</v>
      </c>
      <c r="AR1784" t="s">
        <v>482</v>
      </c>
      <c r="AS1784" t="s">
        <v>483</v>
      </c>
      <c r="AT1784" t="s">
        <v>484</v>
      </c>
      <c r="AU1784" t="s">
        <v>521</v>
      </c>
      <c r="AW1784" t="s">
        <v>486</v>
      </c>
      <c r="BF1784" s="1"/>
      <c r="BG1784" t="s">
        <v>523</v>
      </c>
      <c r="BH1784" t="s">
        <v>1366</v>
      </c>
      <c r="BP1784" t="s">
        <v>1489</v>
      </c>
    </row>
    <row r="1785" spans="1:68" x14ac:dyDescent="0.25">
      <c r="A1785" t="s">
        <v>5713</v>
      </c>
      <c r="B1785" t="s">
        <v>474</v>
      </c>
      <c r="C1785" t="s">
        <v>1486</v>
      </c>
      <c r="E1785" t="s">
        <v>480</v>
      </c>
      <c r="G1785" s="1" t="s">
        <v>5264</v>
      </c>
      <c r="H1785" t="s">
        <v>942</v>
      </c>
      <c r="J1785">
        <v>500000</v>
      </c>
      <c r="P1785" t="s">
        <v>169</v>
      </c>
      <c r="R1785" t="s">
        <v>1000</v>
      </c>
      <c r="S1785" t="s">
        <v>5373</v>
      </c>
      <c r="T1785" t="s">
        <v>5374</v>
      </c>
      <c r="V1785" t="s">
        <v>5375</v>
      </c>
      <c r="W1785" t="s">
        <v>73</v>
      </c>
      <c r="AE1785" t="s">
        <v>478</v>
      </c>
      <c r="AF1785" t="s">
        <v>479</v>
      </c>
      <c r="AL1785" t="s">
        <v>919</v>
      </c>
      <c r="AM1785" t="s">
        <v>919</v>
      </c>
      <c r="AO1785" t="s">
        <v>480</v>
      </c>
      <c r="AP1785" t="s">
        <v>481</v>
      </c>
      <c r="AQ1785" t="s">
        <v>852</v>
      </c>
      <c r="AR1785" t="s">
        <v>482</v>
      </c>
      <c r="AS1785" t="s">
        <v>483</v>
      </c>
      <c r="AT1785" t="s">
        <v>484</v>
      </c>
      <c r="AU1785" t="s">
        <v>521</v>
      </c>
      <c r="AW1785" t="s">
        <v>486</v>
      </c>
      <c r="BF1785" s="1"/>
      <c r="BG1785" t="s">
        <v>523</v>
      </c>
      <c r="BH1785" t="s">
        <v>1366</v>
      </c>
      <c r="BP1785" t="s">
        <v>1489</v>
      </c>
    </row>
    <row r="1786" spans="1:68" x14ac:dyDescent="0.25">
      <c r="A1786" t="s">
        <v>5713</v>
      </c>
      <c r="B1786" t="s">
        <v>474</v>
      </c>
      <c r="C1786" t="s">
        <v>1486</v>
      </c>
      <c r="E1786" t="s">
        <v>480</v>
      </c>
      <c r="G1786" s="1" t="s">
        <v>5264</v>
      </c>
      <c r="H1786" t="s">
        <v>943</v>
      </c>
      <c r="J1786">
        <v>500000</v>
      </c>
      <c r="P1786" t="s">
        <v>170</v>
      </c>
      <c r="R1786" t="s">
        <v>1000</v>
      </c>
      <c r="S1786" t="s">
        <v>5376</v>
      </c>
      <c r="T1786" t="s">
        <v>5377</v>
      </c>
      <c r="V1786" t="s">
        <v>5378</v>
      </c>
      <c r="W1786" t="s">
        <v>73</v>
      </c>
      <c r="AE1786" t="s">
        <v>478</v>
      </c>
      <c r="AF1786" t="s">
        <v>479</v>
      </c>
      <c r="AL1786" t="s">
        <v>919</v>
      </c>
      <c r="AM1786" t="s">
        <v>919</v>
      </c>
      <c r="AO1786" t="s">
        <v>480</v>
      </c>
      <c r="AP1786" t="s">
        <v>481</v>
      </c>
      <c r="AQ1786" t="s">
        <v>854</v>
      </c>
      <c r="AR1786" t="s">
        <v>482</v>
      </c>
      <c r="AS1786" t="s">
        <v>483</v>
      </c>
      <c r="AT1786" t="s">
        <v>484</v>
      </c>
      <c r="AU1786" t="s">
        <v>521</v>
      </c>
      <c r="AW1786" t="s">
        <v>486</v>
      </c>
      <c r="BF1786" s="1"/>
      <c r="BG1786" t="s">
        <v>523</v>
      </c>
      <c r="BH1786" t="s">
        <v>1366</v>
      </c>
      <c r="BP1786" t="s">
        <v>1489</v>
      </c>
    </row>
    <row r="1787" spans="1:68" x14ac:dyDescent="0.25">
      <c r="A1787" t="s">
        <v>5713</v>
      </c>
      <c r="B1787" t="s">
        <v>474</v>
      </c>
      <c r="C1787" t="s">
        <v>1486</v>
      </c>
      <c r="E1787" t="s">
        <v>480</v>
      </c>
      <c r="G1787" s="1" t="s">
        <v>5264</v>
      </c>
      <c r="H1787" t="s">
        <v>944</v>
      </c>
      <c r="J1787">
        <v>500000</v>
      </c>
      <c r="P1787" t="s">
        <v>156</v>
      </c>
      <c r="R1787" t="s">
        <v>1000</v>
      </c>
      <c r="S1787" t="s">
        <v>5379</v>
      </c>
      <c r="T1787" t="s">
        <v>5380</v>
      </c>
      <c r="V1787" t="s">
        <v>5381</v>
      </c>
      <c r="W1787" t="s">
        <v>73</v>
      </c>
      <c r="AE1787" t="s">
        <v>478</v>
      </c>
      <c r="AF1787" t="s">
        <v>479</v>
      </c>
      <c r="AL1787" t="s">
        <v>919</v>
      </c>
      <c r="AM1787" t="s">
        <v>919</v>
      </c>
      <c r="AO1787" t="s">
        <v>480</v>
      </c>
      <c r="AP1787" t="s">
        <v>481</v>
      </c>
      <c r="AQ1787" t="s">
        <v>615</v>
      </c>
      <c r="AR1787" t="s">
        <v>482</v>
      </c>
      <c r="AS1787" t="s">
        <v>483</v>
      </c>
      <c r="AT1787" t="s">
        <v>484</v>
      </c>
      <c r="AU1787" t="s">
        <v>521</v>
      </c>
      <c r="AW1787" t="s">
        <v>486</v>
      </c>
      <c r="BF1787" s="1"/>
      <c r="BG1787" t="s">
        <v>523</v>
      </c>
      <c r="BH1787" t="s">
        <v>1366</v>
      </c>
      <c r="BP1787" t="s">
        <v>1489</v>
      </c>
    </row>
    <row r="1788" spans="1:68" x14ac:dyDescent="0.25">
      <c r="A1788" t="s">
        <v>5713</v>
      </c>
      <c r="B1788" t="s">
        <v>474</v>
      </c>
      <c r="C1788" t="s">
        <v>1486</v>
      </c>
      <c r="E1788" t="s">
        <v>480</v>
      </c>
      <c r="G1788" s="1" t="s">
        <v>5264</v>
      </c>
      <c r="H1788" t="s">
        <v>945</v>
      </c>
      <c r="J1788">
        <v>500000</v>
      </c>
      <c r="P1788" t="s">
        <v>105</v>
      </c>
      <c r="R1788" t="s">
        <v>1000</v>
      </c>
      <c r="S1788" t="s">
        <v>5382</v>
      </c>
      <c r="T1788" t="s">
        <v>5383</v>
      </c>
      <c r="V1788" t="s">
        <v>5384</v>
      </c>
      <c r="W1788" t="s">
        <v>73</v>
      </c>
      <c r="AE1788" t="s">
        <v>478</v>
      </c>
      <c r="AF1788" t="s">
        <v>479</v>
      </c>
      <c r="AL1788" t="s">
        <v>919</v>
      </c>
      <c r="AM1788" t="s">
        <v>919</v>
      </c>
      <c r="AO1788" t="s">
        <v>480</v>
      </c>
      <c r="AP1788" t="s">
        <v>481</v>
      </c>
      <c r="AQ1788" t="s">
        <v>607</v>
      </c>
      <c r="AR1788" t="s">
        <v>482</v>
      </c>
      <c r="AS1788" t="s">
        <v>483</v>
      </c>
      <c r="AT1788" t="s">
        <v>484</v>
      </c>
      <c r="AU1788" t="s">
        <v>521</v>
      </c>
      <c r="AW1788" t="s">
        <v>486</v>
      </c>
      <c r="BF1788" s="1"/>
      <c r="BG1788" t="s">
        <v>523</v>
      </c>
      <c r="BH1788" t="s">
        <v>1366</v>
      </c>
      <c r="BP1788" t="s">
        <v>1489</v>
      </c>
    </row>
    <row r="1789" spans="1:68" x14ac:dyDescent="0.25">
      <c r="A1789" t="s">
        <v>5713</v>
      </c>
      <c r="B1789" t="s">
        <v>474</v>
      </c>
      <c r="C1789" t="s">
        <v>1486</v>
      </c>
      <c r="E1789" t="s">
        <v>480</v>
      </c>
      <c r="G1789" s="1" t="s">
        <v>5264</v>
      </c>
      <c r="H1789" t="s">
        <v>946</v>
      </c>
      <c r="J1789">
        <v>500000</v>
      </c>
      <c r="P1789" t="s">
        <v>104</v>
      </c>
      <c r="R1789" t="s">
        <v>1000</v>
      </c>
      <c r="S1789" t="s">
        <v>5385</v>
      </c>
      <c r="T1789" t="s">
        <v>5386</v>
      </c>
      <c r="V1789" t="s">
        <v>5387</v>
      </c>
      <c r="W1789" t="s">
        <v>73</v>
      </c>
      <c r="AE1789" t="s">
        <v>478</v>
      </c>
      <c r="AF1789" t="s">
        <v>479</v>
      </c>
      <c r="AL1789" t="s">
        <v>919</v>
      </c>
      <c r="AM1789" t="s">
        <v>919</v>
      </c>
      <c r="AO1789" t="s">
        <v>480</v>
      </c>
      <c r="AP1789" t="s">
        <v>481</v>
      </c>
      <c r="AQ1789" t="s">
        <v>637</v>
      </c>
      <c r="AR1789" t="s">
        <v>482</v>
      </c>
      <c r="AS1789" t="s">
        <v>483</v>
      </c>
      <c r="AT1789" t="s">
        <v>484</v>
      </c>
      <c r="AU1789" t="s">
        <v>521</v>
      </c>
      <c r="AW1789" t="s">
        <v>486</v>
      </c>
      <c r="BF1789" s="1"/>
      <c r="BG1789" t="s">
        <v>523</v>
      </c>
      <c r="BH1789" t="s">
        <v>1366</v>
      </c>
      <c r="BP1789" t="s">
        <v>1489</v>
      </c>
    </row>
    <row r="1790" spans="1:68" x14ac:dyDescent="0.25">
      <c r="A1790" t="s">
        <v>5713</v>
      </c>
      <c r="B1790" t="s">
        <v>474</v>
      </c>
      <c r="C1790" t="s">
        <v>1486</v>
      </c>
      <c r="E1790" t="s">
        <v>480</v>
      </c>
      <c r="G1790" s="1" t="s">
        <v>5264</v>
      </c>
      <c r="H1790" t="s">
        <v>947</v>
      </c>
      <c r="J1790">
        <v>500000</v>
      </c>
      <c r="P1790" t="s">
        <v>113</v>
      </c>
      <c r="R1790" t="s">
        <v>1000</v>
      </c>
      <c r="S1790" t="s">
        <v>5388</v>
      </c>
      <c r="T1790" t="s">
        <v>5389</v>
      </c>
      <c r="V1790" t="s">
        <v>5390</v>
      </c>
      <c r="W1790" t="s">
        <v>73</v>
      </c>
      <c r="AE1790" t="s">
        <v>478</v>
      </c>
      <c r="AF1790" t="s">
        <v>479</v>
      </c>
      <c r="AL1790" t="s">
        <v>919</v>
      </c>
      <c r="AM1790" t="s">
        <v>919</v>
      </c>
      <c r="AO1790" t="s">
        <v>480</v>
      </c>
      <c r="AP1790" t="s">
        <v>481</v>
      </c>
      <c r="AQ1790" t="s">
        <v>657</v>
      </c>
      <c r="AR1790" t="s">
        <v>482</v>
      </c>
      <c r="AS1790" t="s">
        <v>483</v>
      </c>
      <c r="AT1790" t="s">
        <v>484</v>
      </c>
      <c r="AU1790" t="s">
        <v>521</v>
      </c>
      <c r="AW1790" t="s">
        <v>486</v>
      </c>
      <c r="BF1790" s="1"/>
      <c r="BG1790" t="s">
        <v>523</v>
      </c>
      <c r="BH1790" t="s">
        <v>1366</v>
      </c>
      <c r="BP1790" t="s">
        <v>1489</v>
      </c>
    </row>
    <row r="1791" spans="1:68" x14ac:dyDescent="0.25">
      <c r="A1791" t="s">
        <v>5713</v>
      </c>
      <c r="B1791" t="s">
        <v>474</v>
      </c>
      <c r="C1791" t="s">
        <v>1486</v>
      </c>
      <c r="E1791" t="s">
        <v>480</v>
      </c>
      <c r="G1791" s="1" t="s">
        <v>5264</v>
      </c>
      <c r="H1791" t="s">
        <v>948</v>
      </c>
      <c r="J1791">
        <v>500000</v>
      </c>
      <c r="P1791" t="s">
        <v>72</v>
      </c>
      <c r="R1791" t="s">
        <v>1000</v>
      </c>
      <c r="S1791" t="s">
        <v>5391</v>
      </c>
      <c r="T1791" t="s">
        <v>5392</v>
      </c>
      <c r="V1791" t="s">
        <v>5393</v>
      </c>
      <c r="W1791" t="s">
        <v>73</v>
      </c>
      <c r="AE1791" t="s">
        <v>478</v>
      </c>
      <c r="AF1791" t="s">
        <v>479</v>
      </c>
      <c r="AL1791" t="s">
        <v>919</v>
      </c>
      <c r="AM1791" t="s">
        <v>919</v>
      </c>
      <c r="AO1791" t="s">
        <v>480</v>
      </c>
      <c r="AP1791" t="s">
        <v>481</v>
      </c>
      <c r="AQ1791" t="s">
        <v>757</v>
      </c>
      <c r="AR1791" t="s">
        <v>482</v>
      </c>
      <c r="AS1791" t="s">
        <v>483</v>
      </c>
      <c r="AT1791" t="s">
        <v>484</v>
      </c>
      <c r="AU1791" t="s">
        <v>521</v>
      </c>
      <c r="AW1791" t="s">
        <v>486</v>
      </c>
      <c r="BF1791" s="1"/>
      <c r="BG1791" t="s">
        <v>523</v>
      </c>
      <c r="BH1791" t="s">
        <v>1366</v>
      </c>
      <c r="BP1791" t="s">
        <v>1489</v>
      </c>
    </row>
    <row r="1792" spans="1:68" x14ac:dyDescent="0.25">
      <c r="A1792" t="s">
        <v>5713</v>
      </c>
      <c r="B1792" t="s">
        <v>474</v>
      </c>
      <c r="C1792" t="s">
        <v>1486</v>
      </c>
      <c r="E1792" t="s">
        <v>480</v>
      </c>
      <c r="G1792" s="1" t="s">
        <v>5264</v>
      </c>
      <c r="H1792" t="s">
        <v>949</v>
      </c>
      <c r="J1792">
        <v>500000</v>
      </c>
      <c r="P1792" t="s">
        <v>77</v>
      </c>
      <c r="R1792" t="s">
        <v>1000</v>
      </c>
      <c r="S1792" t="s">
        <v>5394</v>
      </c>
      <c r="T1792" t="s">
        <v>5395</v>
      </c>
      <c r="V1792" t="s">
        <v>5396</v>
      </c>
      <c r="W1792" t="s">
        <v>73</v>
      </c>
      <c r="AE1792" t="s">
        <v>478</v>
      </c>
      <c r="AF1792" t="s">
        <v>479</v>
      </c>
      <c r="AL1792" t="s">
        <v>919</v>
      </c>
      <c r="AM1792" t="s">
        <v>919</v>
      </c>
      <c r="AO1792" t="s">
        <v>480</v>
      </c>
      <c r="AP1792" t="s">
        <v>481</v>
      </c>
      <c r="AQ1792" t="s">
        <v>533</v>
      </c>
      <c r="AR1792" t="s">
        <v>482</v>
      </c>
      <c r="AS1792" t="s">
        <v>483</v>
      </c>
      <c r="AT1792" t="s">
        <v>484</v>
      </c>
      <c r="AU1792" t="s">
        <v>521</v>
      </c>
      <c r="AW1792" t="s">
        <v>486</v>
      </c>
      <c r="BF1792" s="1"/>
      <c r="BG1792" t="s">
        <v>523</v>
      </c>
      <c r="BH1792" t="s">
        <v>1366</v>
      </c>
      <c r="BP1792" t="s">
        <v>1489</v>
      </c>
    </row>
    <row r="1793" spans="1:68" x14ac:dyDescent="0.25">
      <c r="A1793" t="s">
        <v>5713</v>
      </c>
      <c r="B1793" t="s">
        <v>474</v>
      </c>
      <c r="C1793" t="s">
        <v>1486</v>
      </c>
      <c r="E1793" t="s">
        <v>480</v>
      </c>
      <c r="G1793" s="1" t="s">
        <v>5264</v>
      </c>
      <c r="H1793" t="s">
        <v>950</v>
      </c>
      <c r="J1793">
        <v>500000</v>
      </c>
      <c r="P1793" t="s">
        <v>75</v>
      </c>
      <c r="R1793" t="s">
        <v>1000</v>
      </c>
      <c r="S1793" t="s">
        <v>5397</v>
      </c>
      <c r="T1793" t="s">
        <v>5398</v>
      </c>
      <c r="V1793" t="s">
        <v>5399</v>
      </c>
      <c r="W1793" t="s">
        <v>73</v>
      </c>
      <c r="AE1793" t="s">
        <v>478</v>
      </c>
      <c r="AF1793" t="s">
        <v>479</v>
      </c>
      <c r="AL1793" t="s">
        <v>919</v>
      </c>
      <c r="AM1793" t="s">
        <v>919</v>
      </c>
      <c r="AO1793" t="s">
        <v>480</v>
      </c>
      <c r="AP1793" t="s">
        <v>481</v>
      </c>
      <c r="AQ1793" t="s">
        <v>599</v>
      </c>
      <c r="AR1793" t="s">
        <v>482</v>
      </c>
      <c r="AS1793" t="s">
        <v>483</v>
      </c>
      <c r="AT1793" t="s">
        <v>484</v>
      </c>
      <c r="AU1793" t="s">
        <v>521</v>
      </c>
      <c r="AW1793" t="s">
        <v>486</v>
      </c>
      <c r="BF1793" s="1"/>
      <c r="BG1793" t="s">
        <v>523</v>
      </c>
      <c r="BH1793" t="s">
        <v>1366</v>
      </c>
      <c r="BP1793" t="s">
        <v>1489</v>
      </c>
    </row>
    <row r="1794" spans="1:68" x14ac:dyDescent="0.25">
      <c r="A1794" t="s">
        <v>5713</v>
      </c>
      <c r="B1794" t="s">
        <v>474</v>
      </c>
      <c r="C1794" t="s">
        <v>1486</v>
      </c>
      <c r="E1794" t="s">
        <v>480</v>
      </c>
      <c r="G1794" s="1" t="s">
        <v>5264</v>
      </c>
      <c r="H1794" t="s">
        <v>951</v>
      </c>
      <c r="J1794">
        <v>500000</v>
      </c>
      <c r="P1794" t="s">
        <v>112</v>
      </c>
      <c r="R1794" t="s">
        <v>1000</v>
      </c>
      <c r="S1794" t="s">
        <v>5400</v>
      </c>
      <c r="T1794" t="s">
        <v>5401</v>
      </c>
      <c r="V1794" t="s">
        <v>5402</v>
      </c>
      <c r="W1794" t="s">
        <v>73</v>
      </c>
      <c r="AE1794" t="s">
        <v>478</v>
      </c>
      <c r="AF1794" t="s">
        <v>479</v>
      </c>
      <c r="AL1794" t="s">
        <v>919</v>
      </c>
      <c r="AM1794" t="s">
        <v>919</v>
      </c>
      <c r="AO1794" t="s">
        <v>480</v>
      </c>
      <c r="AP1794" t="s">
        <v>481</v>
      </c>
      <c r="AQ1794" t="s">
        <v>577</v>
      </c>
      <c r="AR1794" t="s">
        <v>482</v>
      </c>
      <c r="AS1794" t="s">
        <v>483</v>
      </c>
      <c r="AT1794" t="s">
        <v>484</v>
      </c>
      <c r="AU1794" t="s">
        <v>521</v>
      </c>
      <c r="AW1794" t="s">
        <v>486</v>
      </c>
      <c r="BF1794" s="1"/>
      <c r="BG1794" t="s">
        <v>523</v>
      </c>
      <c r="BH1794" t="s">
        <v>1366</v>
      </c>
      <c r="BP1794" t="s">
        <v>1489</v>
      </c>
    </row>
    <row r="1795" spans="1:68" x14ac:dyDescent="0.25">
      <c r="A1795" t="s">
        <v>5713</v>
      </c>
      <c r="B1795" t="s">
        <v>474</v>
      </c>
      <c r="C1795" t="s">
        <v>1486</v>
      </c>
      <c r="E1795" t="s">
        <v>480</v>
      </c>
      <c r="G1795" s="1" t="s">
        <v>5264</v>
      </c>
      <c r="H1795" t="s">
        <v>952</v>
      </c>
      <c r="J1795">
        <v>500000</v>
      </c>
      <c r="P1795" t="s">
        <v>120</v>
      </c>
      <c r="R1795" t="s">
        <v>1000</v>
      </c>
      <c r="S1795" t="s">
        <v>5403</v>
      </c>
      <c r="T1795" t="s">
        <v>5404</v>
      </c>
      <c r="V1795" t="s">
        <v>5405</v>
      </c>
      <c r="W1795" t="s">
        <v>73</v>
      </c>
      <c r="AE1795" t="s">
        <v>478</v>
      </c>
      <c r="AF1795" t="s">
        <v>479</v>
      </c>
      <c r="AL1795" t="s">
        <v>919</v>
      </c>
      <c r="AM1795" t="s">
        <v>919</v>
      </c>
      <c r="AO1795" t="s">
        <v>480</v>
      </c>
      <c r="AP1795" t="s">
        <v>481</v>
      </c>
      <c r="AQ1795" t="s">
        <v>632</v>
      </c>
      <c r="AR1795" t="s">
        <v>482</v>
      </c>
      <c r="AS1795" t="s">
        <v>483</v>
      </c>
      <c r="AT1795" t="s">
        <v>484</v>
      </c>
      <c r="AU1795" t="s">
        <v>521</v>
      </c>
      <c r="AW1795" t="s">
        <v>486</v>
      </c>
      <c r="BF1795" s="1"/>
      <c r="BG1795" t="s">
        <v>523</v>
      </c>
      <c r="BH1795" t="s">
        <v>1366</v>
      </c>
      <c r="BP1795" t="s">
        <v>1489</v>
      </c>
    </row>
    <row r="1796" spans="1:68" x14ac:dyDescent="0.25">
      <c r="A1796" t="s">
        <v>5713</v>
      </c>
      <c r="B1796" t="s">
        <v>474</v>
      </c>
      <c r="C1796" t="s">
        <v>1486</v>
      </c>
      <c r="E1796" t="s">
        <v>480</v>
      </c>
      <c r="G1796" s="1" t="s">
        <v>5264</v>
      </c>
      <c r="H1796" t="s">
        <v>953</v>
      </c>
      <c r="J1796">
        <v>500000</v>
      </c>
      <c r="P1796" t="s">
        <v>91</v>
      </c>
      <c r="R1796" t="s">
        <v>1000</v>
      </c>
      <c r="S1796" t="s">
        <v>5406</v>
      </c>
      <c r="T1796" t="s">
        <v>5407</v>
      </c>
      <c r="V1796" t="s">
        <v>5408</v>
      </c>
      <c r="W1796" t="s">
        <v>235</v>
      </c>
      <c r="AE1796" t="s">
        <v>478</v>
      </c>
      <c r="AF1796" t="s">
        <v>479</v>
      </c>
      <c r="AL1796" t="s">
        <v>919</v>
      </c>
      <c r="AM1796" t="s">
        <v>919</v>
      </c>
      <c r="AO1796" t="s">
        <v>480</v>
      </c>
      <c r="AP1796" t="s">
        <v>481</v>
      </c>
      <c r="AQ1796" t="s">
        <v>738</v>
      </c>
      <c r="AR1796" t="s">
        <v>482</v>
      </c>
      <c r="AS1796" t="s">
        <v>483</v>
      </c>
      <c r="AT1796" t="s">
        <v>484</v>
      </c>
      <c r="AU1796" t="s">
        <v>130</v>
      </c>
      <c r="AW1796" t="s">
        <v>486</v>
      </c>
      <c r="BF1796" s="1"/>
      <c r="BG1796" t="s">
        <v>266</v>
      </c>
      <c r="BH1796" t="s">
        <v>1366</v>
      </c>
      <c r="BP1796" t="s">
        <v>1489</v>
      </c>
    </row>
    <row r="1797" spans="1:68" x14ac:dyDescent="0.25">
      <c r="A1797" t="s">
        <v>5713</v>
      </c>
      <c r="B1797" t="s">
        <v>474</v>
      </c>
      <c r="C1797" t="s">
        <v>1486</v>
      </c>
      <c r="E1797" t="s">
        <v>480</v>
      </c>
      <c r="G1797" s="1" t="s">
        <v>5264</v>
      </c>
      <c r="H1797" t="s">
        <v>954</v>
      </c>
      <c r="J1797">
        <v>500000</v>
      </c>
      <c r="P1797" t="s">
        <v>100</v>
      </c>
      <c r="R1797" t="s">
        <v>1000</v>
      </c>
      <c r="S1797" t="s">
        <v>5409</v>
      </c>
      <c r="T1797" t="s">
        <v>5410</v>
      </c>
      <c r="V1797" t="s">
        <v>5411</v>
      </c>
      <c r="W1797" t="s">
        <v>235</v>
      </c>
      <c r="AE1797" t="s">
        <v>478</v>
      </c>
      <c r="AF1797" t="s">
        <v>479</v>
      </c>
      <c r="AL1797" t="s">
        <v>919</v>
      </c>
      <c r="AM1797" t="s">
        <v>919</v>
      </c>
      <c r="AO1797" t="s">
        <v>480</v>
      </c>
      <c r="AP1797" t="s">
        <v>481</v>
      </c>
      <c r="AQ1797" t="s">
        <v>709</v>
      </c>
      <c r="AR1797" t="s">
        <v>482</v>
      </c>
      <c r="AS1797" t="s">
        <v>483</v>
      </c>
      <c r="AT1797" t="s">
        <v>484</v>
      </c>
      <c r="AU1797" t="s">
        <v>130</v>
      </c>
      <c r="AW1797" t="s">
        <v>486</v>
      </c>
      <c r="BF1797" s="1"/>
      <c r="BG1797" t="s">
        <v>266</v>
      </c>
      <c r="BH1797" t="s">
        <v>1366</v>
      </c>
      <c r="BP1797" t="s">
        <v>1489</v>
      </c>
    </row>
    <row r="1798" spans="1:68" x14ac:dyDescent="0.25">
      <c r="A1798" t="s">
        <v>5713</v>
      </c>
      <c r="B1798" t="s">
        <v>474</v>
      </c>
      <c r="C1798" t="s">
        <v>1486</v>
      </c>
      <c r="E1798" t="s">
        <v>480</v>
      </c>
      <c r="G1798" s="1" t="s">
        <v>5264</v>
      </c>
      <c r="H1798" t="s">
        <v>955</v>
      </c>
      <c r="J1798">
        <v>500000</v>
      </c>
      <c r="P1798" t="s">
        <v>117</v>
      </c>
      <c r="R1798" t="s">
        <v>1000</v>
      </c>
      <c r="S1798" t="s">
        <v>5412</v>
      </c>
      <c r="T1798" t="s">
        <v>5413</v>
      </c>
      <c r="V1798" t="s">
        <v>5414</v>
      </c>
      <c r="W1798" t="s">
        <v>235</v>
      </c>
      <c r="AE1798" t="s">
        <v>478</v>
      </c>
      <c r="AF1798" t="s">
        <v>479</v>
      </c>
      <c r="AL1798" t="s">
        <v>919</v>
      </c>
      <c r="AM1798" t="s">
        <v>919</v>
      </c>
      <c r="AO1798" t="s">
        <v>480</v>
      </c>
      <c r="AP1798" t="s">
        <v>481</v>
      </c>
      <c r="AQ1798" t="s">
        <v>718</v>
      </c>
      <c r="AR1798" t="s">
        <v>482</v>
      </c>
      <c r="AS1798" t="s">
        <v>483</v>
      </c>
      <c r="AT1798" t="s">
        <v>484</v>
      </c>
      <c r="AU1798" t="s">
        <v>130</v>
      </c>
      <c r="AW1798" t="s">
        <v>486</v>
      </c>
      <c r="BF1798" s="1"/>
      <c r="BG1798" t="s">
        <v>266</v>
      </c>
      <c r="BH1798" t="s">
        <v>1366</v>
      </c>
      <c r="BP1798" t="s">
        <v>1489</v>
      </c>
    </row>
    <row r="1799" spans="1:68" x14ac:dyDescent="0.25">
      <c r="A1799" t="s">
        <v>5713</v>
      </c>
      <c r="B1799" t="s">
        <v>474</v>
      </c>
      <c r="C1799" t="s">
        <v>1486</v>
      </c>
      <c r="E1799" t="s">
        <v>480</v>
      </c>
      <c r="G1799" s="1" t="s">
        <v>5264</v>
      </c>
      <c r="H1799" t="s">
        <v>956</v>
      </c>
      <c r="J1799">
        <v>500000</v>
      </c>
      <c r="P1799" t="s">
        <v>118</v>
      </c>
      <c r="R1799" t="s">
        <v>1000</v>
      </c>
      <c r="S1799" t="s">
        <v>5415</v>
      </c>
      <c r="T1799" t="s">
        <v>5416</v>
      </c>
      <c r="V1799" t="s">
        <v>5417</v>
      </c>
      <c r="W1799" t="s">
        <v>235</v>
      </c>
      <c r="AE1799" t="s">
        <v>478</v>
      </c>
      <c r="AF1799" t="s">
        <v>479</v>
      </c>
      <c r="AL1799" t="s">
        <v>919</v>
      </c>
      <c r="AM1799" t="s">
        <v>919</v>
      </c>
      <c r="AO1799" t="s">
        <v>480</v>
      </c>
      <c r="AP1799" t="s">
        <v>481</v>
      </c>
      <c r="AQ1799" t="s">
        <v>705</v>
      </c>
      <c r="AR1799" t="s">
        <v>482</v>
      </c>
      <c r="AS1799" t="s">
        <v>483</v>
      </c>
      <c r="AT1799" t="s">
        <v>484</v>
      </c>
      <c r="AU1799" t="s">
        <v>130</v>
      </c>
      <c r="AW1799" t="s">
        <v>486</v>
      </c>
      <c r="BF1799" s="1"/>
      <c r="BG1799" t="s">
        <v>266</v>
      </c>
      <c r="BH1799" t="s">
        <v>1366</v>
      </c>
      <c r="BP1799" t="s">
        <v>1489</v>
      </c>
    </row>
    <row r="1800" spans="1:68" x14ac:dyDescent="0.25">
      <c r="A1800" t="s">
        <v>5713</v>
      </c>
      <c r="B1800" t="s">
        <v>474</v>
      </c>
      <c r="C1800" t="s">
        <v>1486</v>
      </c>
      <c r="E1800" t="s">
        <v>480</v>
      </c>
      <c r="G1800" s="1" t="s">
        <v>5418</v>
      </c>
      <c r="H1800" t="s">
        <v>959</v>
      </c>
      <c r="J1800">
        <v>500000</v>
      </c>
      <c r="P1800" t="s">
        <v>127</v>
      </c>
      <c r="R1800" t="s">
        <v>988</v>
      </c>
      <c r="S1800" t="s">
        <v>5419</v>
      </c>
      <c r="T1800" t="s">
        <v>5420</v>
      </c>
      <c r="V1800" t="s">
        <v>5421</v>
      </c>
      <c r="W1800" t="s">
        <v>70</v>
      </c>
      <c r="AE1800" t="s">
        <v>478</v>
      </c>
      <c r="AF1800" t="s">
        <v>479</v>
      </c>
      <c r="AL1800" t="s">
        <v>919</v>
      </c>
      <c r="AM1800" t="s">
        <v>919</v>
      </c>
      <c r="AO1800" t="s">
        <v>480</v>
      </c>
      <c r="AP1800" t="s">
        <v>481</v>
      </c>
      <c r="AQ1800" t="s">
        <v>489</v>
      </c>
      <c r="AR1800" t="s">
        <v>482</v>
      </c>
      <c r="AS1800" t="s">
        <v>483</v>
      </c>
      <c r="AT1800" t="s">
        <v>484</v>
      </c>
      <c r="AU1800" t="s">
        <v>490</v>
      </c>
      <c r="AW1800" t="s">
        <v>486</v>
      </c>
      <c r="BF1800" s="1"/>
      <c r="BG1800" t="s">
        <v>71</v>
      </c>
      <c r="BH1800" t="s">
        <v>1366</v>
      </c>
      <c r="BP1800" t="s">
        <v>1489</v>
      </c>
    </row>
    <row r="1801" spans="1:68" x14ac:dyDescent="0.25">
      <c r="A1801" t="s">
        <v>5713</v>
      </c>
      <c r="B1801" t="s">
        <v>474</v>
      </c>
      <c r="C1801" t="s">
        <v>1486</v>
      </c>
      <c r="E1801" t="s">
        <v>480</v>
      </c>
      <c r="G1801" s="1" t="s">
        <v>5418</v>
      </c>
      <c r="H1801" t="s">
        <v>492</v>
      </c>
      <c r="J1801">
        <v>500000</v>
      </c>
      <c r="P1801" t="s">
        <v>83</v>
      </c>
      <c r="R1801" t="s">
        <v>988</v>
      </c>
      <c r="S1801" t="s">
        <v>5422</v>
      </c>
      <c r="T1801" t="s">
        <v>5423</v>
      </c>
      <c r="V1801" t="s">
        <v>5424</v>
      </c>
      <c r="W1801" t="s">
        <v>70</v>
      </c>
      <c r="AE1801" t="s">
        <v>478</v>
      </c>
      <c r="AF1801" t="s">
        <v>479</v>
      </c>
      <c r="AL1801" t="s">
        <v>919</v>
      </c>
      <c r="AM1801" t="s">
        <v>919</v>
      </c>
      <c r="AO1801" t="s">
        <v>480</v>
      </c>
      <c r="AP1801" t="s">
        <v>481</v>
      </c>
      <c r="AQ1801" t="s">
        <v>497</v>
      </c>
      <c r="AR1801" t="s">
        <v>482</v>
      </c>
      <c r="AS1801" t="s">
        <v>483</v>
      </c>
      <c r="AT1801" t="s">
        <v>484</v>
      </c>
      <c r="AU1801" t="s">
        <v>490</v>
      </c>
      <c r="AW1801" t="s">
        <v>486</v>
      </c>
      <c r="BF1801" s="1"/>
      <c r="BG1801" t="s">
        <v>71</v>
      </c>
      <c r="BH1801" t="s">
        <v>1366</v>
      </c>
      <c r="BP1801" t="s">
        <v>1489</v>
      </c>
    </row>
    <row r="1802" spans="1:68" x14ac:dyDescent="0.25">
      <c r="A1802" t="s">
        <v>5713</v>
      </c>
      <c r="B1802" t="s">
        <v>474</v>
      </c>
      <c r="C1802" t="s">
        <v>1486</v>
      </c>
      <c r="E1802" t="s">
        <v>480</v>
      </c>
      <c r="G1802" s="1" t="s">
        <v>5418</v>
      </c>
      <c r="H1802" t="s">
        <v>500</v>
      </c>
      <c r="J1802">
        <v>500000</v>
      </c>
      <c r="P1802" t="s">
        <v>121</v>
      </c>
      <c r="R1802" t="s">
        <v>988</v>
      </c>
      <c r="S1802" t="s">
        <v>5425</v>
      </c>
      <c r="T1802" t="s">
        <v>5426</v>
      </c>
      <c r="V1802" t="s">
        <v>5427</v>
      </c>
      <c r="W1802" t="s">
        <v>70</v>
      </c>
      <c r="AE1802" t="s">
        <v>478</v>
      </c>
      <c r="AF1802" t="s">
        <v>479</v>
      </c>
      <c r="AL1802" t="s">
        <v>919</v>
      </c>
      <c r="AM1802" t="s">
        <v>919</v>
      </c>
      <c r="AO1802" t="s">
        <v>480</v>
      </c>
      <c r="AP1802" t="s">
        <v>481</v>
      </c>
      <c r="AQ1802" t="s">
        <v>499</v>
      </c>
      <c r="AR1802" t="s">
        <v>482</v>
      </c>
      <c r="AS1802" t="s">
        <v>483</v>
      </c>
      <c r="AT1802" t="s">
        <v>484</v>
      </c>
      <c r="AU1802" t="s">
        <v>490</v>
      </c>
      <c r="AW1802" t="s">
        <v>486</v>
      </c>
      <c r="BF1802" s="1"/>
      <c r="BG1802" t="s">
        <v>71</v>
      </c>
      <c r="BH1802" t="s">
        <v>1366</v>
      </c>
      <c r="BP1802" t="s">
        <v>1489</v>
      </c>
    </row>
    <row r="1803" spans="1:68" x14ac:dyDescent="0.25">
      <c r="A1803" t="s">
        <v>5713</v>
      </c>
      <c r="B1803" t="s">
        <v>474</v>
      </c>
      <c r="C1803" t="s">
        <v>1486</v>
      </c>
      <c r="E1803" t="s">
        <v>480</v>
      </c>
      <c r="G1803" s="1" t="s">
        <v>5418</v>
      </c>
      <c r="H1803" t="s">
        <v>537</v>
      </c>
      <c r="J1803">
        <v>500000</v>
      </c>
      <c r="P1803" t="s">
        <v>133</v>
      </c>
      <c r="R1803" t="s">
        <v>988</v>
      </c>
      <c r="S1803" t="s">
        <v>5428</v>
      </c>
      <c r="T1803" t="s">
        <v>5429</v>
      </c>
      <c r="V1803" t="s">
        <v>5430</v>
      </c>
      <c r="W1803" t="s">
        <v>70</v>
      </c>
      <c r="AE1803" t="s">
        <v>478</v>
      </c>
      <c r="AF1803" t="s">
        <v>479</v>
      </c>
      <c r="AL1803" t="s">
        <v>919</v>
      </c>
      <c r="AM1803" t="s">
        <v>919</v>
      </c>
      <c r="AO1803" t="s">
        <v>480</v>
      </c>
      <c r="AP1803" t="s">
        <v>481</v>
      </c>
      <c r="AQ1803" t="s">
        <v>505</v>
      </c>
      <c r="AR1803" t="s">
        <v>482</v>
      </c>
      <c r="AS1803" t="s">
        <v>483</v>
      </c>
      <c r="AT1803" t="s">
        <v>484</v>
      </c>
      <c r="AU1803" t="s">
        <v>490</v>
      </c>
      <c r="AW1803" t="s">
        <v>486</v>
      </c>
      <c r="BF1803" s="1"/>
      <c r="BG1803" t="s">
        <v>71</v>
      </c>
      <c r="BH1803" t="s">
        <v>1366</v>
      </c>
      <c r="BP1803" t="s">
        <v>1489</v>
      </c>
    </row>
    <row r="1804" spans="1:68" x14ac:dyDescent="0.25">
      <c r="A1804" t="s">
        <v>5713</v>
      </c>
      <c r="B1804" t="s">
        <v>474</v>
      </c>
      <c r="C1804" t="s">
        <v>1486</v>
      </c>
      <c r="E1804" t="s">
        <v>480</v>
      </c>
      <c r="G1804" s="1" t="s">
        <v>5418</v>
      </c>
      <c r="H1804" t="s">
        <v>546</v>
      </c>
      <c r="J1804">
        <v>500000</v>
      </c>
      <c r="P1804" t="s">
        <v>131</v>
      </c>
      <c r="R1804" t="s">
        <v>988</v>
      </c>
      <c r="S1804" t="s">
        <v>5431</v>
      </c>
      <c r="T1804" t="s">
        <v>5432</v>
      </c>
      <c r="V1804" t="s">
        <v>5433</v>
      </c>
      <c r="W1804" t="s">
        <v>70</v>
      </c>
      <c r="AE1804" t="s">
        <v>478</v>
      </c>
      <c r="AF1804" t="s">
        <v>479</v>
      </c>
      <c r="AL1804" t="s">
        <v>919</v>
      </c>
      <c r="AM1804" t="s">
        <v>919</v>
      </c>
      <c r="AO1804" t="s">
        <v>480</v>
      </c>
      <c r="AP1804" t="s">
        <v>481</v>
      </c>
      <c r="AQ1804" t="s">
        <v>516</v>
      </c>
      <c r="AR1804" t="s">
        <v>482</v>
      </c>
      <c r="AS1804" t="s">
        <v>483</v>
      </c>
      <c r="AT1804" t="s">
        <v>484</v>
      </c>
      <c r="AU1804" t="s">
        <v>490</v>
      </c>
      <c r="AW1804" t="s">
        <v>486</v>
      </c>
      <c r="BF1804" s="1"/>
      <c r="BG1804" t="s">
        <v>71</v>
      </c>
      <c r="BH1804" t="s">
        <v>1366</v>
      </c>
      <c r="BP1804" t="s">
        <v>1489</v>
      </c>
    </row>
    <row r="1805" spans="1:68" x14ac:dyDescent="0.25">
      <c r="A1805" t="s">
        <v>5713</v>
      </c>
      <c r="B1805" t="s">
        <v>474</v>
      </c>
      <c r="C1805" t="s">
        <v>1486</v>
      </c>
      <c r="E1805" t="s">
        <v>480</v>
      </c>
      <c r="G1805" s="1" t="s">
        <v>5418</v>
      </c>
      <c r="H1805" t="s">
        <v>553</v>
      </c>
      <c r="J1805">
        <v>500000</v>
      </c>
      <c r="P1805" t="s">
        <v>165</v>
      </c>
      <c r="R1805" t="s">
        <v>988</v>
      </c>
      <c r="S1805" t="s">
        <v>5434</v>
      </c>
      <c r="T1805" t="s">
        <v>5435</v>
      </c>
      <c r="V1805" t="s">
        <v>5436</v>
      </c>
      <c r="W1805" t="s">
        <v>70</v>
      </c>
      <c r="AE1805" t="s">
        <v>478</v>
      </c>
      <c r="AF1805" t="s">
        <v>479</v>
      </c>
      <c r="AL1805" t="s">
        <v>919</v>
      </c>
      <c r="AM1805" t="s">
        <v>919</v>
      </c>
      <c r="AO1805" t="s">
        <v>480</v>
      </c>
      <c r="AP1805" t="s">
        <v>481</v>
      </c>
      <c r="AQ1805" t="s">
        <v>752</v>
      </c>
      <c r="AR1805" t="s">
        <v>482</v>
      </c>
      <c r="AS1805" t="s">
        <v>483</v>
      </c>
      <c r="AT1805" t="s">
        <v>484</v>
      </c>
      <c r="AU1805" t="s">
        <v>490</v>
      </c>
      <c r="AW1805" t="s">
        <v>486</v>
      </c>
      <c r="BF1805" s="1"/>
      <c r="BG1805" t="s">
        <v>71</v>
      </c>
      <c r="BH1805" t="s">
        <v>1366</v>
      </c>
      <c r="BP1805" t="s">
        <v>1489</v>
      </c>
    </row>
    <row r="1806" spans="1:68" x14ac:dyDescent="0.25">
      <c r="A1806" t="s">
        <v>5713</v>
      </c>
      <c r="B1806" t="s">
        <v>474</v>
      </c>
      <c r="C1806" t="s">
        <v>1486</v>
      </c>
      <c r="E1806" t="s">
        <v>480</v>
      </c>
      <c r="G1806" s="1" t="s">
        <v>5418</v>
      </c>
      <c r="H1806" t="s">
        <v>559</v>
      </c>
      <c r="J1806">
        <v>500000</v>
      </c>
      <c r="P1806" t="s">
        <v>160</v>
      </c>
      <c r="R1806" t="s">
        <v>988</v>
      </c>
      <c r="S1806" t="s">
        <v>5437</v>
      </c>
      <c r="T1806" t="s">
        <v>5438</v>
      </c>
      <c r="V1806" t="s">
        <v>5439</v>
      </c>
      <c r="W1806" t="s">
        <v>70</v>
      </c>
      <c r="AE1806" t="s">
        <v>478</v>
      </c>
      <c r="AF1806" t="s">
        <v>479</v>
      </c>
      <c r="AL1806" t="s">
        <v>919</v>
      </c>
      <c r="AM1806" t="s">
        <v>919</v>
      </c>
      <c r="AO1806" t="s">
        <v>480</v>
      </c>
      <c r="AP1806" t="s">
        <v>481</v>
      </c>
      <c r="AQ1806" t="s">
        <v>730</v>
      </c>
      <c r="AR1806" t="s">
        <v>482</v>
      </c>
      <c r="AS1806" t="s">
        <v>483</v>
      </c>
      <c r="AT1806" t="s">
        <v>484</v>
      </c>
      <c r="AU1806" t="s">
        <v>490</v>
      </c>
      <c r="AW1806" t="s">
        <v>486</v>
      </c>
      <c r="BF1806" s="1"/>
      <c r="BG1806" t="s">
        <v>71</v>
      </c>
      <c r="BH1806" t="s">
        <v>1366</v>
      </c>
      <c r="BP1806" t="s">
        <v>1489</v>
      </c>
    </row>
    <row r="1807" spans="1:68" x14ac:dyDescent="0.25">
      <c r="A1807" t="s">
        <v>5713</v>
      </c>
      <c r="B1807" t="s">
        <v>474</v>
      </c>
      <c r="C1807" t="s">
        <v>1486</v>
      </c>
      <c r="E1807" t="s">
        <v>480</v>
      </c>
      <c r="G1807" s="1" t="s">
        <v>5418</v>
      </c>
      <c r="H1807" t="s">
        <v>564</v>
      </c>
      <c r="J1807">
        <v>500000</v>
      </c>
      <c r="P1807" t="s">
        <v>129</v>
      </c>
      <c r="R1807" t="s">
        <v>988</v>
      </c>
      <c r="S1807" t="s">
        <v>5440</v>
      </c>
      <c r="T1807" t="s">
        <v>5441</v>
      </c>
      <c r="V1807" t="s">
        <v>5442</v>
      </c>
      <c r="W1807" t="s">
        <v>73</v>
      </c>
      <c r="AE1807" t="s">
        <v>478</v>
      </c>
      <c r="AF1807" t="s">
        <v>479</v>
      </c>
      <c r="AL1807" t="s">
        <v>919</v>
      </c>
      <c r="AM1807" t="s">
        <v>919</v>
      </c>
      <c r="AO1807" t="s">
        <v>480</v>
      </c>
      <c r="AP1807" t="s">
        <v>481</v>
      </c>
      <c r="AQ1807" t="s">
        <v>691</v>
      </c>
      <c r="AR1807" t="s">
        <v>482</v>
      </c>
      <c r="AS1807" t="s">
        <v>483</v>
      </c>
      <c r="AT1807" t="s">
        <v>484</v>
      </c>
      <c r="AU1807" t="s">
        <v>521</v>
      </c>
      <c r="AW1807" t="s">
        <v>486</v>
      </c>
      <c r="BF1807" s="1"/>
      <c r="BG1807" t="s">
        <v>523</v>
      </c>
      <c r="BH1807" t="s">
        <v>1366</v>
      </c>
      <c r="BP1807" t="s">
        <v>1489</v>
      </c>
    </row>
    <row r="1808" spans="1:68" x14ac:dyDescent="0.25">
      <c r="A1808" t="s">
        <v>5713</v>
      </c>
      <c r="B1808" t="s">
        <v>474</v>
      </c>
      <c r="C1808" t="s">
        <v>1486</v>
      </c>
      <c r="E1808" t="s">
        <v>480</v>
      </c>
      <c r="G1808" s="1" t="s">
        <v>5418</v>
      </c>
      <c r="H1808" t="s">
        <v>571</v>
      </c>
      <c r="J1808">
        <v>500000</v>
      </c>
      <c r="P1808" t="s">
        <v>150</v>
      </c>
      <c r="R1808" t="s">
        <v>988</v>
      </c>
      <c r="S1808" t="s">
        <v>5443</v>
      </c>
      <c r="T1808" t="s">
        <v>5444</v>
      </c>
      <c r="V1808" t="s">
        <v>5445</v>
      </c>
      <c r="W1808" t="s">
        <v>73</v>
      </c>
      <c r="AE1808" t="s">
        <v>478</v>
      </c>
      <c r="AF1808" t="s">
        <v>479</v>
      </c>
      <c r="AL1808" t="s">
        <v>919</v>
      </c>
      <c r="AM1808" t="s">
        <v>919</v>
      </c>
      <c r="AO1808" t="s">
        <v>480</v>
      </c>
      <c r="AP1808" t="s">
        <v>481</v>
      </c>
      <c r="AQ1808" t="s">
        <v>570</v>
      </c>
      <c r="AR1808" t="s">
        <v>482</v>
      </c>
      <c r="AS1808" t="s">
        <v>483</v>
      </c>
      <c r="AT1808" t="s">
        <v>484</v>
      </c>
      <c r="AU1808" t="s">
        <v>521</v>
      </c>
      <c r="AW1808" t="s">
        <v>486</v>
      </c>
      <c r="BF1808" s="1"/>
      <c r="BG1808" t="s">
        <v>523</v>
      </c>
      <c r="BH1808" t="s">
        <v>1366</v>
      </c>
      <c r="BP1808" t="s">
        <v>1489</v>
      </c>
    </row>
    <row r="1809" spans="1:68" x14ac:dyDescent="0.25">
      <c r="A1809" t="s">
        <v>5713</v>
      </c>
      <c r="B1809" t="s">
        <v>474</v>
      </c>
      <c r="C1809" t="s">
        <v>1486</v>
      </c>
      <c r="E1809" t="s">
        <v>480</v>
      </c>
      <c r="G1809" s="1" t="s">
        <v>5418</v>
      </c>
      <c r="H1809" t="s">
        <v>578</v>
      </c>
      <c r="J1809">
        <v>500000</v>
      </c>
      <c r="P1809" t="s">
        <v>154</v>
      </c>
      <c r="R1809" t="s">
        <v>988</v>
      </c>
      <c r="S1809" t="s">
        <v>5446</v>
      </c>
      <c r="T1809" t="s">
        <v>5447</v>
      </c>
      <c r="V1809" t="s">
        <v>5448</v>
      </c>
      <c r="W1809" t="s">
        <v>73</v>
      </c>
      <c r="AE1809" t="s">
        <v>478</v>
      </c>
      <c r="AF1809" t="s">
        <v>479</v>
      </c>
      <c r="AL1809" t="s">
        <v>919</v>
      </c>
      <c r="AM1809" t="s">
        <v>919</v>
      </c>
      <c r="AO1809" t="s">
        <v>480</v>
      </c>
      <c r="AP1809" t="s">
        <v>481</v>
      </c>
      <c r="AQ1809" t="s">
        <v>531</v>
      </c>
      <c r="AR1809" t="s">
        <v>482</v>
      </c>
      <c r="AS1809" t="s">
        <v>483</v>
      </c>
      <c r="AT1809" t="s">
        <v>484</v>
      </c>
      <c r="AU1809" t="s">
        <v>521</v>
      </c>
      <c r="AW1809" t="s">
        <v>486</v>
      </c>
      <c r="BF1809" s="1"/>
      <c r="BG1809" t="s">
        <v>523</v>
      </c>
      <c r="BH1809" t="s">
        <v>1366</v>
      </c>
      <c r="BP1809" t="s">
        <v>1489</v>
      </c>
    </row>
    <row r="1810" spans="1:68" x14ac:dyDescent="0.25">
      <c r="A1810" t="s">
        <v>5713</v>
      </c>
      <c r="B1810" t="s">
        <v>474</v>
      </c>
      <c r="C1810" t="s">
        <v>1486</v>
      </c>
      <c r="E1810" t="s">
        <v>480</v>
      </c>
      <c r="G1810" s="1" t="s">
        <v>5418</v>
      </c>
      <c r="H1810" t="s">
        <v>585</v>
      </c>
      <c r="J1810">
        <v>500000</v>
      </c>
      <c r="P1810" t="s">
        <v>135</v>
      </c>
      <c r="R1810" t="s">
        <v>988</v>
      </c>
      <c r="S1810" t="s">
        <v>5449</v>
      </c>
      <c r="T1810" t="s">
        <v>5450</v>
      </c>
      <c r="V1810" t="s">
        <v>5451</v>
      </c>
      <c r="W1810" t="s">
        <v>73</v>
      </c>
      <c r="AE1810" t="s">
        <v>478</v>
      </c>
      <c r="AF1810" t="s">
        <v>479</v>
      </c>
      <c r="AL1810" t="s">
        <v>919</v>
      </c>
      <c r="AM1810" t="s">
        <v>919</v>
      </c>
      <c r="AO1810" t="s">
        <v>480</v>
      </c>
      <c r="AP1810" t="s">
        <v>481</v>
      </c>
      <c r="AQ1810" t="s">
        <v>574</v>
      </c>
      <c r="AR1810" t="s">
        <v>482</v>
      </c>
      <c r="AS1810" t="s">
        <v>483</v>
      </c>
      <c r="AT1810" t="s">
        <v>484</v>
      </c>
      <c r="AU1810" t="s">
        <v>521</v>
      </c>
      <c r="AW1810" t="s">
        <v>486</v>
      </c>
      <c r="BF1810" s="1"/>
      <c r="BG1810" t="s">
        <v>523</v>
      </c>
      <c r="BH1810" t="s">
        <v>1366</v>
      </c>
      <c r="BP1810" t="s">
        <v>1489</v>
      </c>
    </row>
    <row r="1811" spans="1:68" x14ac:dyDescent="0.25">
      <c r="A1811" t="s">
        <v>5713</v>
      </c>
      <c r="B1811" t="s">
        <v>474</v>
      </c>
      <c r="C1811" t="s">
        <v>1486</v>
      </c>
      <c r="E1811" t="s">
        <v>480</v>
      </c>
      <c r="G1811" s="1" t="s">
        <v>5418</v>
      </c>
      <c r="H1811" t="s">
        <v>592</v>
      </c>
      <c r="J1811">
        <v>500000</v>
      </c>
      <c r="P1811" t="s">
        <v>126</v>
      </c>
      <c r="R1811" t="s">
        <v>988</v>
      </c>
      <c r="S1811" t="s">
        <v>5452</v>
      </c>
      <c r="T1811" t="s">
        <v>5453</v>
      </c>
      <c r="V1811" t="s">
        <v>5454</v>
      </c>
      <c r="W1811" t="s">
        <v>73</v>
      </c>
      <c r="AE1811" t="s">
        <v>478</v>
      </c>
      <c r="AF1811" t="s">
        <v>479</v>
      </c>
      <c r="AL1811" t="s">
        <v>919</v>
      </c>
      <c r="AM1811" t="s">
        <v>919</v>
      </c>
      <c r="AO1811" t="s">
        <v>480</v>
      </c>
      <c r="AP1811" t="s">
        <v>481</v>
      </c>
      <c r="AQ1811" t="s">
        <v>639</v>
      </c>
      <c r="AR1811" t="s">
        <v>482</v>
      </c>
      <c r="AS1811" t="s">
        <v>483</v>
      </c>
      <c r="AT1811" t="s">
        <v>484</v>
      </c>
      <c r="AU1811" t="s">
        <v>521</v>
      </c>
      <c r="AW1811" t="s">
        <v>486</v>
      </c>
      <c r="BF1811" s="1"/>
      <c r="BG1811" t="s">
        <v>523</v>
      </c>
      <c r="BH1811" t="s">
        <v>1366</v>
      </c>
      <c r="BP1811" t="s">
        <v>1489</v>
      </c>
    </row>
    <row r="1812" spans="1:68" x14ac:dyDescent="0.25">
      <c r="A1812" t="s">
        <v>5713</v>
      </c>
      <c r="B1812" t="s">
        <v>474</v>
      </c>
      <c r="C1812" t="s">
        <v>1486</v>
      </c>
      <c r="E1812" t="s">
        <v>480</v>
      </c>
      <c r="G1812" s="1" t="s">
        <v>5418</v>
      </c>
      <c r="H1812" t="s">
        <v>600</v>
      </c>
      <c r="J1812">
        <v>500000</v>
      </c>
      <c r="P1812" t="s">
        <v>114</v>
      </c>
      <c r="R1812" t="s">
        <v>988</v>
      </c>
      <c r="S1812" t="s">
        <v>5455</v>
      </c>
      <c r="T1812" t="s">
        <v>5456</v>
      </c>
      <c r="V1812" t="s">
        <v>5457</v>
      </c>
      <c r="W1812" t="s">
        <v>73</v>
      </c>
      <c r="AE1812" t="s">
        <v>478</v>
      </c>
      <c r="AF1812" t="s">
        <v>479</v>
      </c>
      <c r="AL1812" t="s">
        <v>919</v>
      </c>
      <c r="AM1812" t="s">
        <v>919</v>
      </c>
      <c r="AO1812" t="s">
        <v>480</v>
      </c>
      <c r="AP1812" t="s">
        <v>481</v>
      </c>
      <c r="AQ1812" t="s">
        <v>584</v>
      </c>
      <c r="AR1812" t="s">
        <v>482</v>
      </c>
      <c r="AS1812" t="s">
        <v>483</v>
      </c>
      <c r="AT1812" t="s">
        <v>484</v>
      </c>
      <c r="AU1812" t="s">
        <v>521</v>
      </c>
      <c r="AW1812" t="s">
        <v>486</v>
      </c>
      <c r="BF1812" s="1"/>
      <c r="BG1812" t="s">
        <v>523</v>
      </c>
      <c r="BH1812" t="s">
        <v>1366</v>
      </c>
      <c r="BP1812" t="s">
        <v>1489</v>
      </c>
    </row>
    <row r="1813" spans="1:68" x14ac:dyDescent="0.25">
      <c r="A1813" t="s">
        <v>5713</v>
      </c>
      <c r="B1813" t="s">
        <v>474</v>
      </c>
      <c r="C1813" t="s">
        <v>1486</v>
      </c>
      <c r="E1813" t="s">
        <v>480</v>
      </c>
      <c r="G1813" s="1" t="s">
        <v>5418</v>
      </c>
      <c r="H1813" t="s">
        <v>608</v>
      </c>
      <c r="J1813">
        <v>500000</v>
      </c>
      <c r="P1813" t="s">
        <v>78</v>
      </c>
      <c r="R1813" t="s">
        <v>988</v>
      </c>
      <c r="S1813" t="s">
        <v>5458</v>
      </c>
      <c r="T1813" t="s">
        <v>5459</v>
      </c>
      <c r="V1813" t="s">
        <v>5460</v>
      </c>
      <c r="W1813" t="s">
        <v>73</v>
      </c>
      <c r="AE1813" t="s">
        <v>478</v>
      </c>
      <c r="AF1813" t="s">
        <v>479</v>
      </c>
      <c r="AL1813" t="s">
        <v>919</v>
      </c>
      <c r="AM1813" t="s">
        <v>919</v>
      </c>
      <c r="AO1813" t="s">
        <v>480</v>
      </c>
      <c r="AP1813" t="s">
        <v>481</v>
      </c>
      <c r="AQ1813" t="s">
        <v>631</v>
      </c>
      <c r="AR1813" t="s">
        <v>482</v>
      </c>
      <c r="AS1813" t="s">
        <v>483</v>
      </c>
      <c r="AT1813" t="s">
        <v>484</v>
      </c>
      <c r="AU1813" t="s">
        <v>521</v>
      </c>
      <c r="AW1813" t="s">
        <v>486</v>
      </c>
      <c r="BF1813" s="1"/>
      <c r="BG1813" t="s">
        <v>523</v>
      </c>
      <c r="BH1813" t="s">
        <v>1366</v>
      </c>
      <c r="BP1813" t="s">
        <v>1489</v>
      </c>
    </row>
    <row r="1814" spans="1:68" x14ac:dyDescent="0.25">
      <c r="A1814" t="s">
        <v>5713</v>
      </c>
      <c r="B1814" t="s">
        <v>474</v>
      </c>
      <c r="C1814" t="s">
        <v>1486</v>
      </c>
      <c r="E1814" t="s">
        <v>480</v>
      </c>
      <c r="G1814" s="1" t="s">
        <v>5418</v>
      </c>
      <c r="H1814" t="s">
        <v>612</v>
      </c>
      <c r="J1814">
        <v>500000</v>
      </c>
      <c r="P1814" t="s">
        <v>148</v>
      </c>
      <c r="R1814" t="s">
        <v>988</v>
      </c>
      <c r="S1814" t="s">
        <v>5461</v>
      </c>
      <c r="T1814" t="s">
        <v>5462</v>
      </c>
      <c r="V1814" t="s">
        <v>5463</v>
      </c>
      <c r="W1814" t="s">
        <v>73</v>
      </c>
      <c r="AE1814" t="s">
        <v>478</v>
      </c>
      <c r="AF1814" t="s">
        <v>479</v>
      </c>
      <c r="AL1814" t="s">
        <v>919</v>
      </c>
      <c r="AM1814" t="s">
        <v>919</v>
      </c>
      <c r="AO1814" t="s">
        <v>480</v>
      </c>
      <c r="AP1814" t="s">
        <v>481</v>
      </c>
      <c r="AQ1814" t="s">
        <v>591</v>
      </c>
      <c r="AR1814" t="s">
        <v>482</v>
      </c>
      <c r="AS1814" t="s">
        <v>483</v>
      </c>
      <c r="AT1814" t="s">
        <v>484</v>
      </c>
      <c r="AU1814" t="s">
        <v>521</v>
      </c>
      <c r="AW1814" t="s">
        <v>486</v>
      </c>
      <c r="BF1814" s="1"/>
      <c r="BG1814" t="s">
        <v>523</v>
      </c>
      <c r="BH1814" t="s">
        <v>1366</v>
      </c>
      <c r="BP1814" t="s">
        <v>1489</v>
      </c>
    </row>
    <row r="1815" spans="1:68" x14ac:dyDescent="0.25">
      <c r="A1815" t="s">
        <v>5713</v>
      </c>
      <c r="B1815" t="s">
        <v>474</v>
      </c>
      <c r="C1815" t="s">
        <v>1486</v>
      </c>
      <c r="E1815" t="s">
        <v>480</v>
      </c>
      <c r="G1815" s="1" t="s">
        <v>5418</v>
      </c>
      <c r="H1815" t="s">
        <v>619</v>
      </c>
      <c r="J1815">
        <v>500000</v>
      </c>
      <c r="P1815" t="s">
        <v>136</v>
      </c>
      <c r="R1815" t="s">
        <v>988</v>
      </c>
      <c r="S1815" t="s">
        <v>5464</v>
      </c>
      <c r="T1815" t="s">
        <v>5465</v>
      </c>
      <c r="V1815" t="s">
        <v>5466</v>
      </c>
      <c r="W1815" t="s">
        <v>73</v>
      </c>
      <c r="AE1815" t="s">
        <v>478</v>
      </c>
      <c r="AF1815" t="s">
        <v>479</v>
      </c>
      <c r="AL1815" t="s">
        <v>919</v>
      </c>
      <c r="AM1815" t="s">
        <v>919</v>
      </c>
      <c r="AO1815" t="s">
        <v>480</v>
      </c>
      <c r="AP1815" t="s">
        <v>481</v>
      </c>
      <c r="AQ1815" t="s">
        <v>790</v>
      </c>
      <c r="AR1815" t="s">
        <v>482</v>
      </c>
      <c r="AS1815" t="s">
        <v>483</v>
      </c>
      <c r="AT1815" t="s">
        <v>484</v>
      </c>
      <c r="AU1815" t="s">
        <v>521</v>
      </c>
      <c r="AW1815" t="s">
        <v>486</v>
      </c>
      <c r="BF1815" s="1"/>
      <c r="BG1815" t="s">
        <v>523</v>
      </c>
      <c r="BH1815" t="s">
        <v>1366</v>
      </c>
      <c r="BP1815" t="s">
        <v>1489</v>
      </c>
    </row>
    <row r="1816" spans="1:68" x14ac:dyDescent="0.25">
      <c r="A1816" t="s">
        <v>5713</v>
      </c>
      <c r="B1816" t="s">
        <v>474</v>
      </c>
      <c r="C1816" t="s">
        <v>1486</v>
      </c>
      <c r="E1816" t="s">
        <v>480</v>
      </c>
      <c r="G1816" s="1" t="s">
        <v>5418</v>
      </c>
      <c r="H1816" t="s">
        <v>811</v>
      </c>
      <c r="J1816">
        <v>500000</v>
      </c>
      <c r="P1816" t="s">
        <v>103</v>
      </c>
      <c r="R1816" t="s">
        <v>988</v>
      </c>
      <c r="S1816" t="s">
        <v>5467</v>
      </c>
      <c r="T1816" t="s">
        <v>5468</v>
      </c>
      <c r="V1816" t="s">
        <v>5469</v>
      </c>
      <c r="W1816" t="s">
        <v>73</v>
      </c>
      <c r="AE1816" t="s">
        <v>478</v>
      </c>
      <c r="AF1816" t="s">
        <v>479</v>
      </c>
      <c r="AL1816" t="s">
        <v>919</v>
      </c>
      <c r="AM1816" t="s">
        <v>919</v>
      </c>
      <c r="AO1816" t="s">
        <v>480</v>
      </c>
      <c r="AP1816" t="s">
        <v>481</v>
      </c>
      <c r="AQ1816" t="s">
        <v>545</v>
      </c>
      <c r="AR1816" t="s">
        <v>482</v>
      </c>
      <c r="AS1816" t="s">
        <v>483</v>
      </c>
      <c r="AT1816" t="s">
        <v>484</v>
      </c>
      <c r="AU1816" t="s">
        <v>521</v>
      </c>
      <c r="AW1816" t="s">
        <v>486</v>
      </c>
      <c r="BF1816" s="1"/>
      <c r="BG1816" t="s">
        <v>523</v>
      </c>
      <c r="BH1816" t="s">
        <v>1366</v>
      </c>
      <c r="BP1816" t="s">
        <v>1489</v>
      </c>
    </row>
    <row r="1817" spans="1:68" x14ac:dyDescent="0.25">
      <c r="A1817" t="s">
        <v>5713</v>
      </c>
      <c r="B1817" t="s">
        <v>474</v>
      </c>
      <c r="C1817" t="s">
        <v>1486</v>
      </c>
      <c r="E1817" t="s">
        <v>480</v>
      </c>
      <c r="G1817" s="1" t="s">
        <v>5418</v>
      </c>
      <c r="H1817" t="s">
        <v>817</v>
      </c>
      <c r="J1817">
        <v>500000</v>
      </c>
      <c r="P1817" t="s">
        <v>147</v>
      </c>
      <c r="R1817" t="s">
        <v>988</v>
      </c>
      <c r="S1817" t="s">
        <v>5470</v>
      </c>
      <c r="T1817" t="s">
        <v>5471</v>
      </c>
      <c r="V1817" t="s">
        <v>5472</v>
      </c>
      <c r="W1817" t="s">
        <v>73</v>
      </c>
      <c r="AE1817" t="s">
        <v>478</v>
      </c>
      <c r="AF1817" t="s">
        <v>479</v>
      </c>
      <c r="AL1817" t="s">
        <v>919</v>
      </c>
      <c r="AM1817" t="s">
        <v>919</v>
      </c>
      <c r="AO1817" t="s">
        <v>480</v>
      </c>
      <c r="AP1817" t="s">
        <v>481</v>
      </c>
      <c r="AQ1817" t="s">
        <v>688</v>
      </c>
      <c r="AR1817" t="s">
        <v>482</v>
      </c>
      <c r="AS1817" t="s">
        <v>483</v>
      </c>
      <c r="AT1817" t="s">
        <v>484</v>
      </c>
      <c r="AU1817" t="s">
        <v>521</v>
      </c>
      <c r="AW1817" t="s">
        <v>486</v>
      </c>
      <c r="BF1817" s="1"/>
      <c r="BG1817" t="s">
        <v>523</v>
      </c>
      <c r="BH1817" t="s">
        <v>1366</v>
      </c>
      <c r="BP1817" t="s">
        <v>1489</v>
      </c>
    </row>
    <row r="1818" spans="1:68" x14ac:dyDescent="0.25">
      <c r="A1818" t="s">
        <v>5713</v>
      </c>
      <c r="B1818" t="s">
        <v>474</v>
      </c>
      <c r="C1818" t="s">
        <v>1486</v>
      </c>
      <c r="E1818" t="s">
        <v>480</v>
      </c>
      <c r="G1818" s="1" t="s">
        <v>5418</v>
      </c>
      <c r="H1818" t="s">
        <v>820</v>
      </c>
      <c r="J1818">
        <v>500000</v>
      </c>
      <c r="P1818" t="s">
        <v>88</v>
      </c>
      <c r="R1818" t="s">
        <v>988</v>
      </c>
      <c r="S1818" t="s">
        <v>5473</v>
      </c>
      <c r="T1818" t="s">
        <v>5474</v>
      </c>
      <c r="V1818" t="s">
        <v>5475</v>
      </c>
      <c r="W1818" t="s">
        <v>73</v>
      </c>
      <c r="AE1818" t="s">
        <v>478</v>
      </c>
      <c r="AF1818" t="s">
        <v>479</v>
      </c>
      <c r="AL1818" t="s">
        <v>919</v>
      </c>
      <c r="AM1818" t="s">
        <v>919</v>
      </c>
      <c r="AO1818" t="s">
        <v>480</v>
      </c>
      <c r="AP1818" t="s">
        <v>481</v>
      </c>
      <c r="AQ1818" t="s">
        <v>597</v>
      </c>
      <c r="AR1818" t="s">
        <v>482</v>
      </c>
      <c r="AS1818" t="s">
        <v>483</v>
      </c>
      <c r="AT1818" t="s">
        <v>484</v>
      </c>
      <c r="AU1818" t="s">
        <v>521</v>
      </c>
      <c r="AW1818" t="s">
        <v>486</v>
      </c>
      <c r="BF1818" s="1"/>
      <c r="BG1818" t="s">
        <v>523</v>
      </c>
      <c r="BH1818" t="s">
        <v>1366</v>
      </c>
      <c r="BP1818" t="s">
        <v>1489</v>
      </c>
    </row>
    <row r="1819" spans="1:68" x14ac:dyDescent="0.25">
      <c r="A1819" t="s">
        <v>5713</v>
      </c>
      <c r="B1819" t="s">
        <v>474</v>
      </c>
      <c r="C1819" t="s">
        <v>1486</v>
      </c>
      <c r="E1819" t="s">
        <v>480</v>
      </c>
      <c r="G1819" s="1" t="s">
        <v>5418</v>
      </c>
      <c r="H1819" t="s">
        <v>960</v>
      </c>
      <c r="J1819">
        <v>500000</v>
      </c>
      <c r="P1819" t="s">
        <v>101</v>
      </c>
      <c r="R1819" t="s">
        <v>988</v>
      </c>
      <c r="S1819" t="s">
        <v>5476</v>
      </c>
      <c r="T1819" t="s">
        <v>5477</v>
      </c>
      <c r="V1819" t="s">
        <v>5478</v>
      </c>
      <c r="W1819" t="s">
        <v>73</v>
      </c>
      <c r="AE1819" t="s">
        <v>478</v>
      </c>
      <c r="AF1819" t="s">
        <v>479</v>
      </c>
      <c r="AL1819" t="s">
        <v>919</v>
      </c>
      <c r="AM1819" t="s">
        <v>919</v>
      </c>
      <c r="AO1819" t="s">
        <v>480</v>
      </c>
      <c r="AP1819" t="s">
        <v>481</v>
      </c>
      <c r="AQ1819" t="s">
        <v>699</v>
      </c>
      <c r="AR1819" t="s">
        <v>482</v>
      </c>
      <c r="AS1819" t="s">
        <v>483</v>
      </c>
      <c r="AT1819" t="s">
        <v>484</v>
      </c>
      <c r="AU1819" t="s">
        <v>521</v>
      </c>
      <c r="AW1819" t="s">
        <v>486</v>
      </c>
      <c r="BF1819" s="1"/>
      <c r="BG1819" t="s">
        <v>523</v>
      </c>
      <c r="BH1819" t="s">
        <v>1366</v>
      </c>
      <c r="BP1819" t="s">
        <v>1489</v>
      </c>
    </row>
    <row r="1820" spans="1:68" x14ac:dyDescent="0.25">
      <c r="A1820" t="s">
        <v>5713</v>
      </c>
      <c r="B1820" t="s">
        <v>474</v>
      </c>
      <c r="C1820" t="s">
        <v>1486</v>
      </c>
      <c r="E1820" t="s">
        <v>480</v>
      </c>
      <c r="G1820" s="1" t="s">
        <v>5418</v>
      </c>
      <c r="H1820" t="s">
        <v>965</v>
      </c>
      <c r="J1820">
        <v>500000</v>
      </c>
      <c r="P1820" t="s">
        <v>85</v>
      </c>
      <c r="R1820" t="s">
        <v>988</v>
      </c>
      <c r="S1820" t="s">
        <v>5479</v>
      </c>
      <c r="T1820" t="s">
        <v>5480</v>
      </c>
      <c r="V1820" t="s">
        <v>5481</v>
      </c>
      <c r="W1820" t="s">
        <v>73</v>
      </c>
      <c r="AE1820" t="s">
        <v>478</v>
      </c>
      <c r="AF1820" t="s">
        <v>479</v>
      </c>
      <c r="AL1820" t="s">
        <v>919</v>
      </c>
      <c r="AM1820" t="s">
        <v>919</v>
      </c>
      <c r="AO1820" t="s">
        <v>480</v>
      </c>
      <c r="AP1820" t="s">
        <v>481</v>
      </c>
      <c r="AQ1820" t="s">
        <v>630</v>
      </c>
      <c r="AR1820" t="s">
        <v>482</v>
      </c>
      <c r="AS1820" t="s">
        <v>483</v>
      </c>
      <c r="AT1820" t="s">
        <v>484</v>
      </c>
      <c r="AU1820" t="s">
        <v>521</v>
      </c>
      <c r="AW1820" t="s">
        <v>486</v>
      </c>
      <c r="BF1820" s="1"/>
      <c r="BG1820" t="s">
        <v>523</v>
      </c>
      <c r="BH1820" t="s">
        <v>1366</v>
      </c>
      <c r="BP1820" t="s">
        <v>1489</v>
      </c>
    </row>
    <row r="1821" spans="1:68" x14ac:dyDescent="0.25">
      <c r="A1821" t="s">
        <v>5713</v>
      </c>
      <c r="B1821" t="s">
        <v>474</v>
      </c>
      <c r="C1821" t="s">
        <v>1486</v>
      </c>
      <c r="E1821" t="s">
        <v>480</v>
      </c>
      <c r="G1821" s="1" t="s">
        <v>5418</v>
      </c>
      <c r="H1821" t="s">
        <v>961</v>
      </c>
      <c r="J1821">
        <v>500000</v>
      </c>
      <c r="P1821" t="s">
        <v>89</v>
      </c>
      <c r="R1821" t="s">
        <v>988</v>
      </c>
      <c r="S1821" t="s">
        <v>5482</v>
      </c>
      <c r="T1821" t="s">
        <v>5483</v>
      </c>
      <c r="V1821" t="s">
        <v>5484</v>
      </c>
      <c r="W1821" t="s">
        <v>73</v>
      </c>
      <c r="AE1821" t="s">
        <v>478</v>
      </c>
      <c r="AF1821" t="s">
        <v>479</v>
      </c>
      <c r="AL1821" t="s">
        <v>919</v>
      </c>
      <c r="AM1821" t="s">
        <v>919</v>
      </c>
      <c r="AO1821" t="s">
        <v>480</v>
      </c>
      <c r="AP1821" t="s">
        <v>481</v>
      </c>
      <c r="AQ1821" t="s">
        <v>561</v>
      </c>
      <c r="AR1821" t="s">
        <v>482</v>
      </c>
      <c r="AS1821" t="s">
        <v>483</v>
      </c>
      <c r="AT1821" t="s">
        <v>484</v>
      </c>
      <c r="AU1821" t="s">
        <v>521</v>
      </c>
      <c r="AW1821" t="s">
        <v>486</v>
      </c>
      <c r="BF1821" s="1"/>
      <c r="BG1821" t="s">
        <v>523</v>
      </c>
      <c r="BH1821" t="s">
        <v>1366</v>
      </c>
      <c r="BP1821" t="s">
        <v>1489</v>
      </c>
    </row>
    <row r="1822" spans="1:68" x14ac:dyDescent="0.25">
      <c r="A1822" t="s">
        <v>5713</v>
      </c>
      <c r="B1822" t="s">
        <v>474</v>
      </c>
      <c r="C1822" t="s">
        <v>1486</v>
      </c>
      <c r="E1822" t="s">
        <v>480</v>
      </c>
      <c r="G1822" s="1" t="s">
        <v>5418</v>
      </c>
      <c r="H1822" t="s">
        <v>966</v>
      </c>
      <c r="J1822">
        <v>500000</v>
      </c>
      <c r="P1822" t="s">
        <v>125</v>
      </c>
      <c r="R1822" t="s">
        <v>988</v>
      </c>
      <c r="S1822" t="s">
        <v>5485</v>
      </c>
      <c r="T1822" t="s">
        <v>5486</v>
      </c>
      <c r="V1822" t="s">
        <v>5487</v>
      </c>
      <c r="W1822" t="s">
        <v>73</v>
      </c>
      <c r="AE1822" t="s">
        <v>478</v>
      </c>
      <c r="AF1822" t="s">
        <v>479</v>
      </c>
      <c r="AL1822" t="s">
        <v>919</v>
      </c>
      <c r="AM1822" t="s">
        <v>919</v>
      </c>
      <c r="AO1822" t="s">
        <v>480</v>
      </c>
      <c r="AP1822" t="s">
        <v>481</v>
      </c>
      <c r="AQ1822" t="s">
        <v>642</v>
      </c>
      <c r="AR1822" t="s">
        <v>482</v>
      </c>
      <c r="AS1822" t="s">
        <v>483</v>
      </c>
      <c r="AT1822" t="s">
        <v>484</v>
      </c>
      <c r="AU1822" t="s">
        <v>521</v>
      </c>
      <c r="AW1822" t="s">
        <v>486</v>
      </c>
      <c r="BF1822" s="1"/>
      <c r="BG1822" t="s">
        <v>523</v>
      </c>
      <c r="BH1822" t="s">
        <v>1366</v>
      </c>
      <c r="BP1822" t="s">
        <v>1489</v>
      </c>
    </row>
    <row r="1823" spans="1:68" x14ac:dyDescent="0.25">
      <c r="A1823" t="s">
        <v>5713</v>
      </c>
      <c r="B1823" t="s">
        <v>474</v>
      </c>
      <c r="C1823" t="s">
        <v>1486</v>
      </c>
      <c r="E1823" t="s">
        <v>480</v>
      </c>
      <c r="G1823" s="1" t="s">
        <v>5418</v>
      </c>
      <c r="H1823" t="s">
        <v>967</v>
      </c>
      <c r="J1823">
        <v>500000</v>
      </c>
      <c r="P1823" t="s">
        <v>140</v>
      </c>
      <c r="R1823" t="s">
        <v>988</v>
      </c>
      <c r="S1823" t="s">
        <v>5488</v>
      </c>
      <c r="T1823" t="s">
        <v>5489</v>
      </c>
      <c r="V1823" t="s">
        <v>5490</v>
      </c>
      <c r="W1823" t="s">
        <v>73</v>
      </c>
      <c r="AE1823" t="s">
        <v>478</v>
      </c>
      <c r="AF1823" t="s">
        <v>479</v>
      </c>
      <c r="AL1823" t="s">
        <v>919</v>
      </c>
      <c r="AM1823" t="s">
        <v>919</v>
      </c>
      <c r="AO1823" t="s">
        <v>480</v>
      </c>
      <c r="AP1823" t="s">
        <v>481</v>
      </c>
      <c r="AQ1823" t="s">
        <v>681</v>
      </c>
      <c r="AR1823" t="s">
        <v>482</v>
      </c>
      <c r="AS1823" t="s">
        <v>483</v>
      </c>
      <c r="AT1823" t="s">
        <v>484</v>
      </c>
      <c r="AU1823" t="s">
        <v>521</v>
      </c>
      <c r="AW1823" t="s">
        <v>486</v>
      </c>
      <c r="BF1823" s="1"/>
      <c r="BG1823" t="s">
        <v>523</v>
      </c>
      <c r="BH1823" t="s">
        <v>1366</v>
      </c>
      <c r="BP1823" t="s">
        <v>1489</v>
      </c>
    </row>
    <row r="1824" spans="1:68" x14ac:dyDescent="0.25">
      <c r="A1824" t="s">
        <v>5713</v>
      </c>
      <c r="B1824" t="s">
        <v>474</v>
      </c>
      <c r="C1824" t="s">
        <v>1486</v>
      </c>
      <c r="E1824" t="s">
        <v>480</v>
      </c>
      <c r="G1824" s="1" t="s">
        <v>5418</v>
      </c>
      <c r="H1824" t="s">
        <v>962</v>
      </c>
      <c r="J1824">
        <v>500000</v>
      </c>
      <c r="P1824" t="s">
        <v>169</v>
      </c>
      <c r="R1824" t="s">
        <v>988</v>
      </c>
      <c r="S1824" t="s">
        <v>5491</v>
      </c>
      <c r="T1824" t="s">
        <v>5492</v>
      </c>
      <c r="V1824" t="s">
        <v>5493</v>
      </c>
      <c r="W1824" t="s">
        <v>73</v>
      </c>
      <c r="AE1824" t="s">
        <v>478</v>
      </c>
      <c r="AF1824" t="s">
        <v>479</v>
      </c>
      <c r="AL1824" t="s">
        <v>919</v>
      </c>
      <c r="AM1824" t="s">
        <v>919</v>
      </c>
      <c r="AO1824" t="s">
        <v>480</v>
      </c>
      <c r="AP1824" t="s">
        <v>481</v>
      </c>
      <c r="AQ1824" t="s">
        <v>852</v>
      </c>
      <c r="AR1824" t="s">
        <v>482</v>
      </c>
      <c r="AS1824" t="s">
        <v>483</v>
      </c>
      <c r="AT1824" t="s">
        <v>484</v>
      </c>
      <c r="AU1824" t="s">
        <v>521</v>
      </c>
      <c r="AW1824" t="s">
        <v>486</v>
      </c>
      <c r="BF1824" s="1"/>
      <c r="BG1824" t="s">
        <v>523</v>
      </c>
      <c r="BH1824" t="s">
        <v>1366</v>
      </c>
      <c r="BP1824" t="s">
        <v>1489</v>
      </c>
    </row>
    <row r="1825" spans="1:68" x14ac:dyDescent="0.25">
      <c r="A1825" t="s">
        <v>5713</v>
      </c>
      <c r="B1825" t="s">
        <v>474</v>
      </c>
      <c r="C1825" t="s">
        <v>1486</v>
      </c>
      <c r="E1825" t="s">
        <v>480</v>
      </c>
      <c r="G1825" s="1" t="s">
        <v>5418</v>
      </c>
      <c r="H1825" t="s">
        <v>968</v>
      </c>
      <c r="J1825">
        <v>500000</v>
      </c>
      <c r="P1825" t="s">
        <v>170</v>
      </c>
      <c r="R1825" t="s">
        <v>988</v>
      </c>
      <c r="S1825" t="s">
        <v>5494</v>
      </c>
      <c r="T1825" t="s">
        <v>5495</v>
      </c>
      <c r="V1825" t="s">
        <v>5496</v>
      </c>
      <c r="W1825" t="s">
        <v>73</v>
      </c>
      <c r="AE1825" t="s">
        <v>478</v>
      </c>
      <c r="AF1825" t="s">
        <v>479</v>
      </c>
      <c r="AL1825" t="s">
        <v>919</v>
      </c>
      <c r="AM1825" t="s">
        <v>919</v>
      </c>
      <c r="AO1825" t="s">
        <v>480</v>
      </c>
      <c r="AP1825" t="s">
        <v>481</v>
      </c>
      <c r="AQ1825" t="s">
        <v>854</v>
      </c>
      <c r="AR1825" t="s">
        <v>482</v>
      </c>
      <c r="AS1825" t="s">
        <v>483</v>
      </c>
      <c r="AT1825" t="s">
        <v>484</v>
      </c>
      <c r="AU1825" t="s">
        <v>521</v>
      </c>
      <c r="AW1825" t="s">
        <v>486</v>
      </c>
      <c r="BF1825" s="1"/>
      <c r="BG1825" t="s">
        <v>523</v>
      </c>
      <c r="BH1825" t="s">
        <v>1366</v>
      </c>
      <c r="BP1825" t="s">
        <v>1489</v>
      </c>
    </row>
    <row r="1826" spans="1:68" x14ac:dyDescent="0.25">
      <c r="A1826" t="s">
        <v>5713</v>
      </c>
      <c r="B1826" t="s">
        <v>474</v>
      </c>
      <c r="C1826" t="s">
        <v>1486</v>
      </c>
      <c r="E1826" t="s">
        <v>480</v>
      </c>
      <c r="G1826" s="1" t="s">
        <v>5418</v>
      </c>
      <c r="H1826" t="s">
        <v>969</v>
      </c>
      <c r="J1826">
        <v>500000</v>
      </c>
      <c r="P1826" t="s">
        <v>156</v>
      </c>
      <c r="R1826" t="s">
        <v>988</v>
      </c>
      <c r="S1826" t="s">
        <v>5497</v>
      </c>
      <c r="T1826" t="s">
        <v>5498</v>
      </c>
      <c r="V1826" t="s">
        <v>5499</v>
      </c>
      <c r="W1826" t="s">
        <v>73</v>
      </c>
      <c r="AE1826" t="s">
        <v>478</v>
      </c>
      <c r="AF1826" t="s">
        <v>479</v>
      </c>
      <c r="AL1826" t="s">
        <v>919</v>
      </c>
      <c r="AM1826" t="s">
        <v>919</v>
      </c>
      <c r="AO1826" t="s">
        <v>480</v>
      </c>
      <c r="AP1826" t="s">
        <v>481</v>
      </c>
      <c r="AQ1826" t="s">
        <v>615</v>
      </c>
      <c r="AR1826" t="s">
        <v>482</v>
      </c>
      <c r="AS1826" t="s">
        <v>483</v>
      </c>
      <c r="AT1826" t="s">
        <v>484</v>
      </c>
      <c r="AU1826" t="s">
        <v>521</v>
      </c>
      <c r="AW1826" t="s">
        <v>486</v>
      </c>
      <c r="BF1826" s="1"/>
      <c r="BG1826" t="s">
        <v>523</v>
      </c>
      <c r="BH1826" t="s">
        <v>1366</v>
      </c>
      <c r="BP1826" t="s">
        <v>1489</v>
      </c>
    </row>
    <row r="1827" spans="1:68" x14ac:dyDescent="0.25">
      <c r="A1827" t="s">
        <v>5713</v>
      </c>
      <c r="B1827" t="s">
        <v>474</v>
      </c>
      <c r="C1827" t="s">
        <v>1486</v>
      </c>
      <c r="E1827" t="s">
        <v>480</v>
      </c>
      <c r="G1827" s="1" t="s">
        <v>5418</v>
      </c>
      <c r="H1827" t="s">
        <v>963</v>
      </c>
      <c r="J1827">
        <v>500000</v>
      </c>
      <c r="P1827" t="s">
        <v>113</v>
      </c>
      <c r="R1827" t="s">
        <v>988</v>
      </c>
      <c r="S1827" t="s">
        <v>5500</v>
      </c>
      <c r="T1827" t="s">
        <v>5501</v>
      </c>
      <c r="V1827" t="s">
        <v>5502</v>
      </c>
      <c r="W1827" t="s">
        <v>73</v>
      </c>
      <c r="AE1827" t="s">
        <v>478</v>
      </c>
      <c r="AF1827" t="s">
        <v>479</v>
      </c>
      <c r="AL1827" t="s">
        <v>919</v>
      </c>
      <c r="AM1827" t="s">
        <v>919</v>
      </c>
      <c r="AO1827" t="s">
        <v>480</v>
      </c>
      <c r="AP1827" t="s">
        <v>481</v>
      </c>
      <c r="AQ1827" t="s">
        <v>657</v>
      </c>
      <c r="AR1827" t="s">
        <v>482</v>
      </c>
      <c r="AS1827" t="s">
        <v>483</v>
      </c>
      <c r="AT1827" t="s">
        <v>484</v>
      </c>
      <c r="AU1827" t="s">
        <v>521</v>
      </c>
      <c r="AW1827" t="s">
        <v>486</v>
      </c>
      <c r="BF1827" s="1"/>
      <c r="BG1827" t="s">
        <v>523</v>
      </c>
      <c r="BH1827" t="s">
        <v>1366</v>
      </c>
      <c r="BP1827" t="s">
        <v>1489</v>
      </c>
    </row>
    <row r="1828" spans="1:68" x14ac:dyDescent="0.25">
      <c r="A1828" t="s">
        <v>5713</v>
      </c>
      <c r="B1828" t="s">
        <v>474</v>
      </c>
      <c r="C1828" t="s">
        <v>1486</v>
      </c>
      <c r="E1828" t="s">
        <v>480</v>
      </c>
      <c r="G1828" s="1" t="s">
        <v>5418</v>
      </c>
      <c r="H1828" t="s">
        <v>964</v>
      </c>
      <c r="J1828">
        <v>500000</v>
      </c>
      <c r="P1828" t="s">
        <v>72</v>
      </c>
      <c r="R1828" t="s">
        <v>988</v>
      </c>
      <c r="S1828" t="s">
        <v>5503</v>
      </c>
      <c r="T1828" t="s">
        <v>5504</v>
      </c>
      <c r="V1828" t="s">
        <v>5505</v>
      </c>
      <c r="W1828" t="s">
        <v>73</v>
      </c>
      <c r="AE1828" t="s">
        <v>478</v>
      </c>
      <c r="AF1828" t="s">
        <v>479</v>
      </c>
      <c r="AL1828" t="s">
        <v>919</v>
      </c>
      <c r="AM1828" t="s">
        <v>919</v>
      </c>
      <c r="AO1828" t="s">
        <v>480</v>
      </c>
      <c r="AP1828" t="s">
        <v>481</v>
      </c>
      <c r="AQ1828" t="s">
        <v>757</v>
      </c>
      <c r="AR1828" t="s">
        <v>482</v>
      </c>
      <c r="AS1828" t="s">
        <v>483</v>
      </c>
      <c r="AT1828" t="s">
        <v>484</v>
      </c>
      <c r="AU1828" t="s">
        <v>521</v>
      </c>
      <c r="AW1828" t="s">
        <v>486</v>
      </c>
      <c r="BF1828" s="1"/>
      <c r="BG1828" t="s">
        <v>523</v>
      </c>
      <c r="BH1828" t="s">
        <v>1366</v>
      </c>
      <c r="BP1828" t="s">
        <v>1489</v>
      </c>
    </row>
    <row r="1829" spans="1:68" x14ac:dyDescent="0.25">
      <c r="A1829" t="s">
        <v>5713</v>
      </c>
      <c r="B1829" t="s">
        <v>474</v>
      </c>
      <c r="C1829" t="s">
        <v>1486</v>
      </c>
      <c r="E1829" t="s">
        <v>480</v>
      </c>
      <c r="G1829" s="1" t="s">
        <v>5418</v>
      </c>
      <c r="H1829" t="s">
        <v>1127</v>
      </c>
      <c r="J1829">
        <v>500000</v>
      </c>
      <c r="P1829" t="s">
        <v>77</v>
      </c>
      <c r="R1829" t="s">
        <v>988</v>
      </c>
      <c r="S1829" t="s">
        <v>5506</v>
      </c>
      <c r="T1829" t="s">
        <v>5507</v>
      </c>
      <c r="V1829" t="s">
        <v>5508</v>
      </c>
      <c r="W1829" t="s">
        <v>73</v>
      </c>
      <c r="AE1829" t="s">
        <v>478</v>
      </c>
      <c r="AF1829" t="s">
        <v>479</v>
      </c>
      <c r="AL1829" t="s">
        <v>919</v>
      </c>
      <c r="AM1829" t="s">
        <v>919</v>
      </c>
      <c r="AO1829" t="s">
        <v>480</v>
      </c>
      <c r="AP1829" t="s">
        <v>481</v>
      </c>
      <c r="AQ1829" t="s">
        <v>533</v>
      </c>
      <c r="AR1829" t="s">
        <v>482</v>
      </c>
      <c r="AS1829" t="s">
        <v>483</v>
      </c>
      <c r="AT1829" t="s">
        <v>484</v>
      </c>
      <c r="AU1829" t="s">
        <v>521</v>
      </c>
      <c r="AW1829" t="s">
        <v>486</v>
      </c>
      <c r="BF1829" s="1"/>
      <c r="BG1829" t="s">
        <v>523</v>
      </c>
      <c r="BH1829" t="s">
        <v>1366</v>
      </c>
      <c r="BP1829" t="s">
        <v>1489</v>
      </c>
    </row>
    <row r="1830" spans="1:68" x14ac:dyDescent="0.25">
      <c r="A1830" t="s">
        <v>5713</v>
      </c>
      <c r="B1830" t="s">
        <v>474</v>
      </c>
      <c r="C1830" t="s">
        <v>1486</v>
      </c>
      <c r="E1830" t="s">
        <v>480</v>
      </c>
      <c r="G1830" s="1" t="s">
        <v>5418</v>
      </c>
      <c r="H1830" t="s">
        <v>970</v>
      </c>
      <c r="J1830">
        <v>500000</v>
      </c>
      <c r="P1830" t="s">
        <v>97</v>
      </c>
      <c r="R1830" t="s">
        <v>988</v>
      </c>
      <c r="S1830" t="s">
        <v>5509</v>
      </c>
      <c r="T1830" t="s">
        <v>5510</v>
      </c>
      <c r="V1830" t="s">
        <v>5511</v>
      </c>
      <c r="W1830" t="s">
        <v>73</v>
      </c>
      <c r="AE1830" t="s">
        <v>478</v>
      </c>
      <c r="AF1830" t="s">
        <v>479</v>
      </c>
      <c r="AL1830" t="s">
        <v>919</v>
      </c>
      <c r="AM1830" t="s">
        <v>919</v>
      </c>
      <c r="AO1830" t="s">
        <v>480</v>
      </c>
      <c r="AP1830" t="s">
        <v>481</v>
      </c>
      <c r="AQ1830" t="s">
        <v>677</v>
      </c>
      <c r="AR1830" t="s">
        <v>482</v>
      </c>
      <c r="AS1830" t="s">
        <v>483</v>
      </c>
      <c r="AT1830" t="s">
        <v>484</v>
      </c>
      <c r="AU1830" t="s">
        <v>521</v>
      </c>
      <c r="AW1830" t="s">
        <v>486</v>
      </c>
      <c r="BF1830" s="1"/>
      <c r="BG1830" t="s">
        <v>523</v>
      </c>
      <c r="BH1830" t="s">
        <v>1366</v>
      </c>
      <c r="BP1830" t="s">
        <v>1489</v>
      </c>
    </row>
    <row r="1831" spans="1:68" x14ac:dyDescent="0.25">
      <c r="A1831" t="s">
        <v>5713</v>
      </c>
      <c r="B1831" t="s">
        <v>474</v>
      </c>
      <c r="C1831" t="s">
        <v>1486</v>
      </c>
      <c r="E1831" t="s">
        <v>480</v>
      </c>
      <c r="G1831" s="1" t="s">
        <v>5418</v>
      </c>
      <c r="H1831" t="s">
        <v>971</v>
      </c>
      <c r="J1831">
        <v>500000</v>
      </c>
      <c r="P1831" t="s">
        <v>75</v>
      </c>
      <c r="R1831" t="s">
        <v>988</v>
      </c>
      <c r="S1831" t="s">
        <v>5512</v>
      </c>
      <c r="T1831" t="s">
        <v>5513</v>
      </c>
      <c r="V1831" t="s">
        <v>5514</v>
      </c>
      <c r="W1831" t="s">
        <v>73</v>
      </c>
      <c r="AE1831" t="s">
        <v>478</v>
      </c>
      <c r="AF1831" t="s">
        <v>479</v>
      </c>
      <c r="AL1831" t="s">
        <v>919</v>
      </c>
      <c r="AM1831" t="s">
        <v>919</v>
      </c>
      <c r="AO1831" t="s">
        <v>480</v>
      </c>
      <c r="AP1831" t="s">
        <v>481</v>
      </c>
      <c r="AQ1831" t="s">
        <v>599</v>
      </c>
      <c r="AR1831" t="s">
        <v>482</v>
      </c>
      <c r="AS1831" t="s">
        <v>483</v>
      </c>
      <c r="AT1831" t="s">
        <v>484</v>
      </c>
      <c r="AU1831" t="s">
        <v>521</v>
      </c>
      <c r="AW1831" t="s">
        <v>486</v>
      </c>
      <c r="BF1831" s="1"/>
      <c r="BG1831" t="s">
        <v>523</v>
      </c>
      <c r="BH1831" t="s">
        <v>1366</v>
      </c>
      <c r="BP1831" t="s">
        <v>1489</v>
      </c>
    </row>
    <row r="1832" spans="1:68" x14ac:dyDescent="0.25">
      <c r="A1832" t="s">
        <v>5713</v>
      </c>
      <c r="B1832" t="s">
        <v>474</v>
      </c>
      <c r="C1832" t="s">
        <v>1486</v>
      </c>
      <c r="E1832" t="s">
        <v>480</v>
      </c>
      <c r="G1832" s="1" t="s">
        <v>5418</v>
      </c>
      <c r="H1832" t="s">
        <v>972</v>
      </c>
      <c r="J1832">
        <v>500000</v>
      </c>
      <c r="P1832" t="s">
        <v>112</v>
      </c>
      <c r="R1832" t="s">
        <v>988</v>
      </c>
      <c r="S1832" t="s">
        <v>5515</v>
      </c>
      <c r="T1832" t="s">
        <v>5516</v>
      </c>
      <c r="V1832" t="s">
        <v>5517</v>
      </c>
      <c r="W1832" t="s">
        <v>73</v>
      </c>
      <c r="AE1832" t="s">
        <v>478</v>
      </c>
      <c r="AF1832" t="s">
        <v>479</v>
      </c>
      <c r="AL1832" t="s">
        <v>919</v>
      </c>
      <c r="AM1832" t="s">
        <v>919</v>
      </c>
      <c r="AO1832" t="s">
        <v>480</v>
      </c>
      <c r="AP1832" t="s">
        <v>481</v>
      </c>
      <c r="AQ1832" t="s">
        <v>577</v>
      </c>
      <c r="AR1832" t="s">
        <v>482</v>
      </c>
      <c r="AS1832" t="s">
        <v>483</v>
      </c>
      <c r="AT1832" t="s">
        <v>484</v>
      </c>
      <c r="AU1832" t="s">
        <v>521</v>
      </c>
      <c r="AW1832" t="s">
        <v>486</v>
      </c>
      <c r="BF1832" s="1"/>
      <c r="BG1832" t="s">
        <v>523</v>
      </c>
      <c r="BH1832" t="s">
        <v>1366</v>
      </c>
      <c r="BP1832" t="s">
        <v>1489</v>
      </c>
    </row>
    <row r="1833" spans="1:68" x14ac:dyDescent="0.25">
      <c r="A1833" t="s">
        <v>5713</v>
      </c>
      <c r="B1833" t="s">
        <v>474</v>
      </c>
      <c r="C1833" t="s">
        <v>1486</v>
      </c>
      <c r="E1833" t="s">
        <v>480</v>
      </c>
      <c r="G1833" s="1" t="s">
        <v>5418</v>
      </c>
      <c r="H1833" t="s">
        <v>973</v>
      </c>
      <c r="J1833">
        <v>500000</v>
      </c>
      <c r="P1833" t="s">
        <v>120</v>
      </c>
      <c r="R1833" t="s">
        <v>988</v>
      </c>
      <c r="S1833" t="s">
        <v>5518</v>
      </c>
      <c r="T1833" t="s">
        <v>5519</v>
      </c>
      <c r="V1833" t="s">
        <v>5520</v>
      </c>
      <c r="W1833" t="s">
        <v>73</v>
      </c>
      <c r="AE1833" t="s">
        <v>478</v>
      </c>
      <c r="AF1833" t="s">
        <v>479</v>
      </c>
      <c r="AL1833" t="s">
        <v>919</v>
      </c>
      <c r="AM1833" t="s">
        <v>919</v>
      </c>
      <c r="AO1833" t="s">
        <v>480</v>
      </c>
      <c r="AP1833" t="s">
        <v>481</v>
      </c>
      <c r="AQ1833" t="s">
        <v>632</v>
      </c>
      <c r="AR1833" t="s">
        <v>482</v>
      </c>
      <c r="AS1833" t="s">
        <v>483</v>
      </c>
      <c r="AT1833" t="s">
        <v>484</v>
      </c>
      <c r="AU1833" t="s">
        <v>521</v>
      </c>
      <c r="AW1833" t="s">
        <v>486</v>
      </c>
      <c r="BF1833" s="1"/>
      <c r="BG1833" t="s">
        <v>523</v>
      </c>
      <c r="BH1833" t="s">
        <v>1366</v>
      </c>
      <c r="BP1833" t="s">
        <v>1489</v>
      </c>
    </row>
    <row r="1834" spans="1:68" x14ac:dyDescent="0.25">
      <c r="A1834" t="s">
        <v>5713</v>
      </c>
      <c r="B1834" t="s">
        <v>474</v>
      </c>
      <c r="C1834" t="s">
        <v>2018</v>
      </c>
      <c r="E1834" t="s">
        <v>475</v>
      </c>
      <c r="G1834" s="1" t="s">
        <v>5521</v>
      </c>
      <c r="H1834" t="s">
        <v>492</v>
      </c>
      <c r="J1834">
        <v>624162</v>
      </c>
      <c r="M1834">
        <v>1211</v>
      </c>
      <c r="R1834" t="s">
        <v>918</v>
      </c>
      <c r="S1834" t="s">
        <v>5522</v>
      </c>
      <c r="T1834" t="s">
        <v>5523</v>
      </c>
      <c r="V1834" t="s">
        <v>1478</v>
      </c>
      <c r="AE1834" t="s">
        <v>478</v>
      </c>
      <c r="AL1834" t="s">
        <v>919</v>
      </c>
      <c r="AM1834" t="s">
        <v>919</v>
      </c>
      <c r="AO1834" t="s">
        <v>480</v>
      </c>
      <c r="AP1834" t="s">
        <v>481</v>
      </c>
      <c r="BF1834" s="1" t="s">
        <v>5524</v>
      </c>
      <c r="BH1834" t="s">
        <v>1480</v>
      </c>
      <c r="BP1834" t="s">
        <v>1489</v>
      </c>
    </row>
    <row r="1835" spans="1:68" x14ac:dyDescent="0.25">
      <c r="A1835" t="s">
        <v>5713</v>
      </c>
      <c r="B1835" t="s">
        <v>474</v>
      </c>
      <c r="C1835" t="s">
        <v>2018</v>
      </c>
      <c r="E1835" t="s">
        <v>475</v>
      </c>
      <c r="G1835" s="1" t="s">
        <v>5521</v>
      </c>
      <c r="H1835" t="s">
        <v>537</v>
      </c>
      <c r="J1835">
        <v>624162</v>
      </c>
      <c r="M1835">
        <v>1211</v>
      </c>
      <c r="R1835" t="s">
        <v>918</v>
      </c>
      <c r="S1835" t="s">
        <v>3876</v>
      </c>
      <c r="T1835" t="s">
        <v>5525</v>
      </c>
      <c r="V1835" t="s">
        <v>1478</v>
      </c>
      <c r="AE1835" t="s">
        <v>478</v>
      </c>
      <c r="AL1835" t="s">
        <v>919</v>
      </c>
      <c r="AM1835" t="s">
        <v>919</v>
      </c>
      <c r="AO1835" t="s">
        <v>480</v>
      </c>
      <c r="AP1835" t="s">
        <v>481</v>
      </c>
      <c r="BF1835" s="1" t="s">
        <v>5524</v>
      </c>
      <c r="BH1835" t="s">
        <v>1480</v>
      </c>
      <c r="BP1835" t="s">
        <v>1489</v>
      </c>
    </row>
    <row r="1836" spans="1:68" x14ac:dyDescent="0.25">
      <c r="A1836" t="s">
        <v>5713</v>
      </c>
      <c r="B1836" t="s">
        <v>474</v>
      </c>
      <c r="C1836" t="s">
        <v>1486</v>
      </c>
      <c r="E1836" t="s">
        <v>475</v>
      </c>
      <c r="G1836" s="1" t="s">
        <v>5526</v>
      </c>
      <c r="H1836" t="s">
        <v>959</v>
      </c>
      <c r="J1836">
        <v>624142</v>
      </c>
      <c r="M1836">
        <v>1213</v>
      </c>
      <c r="R1836" t="s">
        <v>918</v>
      </c>
      <c r="S1836" t="s">
        <v>5527</v>
      </c>
      <c r="T1836" t="s">
        <v>5528</v>
      </c>
      <c r="V1836" t="s">
        <v>1478</v>
      </c>
      <c r="AE1836" t="s">
        <v>478</v>
      </c>
      <c r="AL1836" t="s">
        <v>919</v>
      </c>
      <c r="AM1836" t="s">
        <v>919</v>
      </c>
      <c r="AO1836" t="s">
        <v>480</v>
      </c>
      <c r="AP1836" t="s">
        <v>481</v>
      </c>
      <c r="BF1836" s="1" t="s">
        <v>1224</v>
      </c>
      <c r="BH1836" t="s">
        <v>1480</v>
      </c>
      <c r="BP1836" t="s">
        <v>1489</v>
      </c>
    </row>
    <row r="1837" spans="1:68" x14ac:dyDescent="0.25">
      <c r="A1837" t="s">
        <v>5713</v>
      </c>
      <c r="B1837" t="s">
        <v>474</v>
      </c>
      <c r="C1837" t="s">
        <v>2018</v>
      </c>
      <c r="E1837" t="s">
        <v>475</v>
      </c>
      <c r="G1837" s="1" t="s">
        <v>5529</v>
      </c>
      <c r="H1837" t="s">
        <v>959</v>
      </c>
      <c r="J1837">
        <v>612300</v>
      </c>
      <c r="M1837" t="s">
        <v>1058</v>
      </c>
      <c r="R1837" t="s">
        <v>918</v>
      </c>
      <c r="S1837" t="s">
        <v>1484</v>
      </c>
      <c r="T1837" t="s">
        <v>4866</v>
      </c>
      <c r="V1837" t="s">
        <v>1478</v>
      </c>
      <c r="AE1837" t="s">
        <v>478</v>
      </c>
      <c r="AL1837" t="s">
        <v>919</v>
      </c>
      <c r="AM1837" t="s">
        <v>919</v>
      </c>
      <c r="AO1837" t="s">
        <v>480</v>
      </c>
      <c r="AP1837" t="s">
        <v>481</v>
      </c>
      <c r="BF1837" s="1" t="s">
        <v>1207</v>
      </c>
      <c r="BH1837" t="s">
        <v>1480</v>
      </c>
      <c r="BP1837" t="s">
        <v>1489</v>
      </c>
    </row>
    <row r="1838" spans="1:68" x14ac:dyDescent="0.25">
      <c r="A1838" t="s">
        <v>5713</v>
      </c>
      <c r="B1838" t="s">
        <v>474</v>
      </c>
      <c r="C1838" t="s">
        <v>2018</v>
      </c>
      <c r="E1838" t="s">
        <v>475</v>
      </c>
      <c r="G1838" s="1" t="s">
        <v>5529</v>
      </c>
      <c r="H1838" t="s">
        <v>492</v>
      </c>
      <c r="J1838">
        <v>612300</v>
      </c>
      <c r="M1838" t="s">
        <v>1058</v>
      </c>
      <c r="R1838" t="s">
        <v>918</v>
      </c>
      <c r="S1838" t="s">
        <v>1484</v>
      </c>
      <c r="T1838" t="s">
        <v>4866</v>
      </c>
      <c r="V1838" t="s">
        <v>1478</v>
      </c>
      <c r="AE1838" t="s">
        <v>478</v>
      </c>
      <c r="AL1838" t="s">
        <v>919</v>
      </c>
      <c r="AM1838" t="s">
        <v>919</v>
      </c>
      <c r="AO1838" t="s">
        <v>480</v>
      </c>
      <c r="AP1838" t="s">
        <v>481</v>
      </c>
      <c r="BF1838" s="1" t="s">
        <v>1207</v>
      </c>
      <c r="BH1838" t="s">
        <v>1480</v>
      </c>
      <c r="BP1838" t="s">
        <v>1489</v>
      </c>
    </row>
    <row r="1839" spans="1:68" x14ac:dyDescent="0.25">
      <c r="A1839" t="s">
        <v>5713</v>
      </c>
      <c r="B1839" t="s">
        <v>474</v>
      </c>
      <c r="C1839" t="s">
        <v>2018</v>
      </c>
      <c r="E1839" t="s">
        <v>475</v>
      </c>
      <c r="G1839" s="1" t="s">
        <v>5529</v>
      </c>
      <c r="H1839" t="s">
        <v>500</v>
      </c>
      <c r="J1839">
        <v>612300</v>
      </c>
      <c r="M1839" t="s">
        <v>1058</v>
      </c>
      <c r="R1839" t="s">
        <v>918</v>
      </c>
      <c r="S1839" t="s">
        <v>1484</v>
      </c>
      <c r="T1839" t="s">
        <v>4866</v>
      </c>
      <c r="V1839" t="s">
        <v>1478</v>
      </c>
      <c r="AE1839" t="s">
        <v>478</v>
      </c>
      <c r="AL1839" t="s">
        <v>919</v>
      </c>
      <c r="AM1839" t="s">
        <v>919</v>
      </c>
      <c r="AO1839" t="s">
        <v>480</v>
      </c>
      <c r="AP1839" t="s">
        <v>481</v>
      </c>
      <c r="BF1839" s="1" t="s">
        <v>1207</v>
      </c>
      <c r="BH1839" t="s">
        <v>1480</v>
      </c>
      <c r="BP1839" t="s">
        <v>1489</v>
      </c>
    </row>
    <row r="1840" spans="1:68" x14ac:dyDescent="0.25">
      <c r="A1840" t="s">
        <v>5713</v>
      </c>
      <c r="B1840" t="s">
        <v>474</v>
      </c>
      <c r="C1840" t="s">
        <v>2018</v>
      </c>
      <c r="E1840" t="s">
        <v>475</v>
      </c>
      <c r="G1840" s="1" t="s">
        <v>5529</v>
      </c>
      <c r="H1840" t="s">
        <v>537</v>
      </c>
      <c r="J1840">
        <v>612300</v>
      </c>
      <c r="M1840" t="s">
        <v>1058</v>
      </c>
      <c r="R1840" t="s">
        <v>918</v>
      </c>
      <c r="S1840" t="s">
        <v>5530</v>
      </c>
      <c r="T1840" t="s">
        <v>5531</v>
      </c>
      <c r="V1840" t="s">
        <v>1478</v>
      </c>
      <c r="AE1840" t="s">
        <v>478</v>
      </c>
      <c r="AL1840" t="s">
        <v>919</v>
      </c>
      <c r="AM1840" t="s">
        <v>919</v>
      </c>
      <c r="AO1840" t="s">
        <v>480</v>
      </c>
      <c r="AP1840" t="s">
        <v>481</v>
      </c>
      <c r="BF1840" s="1" t="s">
        <v>1207</v>
      </c>
      <c r="BH1840" t="s">
        <v>1480</v>
      </c>
      <c r="BP1840" t="s">
        <v>1489</v>
      </c>
    </row>
    <row r="1841" spans="1:68" x14ac:dyDescent="0.25">
      <c r="A1841" t="s">
        <v>5713</v>
      </c>
      <c r="B1841" t="s">
        <v>474</v>
      </c>
      <c r="C1841" t="s">
        <v>2018</v>
      </c>
      <c r="E1841" t="s">
        <v>475</v>
      </c>
      <c r="G1841" s="1" t="s">
        <v>5529</v>
      </c>
      <c r="H1841" t="s">
        <v>546</v>
      </c>
      <c r="J1841">
        <v>612300</v>
      </c>
      <c r="M1841" t="s">
        <v>1058</v>
      </c>
      <c r="R1841" t="s">
        <v>918</v>
      </c>
      <c r="S1841" t="s">
        <v>1484</v>
      </c>
      <c r="T1841" t="s">
        <v>4866</v>
      </c>
      <c r="V1841" t="s">
        <v>1478</v>
      </c>
      <c r="AE1841" t="s">
        <v>478</v>
      </c>
      <c r="AL1841" t="s">
        <v>919</v>
      </c>
      <c r="AM1841" t="s">
        <v>919</v>
      </c>
      <c r="AO1841" t="s">
        <v>480</v>
      </c>
      <c r="AP1841" t="s">
        <v>481</v>
      </c>
      <c r="BF1841" s="1" t="s">
        <v>1207</v>
      </c>
      <c r="BH1841" t="s">
        <v>1480</v>
      </c>
      <c r="BP1841" t="s">
        <v>1489</v>
      </c>
    </row>
    <row r="1842" spans="1:68" x14ac:dyDescent="0.25">
      <c r="A1842" t="s">
        <v>5713</v>
      </c>
      <c r="B1842" t="s">
        <v>474</v>
      </c>
      <c r="C1842" t="s">
        <v>2018</v>
      </c>
      <c r="E1842" t="s">
        <v>475</v>
      </c>
      <c r="G1842" s="1" t="s">
        <v>5529</v>
      </c>
      <c r="H1842" t="s">
        <v>553</v>
      </c>
      <c r="J1842">
        <v>612300</v>
      </c>
      <c r="M1842" t="s">
        <v>1058</v>
      </c>
      <c r="R1842" t="s">
        <v>918</v>
      </c>
      <c r="S1842" t="s">
        <v>1484</v>
      </c>
      <c r="T1842" t="s">
        <v>4866</v>
      </c>
      <c r="V1842" t="s">
        <v>1478</v>
      </c>
      <c r="AE1842" t="s">
        <v>478</v>
      </c>
      <c r="AL1842" t="s">
        <v>919</v>
      </c>
      <c r="AM1842" t="s">
        <v>919</v>
      </c>
      <c r="AO1842" t="s">
        <v>480</v>
      </c>
      <c r="AP1842" t="s">
        <v>481</v>
      </c>
      <c r="BF1842" s="1" t="s">
        <v>1207</v>
      </c>
      <c r="BH1842" t="s">
        <v>1480</v>
      </c>
      <c r="BP1842" t="s">
        <v>1489</v>
      </c>
    </row>
    <row r="1843" spans="1:68" x14ac:dyDescent="0.25">
      <c r="A1843" t="s">
        <v>5713</v>
      </c>
      <c r="B1843" t="s">
        <v>474</v>
      </c>
      <c r="C1843" t="s">
        <v>2018</v>
      </c>
      <c r="E1843" t="s">
        <v>475</v>
      </c>
      <c r="G1843" s="1" t="s">
        <v>5529</v>
      </c>
      <c r="H1843" t="s">
        <v>559</v>
      </c>
      <c r="J1843">
        <v>612300</v>
      </c>
      <c r="M1843" t="s">
        <v>1058</v>
      </c>
      <c r="R1843" t="s">
        <v>918</v>
      </c>
      <c r="S1843" t="s">
        <v>1484</v>
      </c>
      <c r="T1843" t="s">
        <v>4866</v>
      </c>
      <c r="V1843" t="s">
        <v>1478</v>
      </c>
      <c r="AE1843" t="s">
        <v>478</v>
      </c>
      <c r="AL1843" t="s">
        <v>919</v>
      </c>
      <c r="AM1843" t="s">
        <v>919</v>
      </c>
      <c r="AO1843" t="s">
        <v>480</v>
      </c>
      <c r="AP1843" t="s">
        <v>481</v>
      </c>
      <c r="BF1843" s="1" t="s">
        <v>1207</v>
      </c>
      <c r="BH1843" t="s">
        <v>1480</v>
      </c>
      <c r="BP1843" t="s">
        <v>1489</v>
      </c>
    </row>
    <row r="1844" spans="1:68" x14ac:dyDescent="0.25">
      <c r="A1844" t="s">
        <v>5713</v>
      </c>
      <c r="B1844" t="s">
        <v>474</v>
      </c>
      <c r="C1844" t="s">
        <v>2018</v>
      </c>
      <c r="E1844" t="s">
        <v>475</v>
      </c>
      <c r="G1844" s="1" t="s">
        <v>5529</v>
      </c>
      <c r="H1844" t="s">
        <v>564</v>
      </c>
      <c r="J1844">
        <v>612300</v>
      </c>
      <c r="M1844" t="s">
        <v>1058</v>
      </c>
      <c r="R1844" t="s">
        <v>918</v>
      </c>
      <c r="S1844" t="s">
        <v>5532</v>
      </c>
      <c r="T1844" t="s">
        <v>5533</v>
      </c>
      <c r="V1844" t="s">
        <v>1478</v>
      </c>
      <c r="AE1844" t="s">
        <v>478</v>
      </c>
      <c r="AL1844" t="s">
        <v>919</v>
      </c>
      <c r="AM1844" t="s">
        <v>919</v>
      </c>
      <c r="AO1844" t="s">
        <v>480</v>
      </c>
      <c r="AP1844" t="s">
        <v>481</v>
      </c>
      <c r="BF1844" s="1" t="s">
        <v>1207</v>
      </c>
      <c r="BH1844" t="s">
        <v>1480</v>
      </c>
      <c r="BP1844" t="s">
        <v>1489</v>
      </c>
    </row>
    <row r="1845" spans="1:68" x14ac:dyDescent="0.25">
      <c r="A1845" t="s">
        <v>5713</v>
      </c>
      <c r="B1845" t="s">
        <v>474</v>
      </c>
      <c r="C1845" t="s">
        <v>2018</v>
      </c>
      <c r="E1845" t="s">
        <v>475</v>
      </c>
      <c r="G1845" s="1" t="s">
        <v>5529</v>
      </c>
      <c r="H1845" t="s">
        <v>571</v>
      </c>
      <c r="J1845">
        <v>612300</v>
      </c>
      <c r="M1845" t="s">
        <v>1058</v>
      </c>
      <c r="R1845" t="s">
        <v>918</v>
      </c>
      <c r="S1845" t="s">
        <v>5534</v>
      </c>
      <c r="T1845" t="s">
        <v>5535</v>
      </c>
      <c r="V1845" t="s">
        <v>1478</v>
      </c>
      <c r="AE1845" t="s">
        <v>478</v>
      </c>
      <c r="AL1845" t="s">
        <v>919</v>
      </c>
      <c r="AM1845" t="s">
        <v>919</v>
      </c>
      <c r="AO1845" t="s">
        <v>480</v>
      </c>
      <c r="AP1845" t="s">
        <v>481</v>
      </c>
      <c r="BF1845" s="1" t="s">
        <v>1207</v>
      </c>
      <c r="BH1845" t="s">
        <v>1480</v>
      </c>
      <c r="BP1845" t="s">
        <v>1489</v>
      </c>
    </row>
    <row r="1846" spans="1:68" x14ac:dyDescent="0.25">
      <c r="A1846" t="s">
        <v>5713</v>
      </c>
      <c r="B1846" t="s">
        <v>474</v>
      </c>
      <c r="C1846" t="s">
        <v>2018</v>
      </c>
      <c r="E1846" t="s">
        <v>475</v>
      </c>
      <c r="G1846" s="1" t="s">
        <v>5529</v>
      </c>
      <c r="H1846" t="s">
        <v>578</v>
      </c>
      <c r="J1846">
        <v>612300</v>
      </c>
      <c r="M1846" t="s">
        <v>1058</v>
      </c>
      <c r="R1846" t="s">
        <v>918</v>
      </c>
      <c r="S1846" t="s">
        <v>5536</v>
      </c>
      <c r="T1846" t="s">
        <v>5537</v>
      </c>
      <c r="V1846" t="s">
        <v>1478</v>
      </c>
      <c r="AE1846" t="s">
        <v>478</v>
      </c>
      <c r="AL1846" t="s">
        <v>919</v>
      </c>
      <c r="AM1846" t="s">
        <v>919</v>
      </c>
      <c r="AO1846" t="s">
        <v>480</v>
      </c>
      <c r="AP1846" t="s">
        <v>481</v>
      </c>
      <c r="BF1846" s="1" t="s">
        <v>1207</v>
      </c>
      <c r="BH1846" t="s">
        <v>1480</v>
      </c>
      <c r="BP1846" t="s">
        <v>1489</v>
      </c>
    </row>
    <row r="1847" spans="1:68" x14ac:dyDescent="0.25">
      <c r="A1847" t="s">
        <v>5713</v>
      </c>
      <c r="B1847" t="s">
        <v>474</v>
      </c>
      <c r="C1847" t="s">
        <v>2018</v>
      </c>
      <c r="E1847" t="s">
        <v>475</v>
      </c>
      <c r="G1847" s="1" t="s">
        <v>5529</v>
      </c>
      <c r="H1847" t="s">
        <v>585</v>
      </c>
      <c r="J1847">
        <v>612300</v>
      </c>
      <c r="M1847" t="s">
        <v>1058</v>
      </c>
      <c r="R1847" t="s">
        <v>918</v>
      </c>
      <c r="S1847" t="s">
        <v>5538</v>
      </c>
      <c r="T1847" t="s">
        <v>5539</v>
      </c>
      <c r="V1847" t="s">
        <v>1478</v>
      </c>
      <c r="AE1847" t="s">
        <v>478</v>
      </c>
      <c r="AL1847" t="s">
        <v>919</v>
      </c>
      <c r="AM1847" t="s">
        <v>919</v>
      </c>
      <c r="AO1847" t="s">
        <v>480</v>
      </c>
      <c r="AP1847" t="s">
        <v>481</v>
      </c>
      <c r="BF1847" s="1" t="s">
        <v>1207</v>
      </c>
      <c r="BH1847" t="s">
        <v>1480</v>
      </c>
      <c r="BP1847" t="s">
        <v>1489</v>
      </c>
    </row>
    <row r="1848" spans="1:68" x14ac:dyDescent="0.25">
      <c r="A1848" t="s">
        <v>5713</v>
      </c>
      <c r="B1848" t="s">
        <v>474</v>
      </c>
      <c r="C1848" t="s">
        <v>2018</v>
      </c>
      <c r="E1848" t="s">
        <v>475</v>
      </c>
      <c r="G1848" s="1" t="s">
        <v>5529</v>
      </c>
      <c r="H1848" t="s">
        <v>592</v>
      </c>
      <c r="J1848">
        <v>612300</v>
      </c>
      <c r="M1848" t="s">
        <v>1058</v>
      </c>
      <c r="R1848" t="s">
        <v>918</v>
      </c>
      <c r="S1848" t="s">
        <v>5540</v>
      </c>
      <c r="T1848" t="s">
        <v>5541</v>
      </c>
      <c r="V1848" t="s">
        <v>1478</v>
      </c>
      <c r="AE1848" t="s">
        <v>478</v>
      </c>
      <c r="AL1848" t="s">
        <v>919</v>
      </c>
      <c r="AM1848" t="s">
        <v>919</v>
      </c>
      <c r="AO1848" t="s">
        <v>480</v>
      </c>
      <c r="AP1848" t="s">
        <v>481</v>
      </c>
      <c r="BF1848" s="1" t="s">
        <v>1207</v>
      </c>
      <c r="BH1848" t="s">
        <v>1480</v>
      </c>
      <c r="BP1848" t="s">
        <v>1489</v>
      </c>
    </row>
    <row r="1849" spans="1:68" x14ac:dyDescent="0.25">
      <c r="A1849" t="s">
        <v>5713</v>
      </c>
      <c r="B1849" t="s">
        <v>474</v>
      </c>
      <c r="C1849" t="s">
        <v>2018</v>
      </c>
      <c r="E1849" t="s">
        <v>475</v>
      </c>
      <c r="G1849" s="1" t="s">
        <v>5529</v>
      </c>
      <c r="H1849" t="s">
        <v>600</v>
      </c>
      <c r="J1849">
        <v>612300</v>
      </c>
      <c r="M1849" t="s">
        <v>1058</v>
      </c>
      <c r="R1849" t="s">
        <v>918</v>
      </c>
      <c r="S1849" t="s">
        <v>1484</v>
      </c>
      <c r="T1849" t="s">
        <v>4866</v>
      </c>
      <c r="V1849" t="s">
        <v>1478</v>
      </c>
      <c r="AE1849" t="s">
        <v>478</v>
      </c>
      <c r="AL1849" t="s">
        <v>919</v>
      </c>
      <c r="AM1849" t="s">
        <v>919</v>
      </c>
      <c r="AO1849" t="s">
        <v>480</v>
      </c>
      <c r="AP1849" t="s">
        <v>481</v>
      </c>
      <c r="BF1849" s="1" t="s">
        <v>1207</v>
      </c>
      <c r="BH1849" t="s">
        <v>1480</v>
      </c>
      <c r="BP1849" t="s">
        <v>1489</v>
      </c>
    </row>
    <row r="1850" spans="1:68" x14ac:dyDescent="0.25">
      <c r="A1850" t="s">
        <v>5713</v>
      </c>
      <c r="B1850" t="s">
        <v>474</v>
      </c>
      <c r="C1850" t="s">
        <v>2018</v>
      </c>
      <c r="E1850" t="s">
        <v>475</v>
      </c>
      <c r="G1850" s="1" t="s">
        <v>5529</v>
      </c>
      <c r="H1850" t="s">
        <v>608</v>
      </c>
      <c r="J1850">
        <v>612300</v>
      </c>
      <c r="M1850" t="s">
        <v>1058</v>
      </c>
      <c r="R1850" t="s">
        <v>918</v>
      </c>
      <c r="S1850" t="s">
        <v>1484</v>
      </c>
      <c r="T1850" t="s">
        <v>4866</v>
      </c>
      <c r="V1850" t="s">
        <v>1478</v>
      </c>
      <c r="AE1850" t="s">
        <v>478</v>
      </c>
      <c r="AL1850" t="s">
        <v>919</v>
      </c>
      <c r="AM1850" t="s">
        <v>919</v>
      </c>
      <c r="AO1850" t="s">
        <v>480</v>
      </c>
      <c r="AP1850" t="s">
        <v>481</v>
      </c>
      <c r="BF1850" s="1" t="s">
        <v>1207</v>
      </c>
      <c r="BH1850" t="s">
        <v>1480</v>
      </c>
      <c r="BP1850" t="s">
        <v>1489</v>
      </c>
    </row>
    <row r="1851" spans="1:68" x14ac:dyDescent="0.25">
      <c r="A1851" t="s">
        <v>5713</v>
      </c>
      <c r="B1851" t="s">
        <v>474</v>
      </c>
      <c r="C1851" t="s">
        <v>2018</v>
      </c>
      <c r="E1851" t="s">
        <v>475</v>
      </c>
      <c r="G1851" s="1" t="s">
        <v>5529</v>
      </c>
      <c r="H1851" t="s">
        <v>612</v>
      </c>
      <c r="J1851">
        <v>612300</v>
      </c>
      <c r="M1851" t="s">
        <v>1058</v>
      </c>
      <c r="R1851" t="s">
        <v>918</v>
      </c>
      <c r="S1851" t="s">
        <v>1484</v>
      </c>
      <c r="T1851" t="s">
        <v>4866</v>
      </c>
      <c r="V1851" t="s">
        <v>1478</v>
      </c>
      <c r="AE1851" t="s">
        <v>478</v>
      </c>
      <c r="AL1851" t="s">
        <v>919</v>
      </c>
      <c r="AM1851" t="s">
        <v>919</v>
      </c>
      <c r="AO1851" t="s">
        <v>480</v>
      </c>
      <c r="AP1851" t="s">
        <v>481</v>
      </c>
      <c r="BF1851" s="1" t="s">
        <v>1207</v>
      </c>
      <c r="BH1851" t="s">
        <v>1480</v>
      </c>
      <c r="BP1851" t="s">
        <v>1489</v>
      </c>
    </row>
    <row r="1852" spans="1:68" x14ac:dyDescent="0.25">
      <c r="A1852" t="s">
        <v>5713</v>
      </c>
      <c r="B1852" t="s">
        <v>474</v>
      </c>
      <c r="C1852" t="s">
        <v>4427</v>
      </c>
      <c r="E1852" t="s">
        <v>475</v>
      </c>
      <c r="G1852" s="1" t="s">
        <v>5542</v>
      </c>
      <c r="H1852" t="s">
        <v>959</v>
      </c>
      <c r="J1852">
        <v>612300</v>
      </c>
      <c r="M1852" t="s">
        <v>1058</v>
      </c>
      <c r="R1852" t="s">
        <v>918</v>
      </c>
      <c r="S1852" t="s">
        <v>5543</v>
      </c>
      <c r="T1852" t="s">
        <v>5544</v>
      </c>
      <c r="V1852" t="s">
        <v>1478</v>
      </c>
      <c r="AE1852" t="s">
        <v>478</v>
      </c>
      <c r="AL1852" t="s">
        <v>919</v>
      </c>
      <c r="AM1852" t="s">
        <v>919</v>
      </c>
      <c r="AO1852" t="s">
        <v>480</v>
      </c>
      <c r="AP1852" t="s">
        <v>481</v>
      </c>
      <c r="BF1852" s="1" t="s">
        <v>1207</v>
      </c>
      <c r="BH1852" t="s">
        <v>1480</v>
      </c>
      <c r="BP1852" t="s">
        <v>1489</v>
      </c>
    </row>
    <row r="1853" spans="1:68" x14ac:dyDescent="0.25">
      <c r="A1853" t="s">
        <v>5713</v>
      </c>
      <c r="B1853" t="s">
        <v>474</v>
      </c>
      <c r="C1853" t="s">
        <v>4427</v>
      </c>
      <c r="E1853" t="s">
        <v>475</v>
      </c>
      <c r="G1853" s="1" t="s">
        <v>5542</v>
      </c>
      <c r="H1853" t="s">
        <v>492</v>
      </c>
      <c r="J1853">
        <v>612300</v>
      </c>
      <c r="M1853" t="s">
        <v>1058</v>
      </c>
      <c r="R1853" t="s">
        <v>918</v>
      </c>
      <c r="S1853" t="s">
        <v>5545</v>
      </c>
      <c r="T1853" t="s">
        <v>5546</v>
      </c>
      <c r="V1853" t="s">
        <v>1478</v>
      </c>
      <c r="AE1853" t="s">
        <v>478</v>
      </c>
      <c r="AL1853" t="s">
        <v>919</v>
      </c>
      <c r="AM1853" t="s">
        <v>919</v>
      </c>
      <c r="AO1853" t="s">
        <v>480</v>
      </c>
      <c r="AP1853" t="s">
        <v>481</v>
      </c>
      <c r="BF1853" s="1" t="s">
        <v>1207</v>
      </c>
      <c r="BH1853" t="s">
        <v>1480</v>
      </c>
      <c r="BP1853" t="s">
        <v>1489</v>
      </c>
    </row>
    <row r="1854" spans="1:68" x14ac:dyDescent="0.25">
      <c r="A1854" t="s">
        <v>5713</v>
      </c>
      <c r="B1854" t="s">
        <v>474</v>
      </c>
      <c r="C1854" t="s">
        <v>4427</v>
      </c>
      <c r="E1854" t="s">
        <v>475</v>
      </c>
      <c r="G1854" s="1" t="s">
        <v>5542</v>
      </c>
      <c r="H1854" t="s">
        <v>500</v>
      </c>
      <c r="J1854">
        <v>612300</v>
      </c>
      <c r="M1854" t="s">
        <v>1058</v>
      </c>
      <c r="R1854" t="s">
        <v>918</v>
      </c>
      <c r="S1854" t="s">
        <v>5547</v>
      </c>
      <c r="T1854" t="s">
        <v>5548</v>
      </c>
      <c r="V1854" t="s">
        <v>1478</v>
      </c>
      <c r="AE1854" t="s">
        <v>478</v>
      </c>
      <c r="AL1854" t="s">
        <v>919</v>
      </c>
      <c r="AM1854" t="s">
        <v>919</v>
      </c>
      <c r="AO1854" t="s">
        <v>480</v>
      </c>
      <c r="AP1854" t="s">
        <v>481</v>
      </c>
      <c r="BF1854" s="1" t="s">
        <v>1207</v>
      </c>
      <c r="BH1854" t="s">
        <v>1480</v>
      </c>
      <c r="BP1854" t="s">
        <v>1489</v>
      </c>
    </row>
    <row r="1855" spans="1:68" x14ac:dyDescent="0.25">
      <c r="A1855" t="s">
        <v>5713</v>
      </c>
      <c r="B1855" t="s">
        <v>474</v>
      </c>
      <c r="C1855" t="s">
        <v>2066</v>
      </c>
      <c r="E1855" t="s">
        <v>480</v>
      </c>
      <c r="G1855" s="1" t="s">
        <v>5549</v>
      </c>
      <c r="H1855" t="s">
        <v>959</v>
      </c>
      <c r="J1855">
        <v>612300</v>
      </c>
      <c r="M1855" t="s">
        <v>1058</v>
      </c>
      <c r="R1855" t="s">
        <v>918</v>
      </c>
      <c r="S1855" t="s">
        <v>5550</v>
      </c>
      <c r="T1855" t="s">
        <v>5551</v>
      </c>
      <c r="V1855" t="s">
        <v>1478</v>
      </c>
      <c r="AE1855" t="s">
        <v>478</v>
      </c>
      <c r="AL1855" t="s">
        <v>919</v>
      </c>
      <c r="AM1855" t="s">
        <v>919</v>
      </c>
      <c r="AO1855" t="s">
        <v>480</v>
      </c>
      <c r="AP1855" t="s">
        <v>481</v>
      </c>
      <c r="BF1855" s="1" t="s">
        <v>1207</v>
      </c>
      <c r="BH1855" t="s">
        <v>1480</v>
      </c>
      <c r="BP1855" t="s">
        <v>1489</v>
      </c>
    </row>
    <row r="1856" spans="1:68" x14ac:dyDescent="0.25">
      <c r="A1856" t="s">
        <v>5713</v>
      </c>
      <c r="B1856" t="s">
        <v>474</v>
      </c>
      <c r="C1856" t="s">
        <v>2066</v>
      </c>
      <c r="E1856" t="s">
        <v>480</v>
      </c>
      <c r="G1856" s="1" t="s">
        <v>5549</v>
      </c>
      <c r="H1856" t="s">
        <v>492</v>
      </c>
      <c r="J1856">
        <v>612300</v>
      </c>
      <c r="M1856" t="s">
        <v>1058</v>
      </c>
      <c r="R1856" t="s">
        <v>918</v>
      </c>
      <c r="S1856" t="s">
        <v>5552</v>
      </c>
      <c r="T1856" t="s">
        <v>5553</v>
      </c>
      <c r="V1856" t="s">
        <v>1478</v>
      </c>
      <c r="AE1856" t="s">
        <v>478</v>
      </c>
      <c r="AL1856" t="s">
        <v>919</v>
      </c>
      <c r="AM1856" t="s">
        <v>919</v>
      </c>
      <c r="AO1856" t="s">
        <v>480</v>
      </c>
      <c r="AP1856" t="s">
        <v>481</v>
      </c>
      <c r="BF1856" s="1" t="s">
        <v>1207</v>
      </c>
      <c r="BH1856" t="s">
        <v>1480</v>
      </c>
      <c r="BP1856" t="s">
        <v>1489</v>
      </c>
    </row>
    <row r="1857" spans="1:68" x14ac:dyDescent="0.25">
      <c r="A1857" t="s">
        <v>5713</v>
      </c>
      <c r="B1857" t="s">
        <v>474</v>
      </c>
      <c r="C1857" t="s">
        <v>2066</v>
      </c>
      <c r="E1857" t="s">
        <v>480</v>
      </c>
      <c r="G1857" s="1" t="s">
        <v>5549</v>
      </c>
      <c r="H1857" t="s">
        <v>500</v>
      </c>
      <c r="J1857">
        <v>612300</v>
      </c>
      <c r="M1857" t="s">
        <v>1058</v>
      </c>
      <c r="R1857" t="s">
        <v>918</v>
      </c>
      <c r="S1857" t="s">
        <v>5552</v>
      </c>
      <c r="T1857" t="s">
        <v>5553</v>
      </c>
      <c r="V1857" t="s">
        <v>1478</v>
      </c>
      <c r="AE1857" t="s">
        <v>478</v>
      </c>
      <c r="AL1857" t="s">
        <v>919</v>
      </c>
      <c r="AM1857" t="s">
        <v>919</v>
      </c>
      <c r="AO1857" t="s">
        <v>480</v>
      </c>
      <c r="AP1857" t="s">
        <v>481</v>
      </c>
      <c r="BF1857" s="1" t="s">
        <v>1207</v>
      </c>
      <c r="BH1857" t="s">
        <v>1480</v>
      </c>
      <c r="BP1857" t="s">
        <v>1489</v>
      </c>
    </row>
    <row r="1858" spans="1:68" x14ac:dyDescent="0.25">
      <c r="A1858" t="s">
        <v>5713</v>
      </c>
      <c r="B1858" t="s">
        <v>474</v>
      </c>
      <c r="C1858" t="s">
        <v>2066</v>
      </c>
      <c r="E1858" t="s">
        <v>480</v>
      </c>
      <c r="G1858" s="1" t="s">
        <v>5549</v>
      </c>
      <c r="H1858" t="s">
        <v>537</v>
      </c>
      <c r="J1858">
        <v>612300</v>
      </c>
      <c r="M1858" t="s">
        <v>1058</v>
      </c>
      <c r="R1858" t="s">
        <v>918</v>
      </c>
      <c r="S1858" t="s">
        <v>5552</v>
      </c>
      <c r="T1858" t="s">
        <v>5553</v>
      </c>
      <c r="V1858" t="s">
        <v>1478</v>
      </c>
      <c r="AE1858" t="s">
        <v>478</v>
      </c>
      <c r="AL1858" t="s">
        <v>919</v>
      </c>
      <c r="AM1858" t="s">
        <v>919</v>
      </c>
      <c r="AO1858" t="s">
        <v>480</v>
      </c>
      <c r="AP1858" t="s">
        <v>481</v>
      </c>
      <c r="BF1858" s="1" t="s">
        <v>1207</v>
      </c>
      <c r="BH1858" t="s">
        <v>1480</v>
      </c>
      <c r="BP1858" t="s">
        <v>1489</v>
      </c>
    </row>
    <row r="1859" spans="1:68" x14ac:dyDescent="0.25">
      <c r="A1859" t="s">
        <v>5713</v>
      </c>
      <c r="B1859" t="s">
        <v>474</v>
      </c>
      <c r="C1859" t="s">
        <v>2066</v>
      </c>
      <c r="E1859" t="s">
        <v>480</v>
      </c>
      <c r="G1859" s="1" t="s">
        <v>5549</v>
      </c>
      <c r="H1859" t="s">
        <v>546</v>
      </c>
      <c r="J1859">
        <v>612300</v>
      </c>
      <c r="M1859" t="s">
        <v>1058</v>
      </c>
      <c r="R1859" t="s">
        <v>918</v>
      </c>
      <c r="S1859" t="s">
        <v>5554</v>
      </c>
      <c r="T1859" t="s">
        <v>5555</v>
      </c>
      <c r="V1859" t="s">
        <v>1478</v>
      </c>
      <c r="AE1859" t="s">
        <v>478</v>
      </c>
      <c r="AL1859" t="s">
        <v>919</v>
      </c>
      <c r="AM1859" t="s">
        <v>919</v>
      </c>
      <c r="AO1859" t="s">
        <v>480</v>
      </c>
      <c r="AP1859" t="s">
        <v>481</v>
      </c>
      <c r="BF1859" s="1" t="s">
        <v>1207</v>
      </c>
      <c r="BH1859" t="s">
        <v>1480</v>
      </c>
      <c r="BP1859" t="s">
        <v>1489</v>
      </c>
    </row>
    <row r="1860" spans="1:68" x14ac:dyDescent="0.25">
      <c r="A1860" t="s">
        <v>5713</v>
      </c>
      <c r="B1860" t="s">
        <v>474</v>
      </c>
      <c r="C1860" t="s">
        <v>2066</v>
      </c>
      <c r="E1860" t="s">
        <v>480</v>
      </c>
      <c r="G1860" s="1" t="s">
        <v>5549</v>
      </c>
      <c r="H1860" t="s">
        <v>553</v>
      </c>
      <c r="J1860">
        <v>612300</v>
      </c>
      <c r="M1860" t="s">
        <v>1058</v>
      </c>
      <c r="R1860" t="s">
        <v>918</v>
      </c>
      <c r="S1860" t="s">
        <v>5556</v>
      </c>
      <c r="T1860" t="s">
        <v>5557</v>
      </c>
      <c r="V1860" t="s">
        <v>1478</v>
      </c>
      <c r="AE1860" t="s">
        <v>478</v>
      </c>
      <c r="AL1860" t="s">
        <v>919</v>
      </c>
      <c r="AM1860" t="s">
        <v>919</v>
      </c>
      <c r="AO1860" t="s">
        <v>480</v>
      </c>
      <c r="AP1860" t="s">
        <v>481</v>
      </c>
      <c r="BF1860" s="1" t="s">
        <v>1207</v>
      </c>
      <c r="BH1860" t="s">
        <v>1480</v>
      </c>
      <c r="BP1860" t="s">
        <v>1489</v>
      </c>
    </row>
    <row r="1861" spans="1:68" x14ac:dyDescent="0.25">
      <c r="A1861" t="s">
        <v>5713</v>
      </c>
      <c r="B1861" t="s">
        <v>474</v>
      </c>
      <c r="C1861" t="s">
        <v>2066</v>
      </c>
      <c r="E1861" t="s">
        <v>480</v>
      </c>
      <c r="G1861" s="1" t="s">
        <v>5549</v>
      </c>
      <c r="H1861" t="s">
        <v>559</v>
      </c>
      <c r="J1861">
        <v>612300</v>
      </c>
      <c r="M1861" t="s">
        <v>1058</v>
      </c>
      <c r="R1861" t="s">
        <v>918</v>
      </c>
      <c r="S1861" t="s">
        <v>5558</v>
      </c>
      <c r="T1861" t="s">
        <v>1235</v>
      </c>
      <c r="V1861" t="s">
        <v>1478</v>
      </c>
      <c r="AE1861" t="s">
        <v>478</v>
      </c>
      <c r="AL1861" t="s">
        <v>919</v>
      </c>
      <c r="AM1861" t="s">
        <v>919</v>
      </c>
      <c r="AO1861" t="s">
        <v>480</v>
      </c>
      <c r="AP1861" t="s">
        <v>481</v>
      </c>
      <c r="BF1861" s="1" t="s">
        <v>1207</v>
      </c>
      <c r="BH1861" t="s">
        <v>1480</v>
      </c>
      <c r="BP1861" t="s">
        <v>1489</v>
      </c>
    </row>
    <row r="1862" spans="1:68" x14ac:dyDescent="0.25">
      <c r="A1862" t="s">
        <v>5713</v>
      </c>
      <c r="B1862" t="s">
        <v>474</v>
      </c>
      <c r="C1862" t="s">
        <v>2066</v>
      </c>
      <c r="E1862" t="s">
        <v>480</v>
      </c>
      <c r="G1862" s="1" t="s">
        <v>5549</v>
      </c>
      <c r="H1862" t="s">
        <v>564</v>
      </c>
      <c r="J1862">
        <v>612300</v>
      </c>
      <c r="M1862" t="s">
        <v>1058</v>
      </c>
      <c r="R1862" t="s">
        <v>918</v>
      </c>
      <c r="S1862" t="s">
        <v>5559</v>
      </c>
      <c r="T1862" t="s">
        <v>5560</v>
      </c>
      <c r="V1862" t="s">
        <v>1478</v>
      </c>
      <c r="AE1862" t="s">
        <v>478</v>
      </c>
      <c r="AL1862" t="s">
        <v>919</v>
      </c>
      <c r="AM1862" t="s">
        <v>919</v>
      </c>
      <c r="AO1862" t="s">
        <v>480</v>
      </c>
      <c r="AP1862" t="s">
        <v>481</v>
      </c>
      <c r="BF1862" s="1" t="s">
        <v>1207</v>
      </c>
      <c r="BH1862" t="s">
        <v>1480</v>
      </c>
      <c r="BP1862" t="s">
        <v>1489</v>
      </c>
    </row>
    <row r="1863" spans="1:68" x14ac:dyDescent="0.25">
      <c r="A1863" t="s">
        <v>5713</v>
      </c>
      <c r="B1863" t="s">
        <v>474</v>
      </c>
      <c r="C1863" t="s">
        <v>2066</v>
      </c>
      <c r="E1863" t="s">
        <v>480</v>
      </c>
      <c r="G1863" s="1" t="s">
        <v>5549</v>
      </c>
      <c r="H1863" t="s">
        <v>571</v>
      </c>
      <c r="J1863">
        <v>612300</v>
      </c>
      <c r="M1863" t="s">
        <v>1058</v>
      </c>
      <c r="R1863" t="s">
        <v>918</v>
      </c>
      <c r="S1863" t="s">
        <v>5556</v>
      </c>
      <c r="T1863" t="s">
        <v>5557</v>
      </c>
      <c r="V1863" t="s">
        <v>1478</v>
      </c>
      <c r="AE1863" t="s">
        <v>478</v>
      </c>
      <c r="AL1863" t="s">
        <v>919</v>
      </c>
      <c r="AM1863" t="s">
        <v>919</v>
      </c>
      <c r="AO1863" t="s">
        <v>480</v>
      </c>
      <c r="AP1863" t="s">
        <v>481</v>
      </c>
      <c r="BF1863" s="1" t="s">
        <v>1207</v>
      </c>
      <c r="BH1863" t="s">
        <v>1480</v>
      </c>
      <c r="BP1863" t="s">
        <v>1489</v>
      </c>
    </row>
    <row r="1864" spans="1:68" x14ac:dyDescent="0.25">
      <c r="A1864" t="s">
        <v>5713</v>
      </c>
      <c r="B1864" t="s">
        <v>474</v>
      </c>
      <c r="C1864" t="s">
        <v>2066</v>
      </c>
      <c r="E1864" t="s">
        <v>480</v>
      </c>
      <c r="G1864" s="1" t="s">
        <v>5549</v>
      </c>
      <c r="H1864" t="s">
        <v>578</v>
      </c>
      <c r="J1864">
        <v>612300</v>
      </c>
      <c r="M1864" t="s">
        <v>1058</v>
      </c>
      <c r="R1864" t="s">
        <v>918</v>
      </c>
      <c r="S1864" t="s">
        <v>5561</v>
      </c>
      <c r="T1864" t="s">
        <v>5562</v>
      </c>
      <c r="V1864" t="s">
        <v>1478</v>
      </c>
      <c r="AE1864" t="s">
        <v>478</v>
      </c>
      <c r="AL1864" t="s">
        <v>919</v>
      </c>
      <c r="AM1864" t="s">
        <v>919</v>
      </c>
      <c r="AO1864" t="s">
        <v>480</v>
      </c>
      <c r="AP1864" t="s">
        <v>481</v>
      </c>
      <c r="BF1864" s="1" t="s">
        <v>1207</v>
      </c>
      <c r="BH1864" t="s">
        <v>1480</v>
      </c>
      <c r="BP1864" t="s">
        <v>1489</v>
      </c>
    </row>
    <row r="1865" spans="1:68" x14ac:dyDescent="0.25">
      <c r="A1865" t="s">
        <v>5713</v>
      </c>
      <c r="B1865" t="s">
        <v>474</v>
      </c>
      <c r="C1865" t="s">
        <v>2066</v>
      </c>
      <c r="E1865" t="s">
        <v>480</v>
      </c>
      <c r="G1865" s="1" t="s">
        <v>5549</v>
      </c>
      <c r="H1865" t="s">
        <v>585</v>
      </c>
      <c r="J1865">
        <v>612300</v>
      </c>
      <c r="M1865" t="s">
        <v>1058</v>
      </c>
      <c r="R1865" t="s">
        <v>918</v>
      </c>
      <c r="S1865" t="s">
        <v>5552</v>
      </c>
      <c r="T1865" t="s">
        <v>5553</v>
      </c>
      <c r="V1865" t="s">
        <v>1478</v>
      </c>
      <c r="AE1865" t="s">
        <v>478</v>
      </c>
      <c r="AL1865" t="s">
        <v>919</v>
      </c>
      <c r="AM1865" t="s">
        <v>919</v>
      </c>
      <c r="AO1865" t="s">
        <v>480</v>
      </c>
      <c r="AP1865" t="s">
        <v>481</v>
      </c>
      <c r="BF1865" s="1" t="s">
        <v>1207</v>
      </c>
      <c r="BH1865" t="s">
        <v>1480</v>
      </c>
      <c r="BP1865" t="s">
        <v>1489</v>
      </c>
    </row>
    <row r="1866" spans="1:68" x14ac:dyDescent="0.25">
      <c r="A1866" t="s">
        <v>5713</v>
      </c>
      <c r="B1866" t="s">
        <v>474</v>
      </c>
      <c r="C1866" t="s">
        <v>2066</v>
      </c>
      <c r="E1866" t="s">
        <v>480</v>
      </c>
      <c r="G1866" s="1" t="s">
        <v>5549</v>
      </c>
      <c r="H1866" t="s">
        <v>592</v>
      </c>
      <c r="J1866">
        <v>612300</v>
      </c>
      <c r="M1866" t="s">
        <v>1058</v>
      </c>
      <c r="R1866" t="s">
        <v>918</v>
      </c>
      <c r="S1866" t="s">
        <v>5552</v>
      </c>
      <c r="T1866" t="s">
        <v>5553</v>
      </c>
      <c r="V1866" t="s">
        <v>1478</v>
      </c>
      <c r="AE1866" t="s">
        <v>478</v>
      </c>
      <c r="AL1866" t="s">
        <v>919</v>
      </c>
      <c r="AM1866" t="s">
        <v>919</v>
      </c>
      <c r="AO1866" t="s">
        <v>480</v>
      </c>
      <c r="AP1866" t="s">
        <v>481</v>
      </c>
      <c r="BF1866" s="1" t="s">
        <v>1207</v>
      </c>
      <c r="BH1866" t="s">
        <v>1480</v>
      </c>
      <c r="BP1866" t="s">
        <v>1489</v>
      </c>
    </row>
    <row r="1867" spans="1:68" x14ac:dyDescent="0.25">
      <c r="A1867" t="s">
        <v>5713</v>
      </c>
      <c r="B1867" t="s">
        <v>474</v>
      </c>
      <c r="C1867" t="s">
        <v>2066</v>
      </c>
      <c r="E1867" t="s">
        <v>480</v>
      </c>
      <c r="G1867" s="1" t="s">
        <v>5549</v>
      </c>
      <c r="H1867" t="s">
        <v>600</v>
      </c>
      <c r="J1867">
        <v>612300</v>
      </c>
      <c r="M1867" t="s">
        <v>1058</v>
      </c>
      <c r="R1867" t="s">
        <v>918</v>
      </c>
      <c r="S1867" t="s">
        <v>5552</v>
      </c>
      <c r="T1867" t="s">
        <v>5553</v>
      </c>
      <c r="V1867" t="s">
        <v>1478</v>
      </c>
      <c r="AE1867" t="s">
        <v>478</v>
      </c>
      <c r="AL1867" t="s">
        <v>919</v>
      </c>
      <c r="AM1867" t="s">
        <v>919</v>
      </c>
      <c r="AO1867" t="s">
        <v>480</v>
      </c>
      <c r="AP1867" t="s">
        <v>481</v>
      </c>
      <c r="BF1867" s="1" t="s">
        <v>1207</v>
      </c>
      <c r="BH1867" t="s">
        <v>1480</v>
      </c>
      <c r="BP1867" t="s">
        <v>1489</v>
      </c>
    </row>
    <row r="1868" spans="1:68" x14ac:dyDescent="0.25">
      <c r="A1868" t="s">
        <v>5713</v>
      </c>
      <c r="B1868" t="s">
        <v>474</v>
      </c>
      <c r="C1868" t="s">
        <v>2066</v>
      </c>
      <c r="E1868" t="s">
        <v>480</v>
      </c>
      <c r="G1868" s="1" t="s">
        <v>5549</v>
      </c>
      <c r="H1868" t="s">
        <v>608</v>
      </c>
      <c r="J1868">
        <v>612300</v>
      </c>
      <c r="M1868" t="s">
        <v>1058</v>
      </c>
      <c r="R1868" t="s">
        <v>918</v>
      </c>
      <c r="S1868" t="s">
        <v>5563</v>
      </c>
      <c r="T1868" t="s">
        <v>5564</v>
      </c>
      <c r="V1868" t="s">
        <v>1478</v>
      </c>
      <c r="AE1868" t="s">
        <v>478</v>
      </c>
      <c r="AL1868" t="s">
        <v>919</v>
      </c>
      <c r="AM1868" t="s">
        <v>919</v>
      </c>
      <c r="AO1868" t="s">
        <v>480</v>
      </c>
      <c r="AP1868" t="s">
        <v>481</v>
      </c>
      <c r="BF1868" s="1" t="s">
        <v>1207</v>
      </c>
      <c r="BH1868" t="s">
        <v>1480</v>
      </c>
      <c r="BP1868" t="s">
        <v>1489</v>
      </c>
    </row>
    <row r="1869" spans="1:68" x14ac:dyDescent="0.25">
      <c r="A1869" t="s">
        <v>5713</v>
      </c>
      <c r="B1869" t="s">
        <v>474</v>
      </c>
      <c r="C1869" t="s">
        <v>2066</v>
      </c>
      <c r="E1869" t="s">
        <v>480</v>
      </c>
      <c r="G1869" s="1" t="s">
        <v>5549</v>
      </c>
      <c r="H1869" t="s">
        <v>612</v>
      </c>
      <c r="J1869">
        <v>612300</v>
      </c>
      <c r="M1869" t="s">
        <v>1058</v>
      </c>
      <c r="R1869" t="s">
        <v>918</v>
      </c>
      <c r="S1869" t="s">
        <v>5563</v>
      </c>
      <c r="T1869" t="s">
        <v>5564</v>
      </c>
      <c r="V1869" t="s">
        <v>1478</v>
      </c>
      <c r="AE1869" t="s">
        <v>478</v>
      </c>
      <c r="AL1869" t="s">
        <v>919</v>
      </c>
      <c r="AM1869" t="s">
        <v>919</v>
      </c>
      <c r="AO1869" t="s">
        <v>480</v>
      </c>
      <c r="AP1869" t="s">
        <v>481</v>
      </c>
      <c r="BF1869" s="1" t="s">
        <v>1207</v>
      </c>
      <c r="BH1869" t="s">
        <v>1480</v>
      </c>
      <c r="BP1869" t="s">
        <v>1489</v>
      </c>
    </row>
    <row r="1870" spans="1:68" x14ac:dyDescent="0.25">
      <c r="A1870" t="s">
        <v>5713</v>
      </c>
      <c r="B1870" t="s">
        <v>474</v>
      </c>
      <c r="C1870" t="s">
        <v>2066</v>
      </c>
      <c r="E1870" t="s">
        <v>480</v>
      </c>
      <c r="G1870" s="1" t="s">
        <v>5549</v>
      </c>
      <c r="H1870" t="s">
        <v>619</v>
      </c>
      <c r="J1870">
        <v>612300</v>
      </c>
      <c r="M1870" t="s">
        <v>1058</v>
      </c>
      <c r="R1870" t="s">
        <v>918</v>
      </c>
      <c r="S1870" t="s">
        <v>5552</v>
      </c>
      <c r="T1870" t="s">
        <v>5553</v>
      </c>
      <c r="V1870" t="s">
        <v>1478</v>
      </c>
      <c r="AE1870" t="s">
        <v>478</v>
      </c>
      <c r="AL1870" t="s">
        <v>919</v>
      </c>
      <c r="AM1870" t="s">
        <v>919</v>
      </c>
      <c r="AO1870" t="s">
        <v>480</v>
      </c>
      <c r="AP1870" t="s">
        <v>481</v>
      </c>
      <c r="BF1870" s="1" t="s">
        <v>1207</v>
      </c>
      <c r="BH1870" t="s">
        <v>1480</v>
      </c>
      <c r="BP1870" t="s">
        <v>1489</v>
      </c>
    </row>
    <row r="1871" spans="1:68" x14ac:dyDescent="0.25">
      <c r="A1871" t="s">
        <v>5713</v>
      </c>
      <c r="B1871" t="s">
        <v>474</v>
      </c>
      <c r="C1871" t="s">
        <v>2066</v>
      </c>
      <c r="E1871" t="s">
        <v>480</v>
      </c>
      <c r="G1871" s="1" t="s">
        <v>5549</v>
      </c>
      <c r="H1871" t="s">
        <v>811</v>
      </c>
      <c r="J1871">
        <v>612300</v>
      </c>
      <c r="M1871" t="s">
        <v>1058</v>
      </c>
      <c r="R1871" t="s">
        <v>918</v>
      </c>
      <c r="S1871" t="s">
        <v>5552</v>
      </c>
      <c r="T1871" t="s">
        <v>5553</v>
      </c>
      <c r="V1871" t="s">
        <v>1478</v>
      </c>
      <c r="AE1871" t="s">
        <v>478</v>
      </c>
      <c r="AL1871" t="s">
        <v>919</v>
      </c>
      <c r="AM1871" t="s">
        <v>919</v>
      </c>
      <c r="AO1871" t="s">
        <v>480</v>
      </c>
      <c r="AP1871" t="s">
        <v>481</v>
      </c>
      <c r="BF1871" s="1" t="s">
        <v>1207</v>
      </c>
      <c r="BH1871" t="s">
        <v>1480</v>
      </c>
      <c r="BP1871" t="s">
        <v>1489</v>
      </c>
    </row>
    <row r="1872" spans="1:68" x14ac:dyDescent="0.25">
      <c r="A1872" t="s">
        <v>5713</v>
      </c>
      <c r="B1872" t="s">
        <v>474</v>
      </c>
      <c r="C1872" t="s">
        <v>2066</v>
      </c>
      <c r="E1872" t="s">
        <v>480</v>
      </c>
      <c r="G1872" s="1" t="s">
        <v>5549</v>
      </c>
      <c r="H1872" t="s">
        <v>817</v>
      </c>
      <c r="J1872">
        <v>612300</v>
      </c>
      <c r="M1872" t="s">
        <v>1058</v>
      </c>
      <c r="R1872" t="s">
        <v>918</v>
      </c>
      <c r="S1872" t="s">
        <v>5552</v>
      </c>
      <c r="T1872" t="s">
        <v>5553</v>
      </c>
      <c r="V1872" t="s">
        <v>1478</v>
      </c>
      <c r="AE1872" t="s">
        <v>478</v>
      </c>
      <c r="AL1872" t="s">
        <v>919</v>
      </c>
      <c r="AM1872" t="s">
        <v>919</v>
      </c>
      <c r="AO1872" t="s">
        <v>480</v>
      </c>
      <c r="AP1872" t="s">
        <v>481</v>
      </c>
      <c r="BF1872" s="1" t="s">
        <v>1207</v>
      </c>
      <c r="BH1872" t="s">
        <v>1480</v>
      </c>
      <c r="BP1872" t="s">
        <v>1489</v>
      </c>
    </row>
    <row r="1873" spans="1:68" x14ac:dyDescent="0.25">
      <c r="A1873" t="s">
        <v>5713</v>
      </c>
      <c r="B1873" t="s">
        <v>474</v>
      </c>
      <c r="C1873" t="s">
        <v>2066</v>
      </c>
      <c r="E1873" t="s">
        <v>480</v>
      </c>
      <c r="G1873" s="1" t="s">
        <v>5549</v>
      </c>
      <c r="H1873" t="s">
        <v>820</v>
      </c>
      <c r="J1873">
        <v>612300</v>
      </c>
      <c r="M1873" t="s">
        <v>1058</v>
      </c>
      <c r="R1873" t="s">
        <v>918</v>
      </c>
      <c r="S1873" t="s">
        <v>5565</v>
      </c>
      <c r="T1873" t="s">
        <v>5566</v>
      </c>
      <c r="V1873" t="s">
        <v>1478</v>
      </c>
      <c r="AE1873" t="s">
        <v>478</v>
      </c>
      <c r="AL1873" t="s">
        <v>919</v>
      </c>
      <c r="AM1873" t="s">
        <v>919</v>
      </c>
      <c r="AO1873" t="s">
        <v>480</v>
      </c>
      <c r="AP1873" t="s">
        <v>481</v>
      </c>
      <c r="BF1873" s="1" t="s">
        <v>1207</v>
      </c>
      <c r="BH1873" t="s">
        <v>1480</v>
      </c>
      <c r="BP1873" t="s">
        <v>1489</v>
      </c>
    </row>
    <row r="1874" spans="1:68" x14ac:dyDescent="0.25">
      <c r="A1874" t="s">
        <v>5713</v>
      </c>
      <c r="B1874" t="s">
        <v>474</v>
      </c>
      <c r="C1874" t="s">
        <v>2066</v>
      </c>
      <c r="E1874" t="s">
        <v>480</v>
      </c>
      <c r="G1874" s="1" t="s">
        <v>5549</v>
      </c>
      <c r="H1874" t="s">
        <v>960</v>
      </c>
      <c r="J1874">
        <v>612300</v>
      </c>
      <c r="M1874" t="s">
        <v>1058</v>
      </c>
      <c r="R1874" t="s">
        <v>918</v>
      </c>
      <c r="S1874" t="s">
        <v>5567</v>
      </c>
      <c r="T1874" t="s">
        <v>5568</v>
      </c>
      <c r="V1874" t="s">
        <v>1478</v>
      </c>
      <c r="AE1874" t="s">
        <v>478</v>
      </c>
      <c r="AL1874" t="s">
        <v>919</v>
      </c>
      <c r="AM1874" t="s">
        <v>919</v>
      </c>
      <c r="AO1874" t="s">
        <v>480</v>
      </c>
      <c r="AP1874" t="s">
        <v>481</v>
      </c>
      <c r="BF1874" s="1" t="s">
        <v>1207</v>
      </c>
      <c r="BH1874" t="s">
        <v>1480</v>
      </c>
      <c r="BP1874" t="s">
        <v>1489</v>
      </c>
    </row>
    <row r="1875" spans="1:68" x14ac:dyDescent="0.25">
      <c r="A1875" t="s">
        <v>5713</v>
      </c>
      <c r="B1875" t="s">
        <v>474</v>
      </c>
      <c r="C1875" t="s">
        <v>2066</v>
      </c>
      <c r="E1875" t="s">
        <v>480</v>
      </c>
      <c r="G1875" s="1" t="s">
        <v>5549</v>
      </c>
      <c r="H1875" t="s">
        <v>965</v>
      </c>
      <c r="J1875">
        <v>612300</v>
      </c>
      <c r="M1875" t="s">
        <v>1058</v>
      </c>
      <c r="R1875" t="s">
        <v>918</v>
      </c>
      <c r="S1875" t="s">
        <v>5552</v>
      </c>
      <c r="T1875" t="s">
        <v>5553</v>
      </c>
      <c r="V1875" t="s">
        <v>1478</v>
      </c>
      <c r="AE1875" t="s">
        <v>478</v>
      </c>
      <c r="AL1875" t="s">
        <v>919</v>
      </c>
      <c r="AM1875" t="s">
        <v>919</v>
      </c>
      <c r="AO1875" t="s">
        <v>480</v>
      </c>
      <c r="AP1875" t="s">
        <v>481</v>
      </c>
      <c r="BF1875" s="1" t="s">
        <v>1207</v>
      </c>
      <c r="BH1875" t="s">
        <v>1480</v>
      </c>
      <c r="BP1875" t="s">
        <v>1489</v>
      </c>
    </row>
    <row r="1876" spans="1:68" x14ac:dyDescent="0.25">
      <c r="A1876" t="s">
        <v>5713</v>
      </c>
      <c r="B1876" t="s">
        <v>474</v>
      </c>
      <c r="C1876" t="s">
        <v>2066</v>
      </c>
      <c r="E1876" t="s">
        <v>480</v>
      </c>
      <c r="G1876" s="1" t="s">
        <v>5549</v>
      </c>
      <c r="H1876" t="s">
        <v>961</v>
      </c>
      <c r="J1876">
        <v>612300</v>
      </c>
      <c r="M1876" t="s">
        <v>1058</v>
      </c>
      <c r="R1876" t="s">
        <v>918</v>
      </c>
      <c r="S1876" t="s">
        <v>5552</v>
      </c>
      <c r="T1876" t="s">
        <v>5553</v>
      </c>
      <c r="V1876" t="s">
        <v>1478</v>
      </c>
      <c r="AE1876" t="s">
        <v>478</v>
      </c>
      <c r="AL1876" t="s">
        <v>919</v>
      </c>
      <c r="AM1876" t="s">
        <v>919</v>
      </c>
      <c r="AO1876" t="s">
        <v>480</v>
      </c>
      <c r="AP1876" t="s">
        <v>481</v>
      </c>
      <c r="BF1876" s="1" t="s">
        <v>1207</v>
      </c>
      <c r="BH1876" t="s">
        <v>1480</v>
      </c>
      <c r="BP1876" t="s">
        <v>1489</v>
      </c>
    </row>
    <row r="1877" spans="1:68" x14ac:dyDescent="0.25">
      <c r="A1877" t="s">
        <v>5713</v>
      </c>
      <c r="B1877" t="s">
        <v>474</v>
      </c>
      <c r="C1877" t="s">
        <v>2066</v>
      </c>
      <c r="E1877" t="s">
        <v>480</v>
      </c>
      <c r="G1877" s="1" t="s">
        <v>5549</v>
      </c>
      <c r="H1877" t="s">
        <v>966</v>
      </c>
      <c r="J1877">
        <v>612300</v>
      </c>
      <c r="M1877" t="s">
        <v>1058</v>
      </c>
      <c r="R1877" t="s">
        <v>918</v>
      </c>
      <c r="S1877" t="s">
        <v>5552</v>
      </c>
      <c r="T1877" t="s">
        <v>5553</v>
      </c>
      <c r="V1877" t="s">
        <v>1478</v>
      </c>
      <c r="AE1877" t="s">
        <v>478</v>
      </c>
      <c r="AL1877" t="s">
        <v>919</v>
      </c>
      <c r="AM1877" t="s">
        <v>919</v>
      </c>
      <c r="AO1877" t="s">
        <v>480</v>
      </c>
      <c r="AP1877" t="s">
        <v>481</v>
      </c>
      <c r="BF1877" s="1" t="s">
        <v>1207</v>
      </c>
      <c r="BH1877" t="s">
        <v>1480</v>
      </c>
      <c r="BP1877" t="s">
        <v>1489</v>
      </c>
    </row>
    <row r="1878" spans="1:68" x14ac:dyDescent="0.25">
      <c r="A1878" t="s">
        <v>5713</v>
      </c>
      <c r="B1878" t="s">
        <v>474</v>
      </c>
      <c r="C1878" t="s">
        <v>1486</v>
      </c>
      <c r="E1878" t="s">
        <v>475</v>
      </c>
      <c r="G1878" s="1" t="s">
        <v>5569</v>
      </c>
      <c r="H1878" t="s">
        <v>959</v>
      </c>
      <c r="J1878">
        <v>668010</v>
      </c>
      <c r="M1878">
        <v>1511</v>
      </c>
      <c r="R1878" t="s">
        <v>918</v>
      </c>
      <c r="S1878" t="s">
        <v>1483</v>
      </c>
      <c r="T1878" t="s">
        <v>5570</v>
      </c>
      <c r="V1878" t="s">
        <v>1478</v>
      </c>
      <c r="AE1878" t="s">
        <v>478</v>
      </c>
      <c r="AL1878" t="s">
        <v>919</v>
      </c>
      <c r="AM1878" t="s">
        <v>919</v>
      </c>
      <c r="AO1878" t="s">
        <v>480</v>
      </c>
      <c r="AP1878" t="s">
        <v>481</v>
      </c>
      <c r="BF1878" s="1" t="s">
        <v>986</v>
      </c>
      <c r="BH1878" t="s">
        <v>1480</v>
      </c>
      <c r="BP1878" t="s">
        <v>1489</v>
      </c>
    </row>
    <row r="1879" spans="1:68" x14ac:dyDescent="0.25">
      <c r="A1879" t="s">
        <v>5713</v>
      </c>
      <c r="B1879" t="s">
        <v>474</v>
      </c>
      <c r="C1879" t="s">
        <v>2342</v>
      </c>
      <c r="E1879" t="s">
        <v>475</v>
      </c>
      <c r="G1879" s="1" t="s">
        <v>5571</v>
      </c>
      <c r="H1879" t="s">
        <v>959</v>
      </c>
      <c r="J1879">
        <v>651220</v>
      </c>
      <c r="M1879">
        <v>1213</v>
      </c>
      <c r="R1879" t="s">
        <v>918</v>
      </c>
      <c r="S1879" t="s">
        <v>1177</v>
      </c>
      <c r="T1879" t="s">
        <v>5572</v>
      </c>
      <c r="V1879" t="s">
        <v>1478</v>
      </c>
      <c r="AE1879" t="s">
        <v>478</v>
      </c>
      <c r="AL1879" t="s">
        <v>919</v>
      </c>
      <c r="AM1879" t="s">
        <v>919</v>
      </c>
      <c r="AO1879" t="s">
        <v>480</v>
      </c>
      <c r="AP1879" t="s">
        <v>481</v>
      </c>
      <c r="BF1879" s="1" t="s">
        <v>3585</v>
      </c>
      <c r="BH1879" t="s">
        <v>1480</v>
      </c>
      <c r="BP1879" t="s">
        <v>1489</v>
      </c>
    </row>
    <row r="1880" spans="1:68" x14ac:dyDescent="0.25">
      <c r="A1880" t="s">
        <v>5713</v>
      </c>
      <c r="B1880" t="s">
        <v>474</v>
      </c>
      <c r="C1880" t="s">
        <v>1990</v>
      </c>
      <c r="E1880" t="s">
        <v>475</v>
      </c>
      <c r="G1880" s="1" t="s">
        <v>5573</v>
      </c>
      <c r="H1880" t="s">
        <v>959</v>
      </c>
      <c r="J1880">
        <v>651220</v>
      </c>
      <c r="M1880">
        <v>1213</v>
      </c>
      <c r="R1880" t="s">
        <v>918</v>
      </c>
      <c r="S1880" t="s">
        <v>5574</v>
      </c>
      <c r="T1880" t="s">
        <v>5575</v>
      </c>
      <c r="V1880" t="s">
        <v>1478</v>
      </c>
      <c r="AE1880" t="s">
        <v>478</v>
      </c>
      <c r="AL1880" t="s">
        <v>919</v>
      </c>
      <c r="AM1880" t="s">
        <v>919</v>
      </c>
      <c r="AO1880" t="s">
        <v>480</v>
      </c>
      <c r="AP1880" t="s">
        <v>481</v>
      </c>
      <c r="BF1880" s="1" t="s">
        <v>3585</v>
      </c>
      <c r="BH1880" t="s">
        <v>1480</v>
      </c>
      <c r="BP1880" t="s">
        <v>1489</v>
      </c>
    </row>
    <row r="1881" spans="1:68" x14ac:dyDescent="0.25">
      <c r="A1881" t="s">
        <v>5713</v>
      </c>
      <c r="B1881" t="s">
        <v>474</v>
      </c>
      <c r="C1881" t="s">
        <v>1990</v>
      </c>
      <c r="E1881" t="s">
        <v>475</v>
      </c>
      <c r="G1881" s="1" t="s">
        <v>5573</v>
      </c>
      <c r="H1881" t="s">
        <v>492</v>
      </c>
      <c r="J1881">
        <v>651220</v>
      </c>
      <c r="M1881">
        <v>1213</v>
      </c>
      <c r="R1881" t="s">
        <v>918</v>
      </c>
      <c r="S1881" t="s">
        <v>5576</v>
      </c>
      <c r="T1881" t="s">
        <v>5577</v>
      </c>
      <c r="V1881" t="s">
        <v>1478</v>
      </c>
      <c r="AE1881" t="s">
        <v>478</v>
      </c>
      <c r="AL1881" t="s">
        <v>919</v>
      </c>
      <c r="AM1881" t="s">
        <v>919</v>
      </c>
      <c r="AO1881" t="s">
        <v>480</v>
      </c>
      <c r="AP1881" t="s">
        <v>481</v>
      </c>
      <c r="BF1881" s="1" t="s">
        <v>3585</v>
      </c>
      <c r="BH1881" t="s">
        <v>1480</v>
      </c>
      <c r="BP1881" t="s">
        <v>1489</v>
      </c>
    </row>
    <row r="1882" spans="1:68" x14ac:dyDescent="0.25">
      <c r="A1882" t="s">
        <v>5713</v>
      </c>
      <c r="B1882" t="s">
        <v>474</v>
      </c>
      <c r="C1882" t="s">
        <v>1487</v>
      </c>
      <c r="E1882" t="s">
        <v>475</v>
      </c>
      <c r="G1882" s="1" t="s">
        <v>5578</v>
      </c>
      <c r="H1882" t="s">
        <v>959</v>
      </c>
      <c r="J1882">
        <v>651220</v>
      </c>
      <c r="M1882">
        <v>1213</v>
      </c>
      <c r="R1882" t="s">
        <v>918</v>
      </c>
      <c r="S1882" t="s">
        <v>5579</v>
      </c>
      <c r="T1882" t="s">
        <v>5580</v>
      </c>
      <c r="V1882" t="s">
        <v>1478</v>
      </c>
      <c r="AE1882" t="s">
        <v>478</v>
      </c>
      <c r="AL1882" t="s">
        <v>919</v>
      </c>
      <c r="AM1882" t="s">
        <v>919</v>
      </c>
      <c r="AO1882" t="s">
        <v>480</v>
      </c>
      <c r="AP1882" t="s">
        <v>481</v>
      </c>
      <c r="BF1882" s="1" t="s">
        <v>3585</v>
      </c>
      <c r="BH1882" t="s">
        <v>1480</v>
      </c>
      <c r="BP1882" t="s">
        <v>1489</v>
      </c>
    </row>
    <row r="1883" spans="1:68" x14ac:dyDescent="0.25">
      <c r="A1883" t="s">
        <v>5713</v>
      </c>
      <c r="B1883" t="s">
        <v>474</v>
      </c>
      <c r="C1883" t="s">
        <v>1655</v>
      </c>
      <c r="E1883" t="s">
        <v>475</v>
      </c>
      <c r="G1883" s="1" t="s">
        <v>5581</v>
      </c>
      <c r="H1883" t="s">
        <v>959</v>
      </c>
      <c r="J1883">
        <v>667121</v>
      </c>
      <c r="M1883">
        <v>3311</v>
      </c>
      <c r="R1883" t="s">
        <v>918</v>
      </c>
      <c r="S1883" t="s">
        <v>5582</v>
      </c>
      <c r="T1883" t="s">
        <v>5583</v>
      </c>
      <c r="V1883" t="s">
        <v>1478</v>
      </c>
      <c r="AE1883" t="s">
        <v>478</v>
      </c>
      <c r="AL1883" t="s">
        <v>919</v>
      </c>
      <c r="AM1883" t="s">
        <v>919</v>
      </c>
      <c r="AO1883" t="s">
        <v>480</v>
      </c>
      <c r="AP1883" t="s">
        <v>481</v>
      </c>
      <c r="BF1883" s="1" t="s">
        <v>5584</v>
      </c>
      <c r="BH1883" t="s">
        <v>1480</v>
      </c>
      <c r="BP1883" t="s">
        <v>1489</v>
      </c>
    </row>
    <row r="1884" spans="1:68" x14ac:dyDescent="0.25">
      <c r="A1884" t="s">
        <v>5713</v>
      </c>
      <c r="B1884" t="s">
        <v>474</v>
      </c>
      <c r="C1884" t="s">
        <v>1655</v>
      </c>
      <c r="E1884" t="s">
        <v>475</v>
      </c>
      <c r="G1884" s="1" t="s">
        <v>5581</v>
      </c>
      <c r="H1884" t="s">
        <v>492</v>
      </c>
      <c r="J1884">
        <v>667121</v>
      </c>
      <c r="M1884">
        <v>3311</v>
      </c>
      <c r="R1884" t="s">
        <v>918</v>
      </c>
      <c r="S1884" t="s">
        <v>5585</v>
      </c>
      <c r="T1884" t="s">
        <v>5586</v>
      </c>
      <c r="V1884" t="s">
        <v>1478</v>
      </c>
      <c r="AE1884" t="s">
        <v>478</v>
      </c>
      <c r="AL1884" t="s">
        <v>919</v>
      </c>
      <c r="AM1884" t="s">
        <v>919</v>
      </c>
      <c r="AO1884" t="s">
        <v>480</v>
      </c>
      <c r="AP1884" t="s">
        <v>481</v>
      </c>
      <c r="BF1884" s="1" t="s">
        <v>5584</v>
      </c>
      <c r="BH1884" t="s">
        <v>1480</v>
      </c>
      <c r="BP1884" t="s">
        <v>1489</v>
      </c>
    </row>
    <row r="1885" spans="1:68" x14ac:dyDescent="0.25">
      <c r="A1885" t="s">
        <v>5713</v>
      </c>
      <c r="B1885" t="s">
        <v>474</v>
      </c>
      <c r="C1885" t="s">
        <v>1506</v>
      </c>
      <c r="E1885" t="s">
        <v>475</v>
      </c>
      <c r="G1885" s="1" t="s">
        <v>5587</v>
      </c>
      <c r="H1885" t="s">
        <v>959</v>
      </c>
      <c r="J1885">
        <v>667120</v>
      </c>
      <c r="M1885">
        <v>1213</v>
      </c>
      <c r="R1885" t="s">
        <v>918</v>
      </c>
      <c r="S1885" t="s">
        <v>5588</v>
      </c>
      <c r="T1885" t="s">
        <v>5589</v>
      </c>
      <c r="V1885" t="s">
        <v>1478</v>
      </c>
      <c r="AE1885" t="s">
        <v>478</v>
      </c>
      <c r="AL1885" t="s">
        <v>919</v>
      </c>
      <c r="AM1885" t="s">
        <v>919</v>
      </c>
      <c r="AO1885" t="s">
        <v>480</v>
      </c>
      <c r="AP1885" t="s">
        <v>481</v>
      </c>
      <c r="BF1885" s="1" t="s">
        <v>5590</v>
      </c>
      <c r="BH1885" t="s">
        <v>1480</v>
      </c>
      <c r="BP1885" t="s">
        <v>1489</v>
      </c>
    </row>
    <row r="1886" spans="1:68" x14ac:dyDescent="0.25">
      <c r="A1886" t="s">
        <v>5713</v>
      </c>
      <c r="B1886" t="s">
        <v>474</v>
      </c>
      <c r="C1886" t="s">
        <v>1504</v>
      </c>
      <c r="E1886" t="s">
        <v>475</v>
      </c>
      <c r="G1886" s="1" t="s">
        <v>5591</v>
      </c>
      <c r="H1886" t="s">
        <v>959</v>
      </c>
      <c r="J1886">
        <v>663002</v>
      </c>
      <c r="M1886">
        <v>1213</v>
      </c>
      <c r="R1886" t="s">
        <v>918</v>
      </c>
      <c r="S1886" t="s">
        <v>1090</v>
      </c>
      <c r="T1886" t="s">
        <v>5592</v>
      </c>
      <c r="V1886" t="s">
        <v>1478</v>
      </c>
      <c r="AE1886" t="s">
        <v>478</v>
      </c>
      <c r="AL1886" t="s">
        <v>919</v>
      </c>
      <c r="AM1886" t="s">
        <v>919</v>
      </c>
      <c r="AO1886" t="s">
        <v>480</v>
      </c>
      <c r="AP1886" t="s">
        <v>481</v>
      </c>
      <c r="BF1886" s="1" t="s">
        <v>995</v>
      </c>
      <c r="BH1886" t="s">
        <v>1480</v>
      </c>
      <c r="BP1886" t="s">
        <v>1489</v>
      </c>
    </row>
    <row r="1887" spans="1:68" x14ac:dyDescent="0.25">
      <c r="A1887" t="s">
        <v>5713</v>
      </c>
      <c r="B1887" t="s">
        <v>474</v>
      </c>
      <c r="C1887" t="s">
        <v>2018</v>
      </c>
      <c r="E1887" t="s">
        <v>475</v>
      </c>
      <c r="G1887" s="1" t="s">
        <v>5593</v>
      </c>
      <c r="H1887" t="s">
        <v>492</v>
      </c>
      <c r="J1887">
        <v>624162</v>
      </c>
      <c r="M1887">
        <v>1211</v>
      </c>
      <c r="R1887" t="s">
        <v>918</v>
      </c>
      <c r="S1887" t="s">
        <v>5594</v>
      </c>
      <c r="T1887" t="s">
        <v>5595</v>
      </c>
      <c r="V1887" t="s">
        <v>5596</v>
      </c>
      <c r="AE1887" t="s">
        <v>478</v>
      </c>
      <c r="AL1887" t="s">
        <v>919</v>
      </c>
      <c r="AM1887" t="s">
        <v>919</v>
      </c>
      <c r="AO1887" t="s">
        <v>480</v>
      </c>
      <c r="AP1887" t="s">
        <v>481</v>
      </c>
      <c r="BF1887" s="1" t="s">
        <v>5524</v>
      </c>
      <c r="BH1887" t="s">
        <v>1480</v>
      </c>
      <c r="BP1887" t="s">
        <v>1489</v>
      </c>
    </row>
    <row r="1888" spans="1:68" x14ac:dyDescent="0.25">
      <c r="A1888" t="s">
        <v>5713</v>
      </c>
      <c r="B1888" t="s">
        <v>474</v>
      </c>
      <c r="C1888" t="s">
        <v>2018</v>
      </c>
      <c r="E1888" t="s">
        <v>475</v>
      </c>
      <c r="G1888" s="1" t="s">
        <v>5593</v>
      </c>
      <c r="H1888" t="s">
        <v>537</v>
      </c>
      <c r="J1888">
        <v>624162</v>
      </c>
      <c r="M1888">
        <v>1211</v>
      </c>
      <c r="R1888" t="s">
        <v>918</v>
      </c>
      <c r="S1888" t="s">
        <v>5597</v>
      </c>
      <c r="T1888" t="s">
        <v>5598</v>
      </c>
      <c r="V1888" t="s">
        <v>5596</v>
      </c>
      <c r="AE1888" t="s">
        <v>478</v>
      </c>
      <c r="AL1888" t="s">
        <v>919</v>
      </c>
      <c r="AM1888" t="s">
        <v>919</v>
      </c>
      <c r="AO1888" t="s">
        <v>480</v>
      </c>
      <c r="AP1888" t="s">
        <v>481</v>
      </c>
      <c r="BF1888" s="1" t="s">
        <v>5524</v>
      </c>
      <c r="BH1888" t="s">
        <v>1480</v>
      </c>
      <c r="BP1888" t="s">
        <v>1489</v>
      </c>
    </row>
    <row r="1889" spans="1:68" x14ac:dyDescent="0.25">
      <c r="A1889" t="s">
        <v>5713</v>
      </c>
      <c r="B1889" t="s">
        <v>474</v>
      </c>
      <c r="C1889" t="s">
        <v>1655</v>
      </c>
      <c r="E1889" t="s">
        <v>475</v>
      </c>
      <c r="G1889" s="1" t="s">
        <v>5599</v>
      </c>
      <c r="H1889" t="s">
        <v>959</v>
      </c>
      <c r="J1889">
        <v>667121</v>
      </c>
      <c r="M1889">
        <v>1611</v>
      </c>
      <c r="R1889" t="s">
        <v>918</v>
      </c>
      <c r="S1889" t="s">
        <v>5600</v>
      </c>
      <c r="T1889" t="s">
        <v>5601</v>
      </c>
      <c r="V1889" t="s">
        <v>1478</v>
      </c>
      <c r="AE1889" t="s">
        <v>478</v>
      </c>
      <c r="AL1889" t="s">
        <v>919</v>
      </c>
      <c r="AM1889" t="s">
        <v>919</v>
      </c>
      <c r="AO1889" t="s">
        <v>480</v>
      </c>
      <c r="AP1889" t="s">
        <v>481</v>
      </c>
      <c r="BF1889" s="1" t="s">
        <v>5602</v>
      </c>
      <c r="BH1889" t="s">
        <v>1480</v>
      </c>
      <c r="BP1889" t="s">
        <v>1489</v>
      </c>
    </row>
    <row r="1890" spans="1:68" x14ac:dyDescent="0.25">
      <c r="A1890" t="s">
        <v>5713</v>
      </c>
      <c r="B1890" t="s">
        <v>474</v>
      </c>
      <c r="C1890" t="s">
        <v>2018</v>
      </c>
      <c r="E1890" t="s">
        <v>475</v>
      </c>
      <c r="G1890" s="1" t="s">
        <v>5603</v>
      </c>
      <c r="H1890" t="s">
        <v>492</v>
      </c>
      <c r="J1890">
        <v>624162</v>
      </c>
      <c r="M1890">
        <v>1211</v>
      </c>
      <c r="R1890" t="s">
        <v>918</v>
      </c>
      <c r="S1890" t="s">
        <v>5604</v>
      </c>
      <c r="T1890" t="s">
        <v>5605</v>
      </c>
      <c r="V1890" t="s">
        <v>1478</v>
      </c>
      <c r="AE1890" t="s">
        <v>478</v>
      </c>
      <c r="AL1890" t="s">
        <v>919</v>
      </c>
      <c r="AM1890" t="s">
        <v>919</v>
      </c>
      <c r="AO1890" t="s">
        <v>480</v>
      </c>
      <c r="AP1890" t="s">
        <v>481</v>
      </c>
      <c r="BF1890" s="1" t="s">
        <v>5524</v>
      </c>
      <c r="BH1890" t="s">
        <v>1480</v>
      </c>
      <c r="BP1890" t="s">
        <v>1489</v>
      </c>
    </row>
    <row r="1891" spans="1:68" x14ac:dyDescent="0.25">
      <c r="A1891" t="s">
        <v>5713</v>
      </c>
      <c r="B1891" t="s">
        <v>474</v>
      </c>
      <c r="C1891" t="s">
        <v>2018</v>
      </c>
      <c r="E1891" t="s">
        <v>475</v>
      </c>
      <c r="G1891" s="1" t="s">
        <v>5603</v>
      </c>
      <c r="H1891" t="s">
        <v>537</v>
      </c>
      <c r="J1891">
        <v>624162</v>
      </c>
      <c r="M1891">
        <v>1211</v>
      </c>
      <c r="R1891" t="s">
        <v>918</v>
      </c>
      <c r="S1891" t="s">
        <v>5606</v>
      </c>
      <c r="T1891" t="s">
        <v>5607</v>
      </c>
      <c r="V1891" t="s">
        <v>1478</v>
      </c>
      <c r="AE1891" t="s">
        <v>478</v>
      </c>
      <c r="AL1891" t="s">
        <v>919</v>
      </c>
      <c r="AM1891" t="s">
        <v>919</v>
      </c>
      <c r="AO1891" t="s">
        <v>480</v>
      </c>
      <c r="AP1891" t="s">
        <v>481</v>
      </c>
      <c r="BF1891" s="1" t="s">
        <v>5524</v>
      </c>
      <c r="BH1891" t="s">
        <v>1480</v>
      </c>
      <c r="BP1891" t="s">
        <v>1489</v>
      </c>
    </row>
    <row r="1892" spans="1:68" x14ac:dyDescent="0.25">
      <c r="A1892" t="s">
        <v>5713</v>
      </c>
      <c r="B1892" t="s">
        <v>474</v>
      </c>
      <c r="C1892" t="s">
        <v>1679</v>
      </c>
      <c r="E1892" t="s">
        <v>475</v>
      </c>
      <c r="G1892" s="1" t="s">
        <v>5608</v>
      </c>
      <c r="H1892" t="s">
        <v>959</v>
      </c>
      <c r="J1892">
        <v>667832</v>
      </c>
      <c r="M1892">
        <v>1213</v>
      </c>
      <c r="R1892" t="s">
        <v>918</v>
      </c>
      <c r="S1892" t="s">
        <v>5609</v>
      </c>
      <c r="T1892" t="s">
        <v>5610</v>
      </c>
      <c r="V1892" t="s">
        <v>1478</v>
      </c>
      <c r="AE1892" t="s">
        <v>478</v>
      </c>
      <c r="AL1892" t="s">
        <v>919</v>
      </c>
      <c r="AM1892" t="s">
        <v>919</v>
      </c>
      <c r="AO1892" t="s">
        <v>480</v>
      </c>
      <c r="AP1892" t="s">
        <v>481</v>
      </c>
      <c r="BF1892" s="1" t="s">
        <v>1479</v>
      </c>
      <c r="BH1892" t="s">
        <v>1480</v>
      </c>
      <c r="BP1892" t="s">
        <v>1489</v>
      </c>
    </row>
    <row r="1893" spans="1:68" x14ac:dyDescent="0.25">
      <c r="A1893" t="s">
        <v>5713</v>
      </c>
      <c r="B1893" t="s">
        <v>474</v>
      </c>
      <c r="C1893" t="s">
        <v>1990</v>
      </c>
      <c r="E1893" t="s">
        <v>475</v>
      </c>
      <c r="G1893" s="1" t="s">
        <v>5611</v>
      </c>
      <c r="H1893" t="s">
        <v>959</v>
      </c>
      <c r="J1893">
        <v>667121</v>
      </c>
      <c r="M1893">
        <v>1213</v>
      </c>
      <c r="R1893" t="s">
        <v>918</v>
      </c>
      <c r="S1893" t="s">
        <v>5612</v>
      </c>
      <c r="T1893" t="s">
        <v>5613</v>
      </c>
      <c r="V1893" t="s">
        <v>1478</v>
      </c>
      <c r="AE1893" t="s">
        <v>478</v>
      </c>
      <c r="AL1893" t="s">
        <v>919</v>
      </c>
      <c r="AM1893" t="s">
        <v>919</v>
      </c>
      <c r="AO1893" t="s">
        <v>480</v>
      </c>
      <c r="AP1893" t="s">
        <v>481</v>
      </c>
      <c r="BF1893" s="1" t="s">
        <v>1481</v>
      </c>
      <c r="BH1893" t="s">
        <v>1480</v>
      </c>
      <c r="BP1893" t="s">
        <v>1489</v>
      </c>
    </row>
    <row r="1894" spans="1:68" x14ac:dyDescent="0.25">
      <c r="A1894" t="s">
        <v>5713</v>
      </c>
      <c r="B1894" t="s">
        <v>474</v>
      </c>
      <c r="C1894" t="s">
        <v>1990</v>
      </c>
      <c r="E1894" t="s">
        <v>475</v>
      </c>
      <c r="G1894" s="1" t="s">
        <v>5611</v>
      </c>
      <c r="H1894" t="s">
        <v>500</v>
      </c>
      <c r="J1894">
        <v>667822</v>
      </c>
      <c r="M1894">
        <v>1213</v>
      </c>
      <c r="R1894" t="s">
        <v>918</v>
      </c>
      <c r="S1894" t="s">
        <v>5614</v>
      </c>
      <c r="T1894" t="s">
        <v>5615</v>
      </c>
      <c r="V1894" t="s">
        <v>1478</v>
      </c>
      <c r="AE1894" t="s">
        <v>478</v>
      </c>
      <c r="AL1894" t="s">
        <v>919</v>
      </c>
      <c r="AM1894" t="s">
        <v>919</v>
      </c>
      <c r="AO1894" t="s">
        <v>480</v>
      </c>
      <c r="AP1894" t="s">
        <v>481</v>
      </c>
      <c r="BF1894" s="1" t="s">
        <v>1482</v>
      </c>
      <c r="BH1894" t="s">
        <v>1480</v>
      </c>
      <c r="BP1894" t="s">
        <v>1489</v>
      </c>
    </row>
    <row r="1895" spans="1:68" x14ac:dyDescent="0.25">
      <c r="A1895" t="s">
        <v>5713</v>
      </c>
      <c r="B1895" t="s">
        <v>474</v>
      </c>
      <c r="C1895" t="s">
        <v>4427</v>
      </c>
      <c r="E1895" t="s">
        <v>480</v>
      </c>
      <c r="G1895" s="1" t="s">
        <v>5616</v>
      </c>
      <c r="H1895" t="s">
        <v>959</v>
      </c>
      <c r="J1895">
        <v>612300</v>
      </c>
      <c r="M1895" t="s">
        <v>1058</v>
      </c>
      <c r="R1895" t="s">
        <v>918</v>
      </c>
      <c r="S1895" t="s">
        <v>5617</v>
      </c>
      <c r="T1895" t="s">
        <v>5618</v>
      </c>
      <c r="V1895" t="s">
        <v>1478</v>
      </c>
      <c r="AE1895" t="s">
        <v>478</v>
      </c>
      <c r="AL1895" t="s">
        <v>919</v>
      </c>
      <c r="AM1895" t="s">
        <v>919</v>
      </c>
      <c r="AO1895" t="s">
        <v>480</v>
      </c>
      <c r="AP1895" t="s">
        <v>481</v>
      </c>
      <c r="BF1895" s="1" t="s">
        <v>1207</v>
      </c>
      <c r="BH1895" t="s">
        <v>1480</v>
      </c>
      <c r="BP1895" t="s">
        <v>1489</v>
      </c>
    </row>
    <row r="1896" spans="1:68" x14ac:dyDescent="0.25">
      <c r="A1896" t="s">
        <v>5713</v>
      </c>
      <c r="B1896" t="s">
        <v>474</v>
      </c>
      <c r="C1896" t="s">
        <v>4427</v>
      </c>
      <c r="E1896" t="s">
        <v>480</v>
      </c>
      <c r="G1896" s="1" t="s">
        <v>5616</v>
      </c>
      <c r="H1896" t="s">
        <v>492</v>
      </c>
      <c r="J1896">
        <v>612300</v>
      </c>
      <c r="M1896" t="s">
        <v>1058</v>
      </c>
      <c r="R1896" t="s">
        <v>918</v>
      </c>
      <c r="S1896" t="s">
        <v>5619</v>
      </c>
      <c r="T1896" t="s">
        <v>5620</v>
      </c>
      <c r="V1896" t="s">
        <v>1478</v>
      </c>
      <c r="AE1896" t="s">
        <v>478</v>
      </c>
      <c r="AL1896" t="s">
        <v>919</v>
      </c>
      <c r="AM1896" t="s">
        <v>919</v>
      </c>
      <c r="AO1896" t="s">
        <v>480</v>
      </c>
      <c r="AP1896" t="s">
        <v>481</v>
      </c>
      <c r="BF1896" s="1" t="s">
        <v>1207</v>
      </c>
      <c r="BH1896" t="s">
        <v>1480</v>
      </c>
      <c r="BP1896" t="s">
        <v>1489</v>
      </c>
    </row>
    <row r="1897" spans="1:68" x14ac:dyDescent="0.25">
      <c r="A1897" t="s">
        <v>5713</v>
      </c>
      <c r="B1897" t="s">
        <v>474</v>
      </c>
      <c r="C1897" t="s">
        <v>4427</v>
      </c>
      <c r="E1897" t="s">
        <v>480</v>
      </c>
      <c r="G1897" s="1" t="s">
        <v>5616</v>
      </c>
      <c r="H1897" t="s">
        <v>500</v>
      </c>
      <c r="J1897">
        <v>612300</v>
      </c>
      <c r="M1897" t="s">
        <v>1058</v>
      </c>
      <c r="R1897" t="s">
        <v>918</v>
      </c>
      <c r="S1897" t="s">
        <v>5617</v>
      </c>
      <c r="T1897" t="s">
        <v>5618</v>
      </c>
      <c r="V1897" t="s">
        <v>1478</v>
      </c>
      <c r="AE1897" t="s">
        <v>478</v>
      </c>
      <c r="AL1897" t="s">
        <v>919</v>
      </c>
      <c r="AM1897" t="s">
        <v>919</v>
      </c>
      <c r="AO1897" t="s">
        <v>480</v>
      </c>
      <c r="AP1897" t="s">
        <v>481</v>
      </c>
      <c r="BF1897" s="1" t="s">
        <v>1207</v>
      </c>
      <c r="BH1897" t="s">
        <v>1480</v>
      </c>
      <c r="BP1897" t="s">
        <v>1489</v>
      </c>
    </row>
    <row r="1898" spans="1:68" x14ac:dyDescent="0.25">
      <c r="A1898" t="s">
        <v>5713</v>
      </c>
      <c r="B1898" t="s">
        <v>474</v>
      </c>
      <c r="C1898" t="s">
        <v>4427</v>
      </c>
      <c r="E1898" t="s">
        <v>480</v>
      </c>
      <c r="G1898" s="1" t="s">
        <v>5616</v>
      </c>
      <c r="H1898" t="s">
        <v>537</v>
      </c>
      <c r="J1898">
        <v>612300</v>
      </c>
      <c r="M1898" t="s">
        <v>1058</v>
      </c>
      <c r="R1898" t="s">
        <v>918</v>
      </c>
      <c r="S1898" t="s">
        <v>5621</v>
      </c>
      <c r="T1898" t="s">
        <v>5622</v>
      </c>
      <c r="V1898" t="s">
        <v>1478</v>
      </c>
      <c r="AE1898" t="s">
        <v>478</v>
      </c>
      <c r="AL1898" t="s">
        <v>919</v>
      </c>
      <c r="AM1898" t="s">
        <v>919</v>
      </c>
      <c r="AO1898" t="s">
        <v>480</v>
      </c>
      <c r="AP1898" t="s">
        <v>481</v>
      </c>
      <c r="BF1898" s="1" t="s">
        <v>1207</v>
      </c>
      <c r="BH1898" t="s">
        <v>1480</v>
      </c>
      <c r="BP1898" t="s">
        <v>1489</v>
      </c>
    </row>
    <row r="1899" spans="1:68" x14ac:dyDescent="0.25">
      <c r="A1899" t="s">
        <v>5713</v>
      </c>
      <c r="B1899" t="s">
        <v>474</v>
      </c>
      <c r="C1899" t="s">
        <v>4427</v>
      </c>
      <c r="E1899" t="s">
        <v>480</v>
      </c>
      <c r="G1899" s="1" t="s">
        <v>5616</v>
      </c>
      <c r="H1899" t="s">
        <v>546</v>
      </c>
      <c r="J1899">
        <v>612300</v>
      </c>
      <c r="M1899" t="s">
        <v>1058</v>
      </c>
      <c r="R1899" t="s">
        <v>918</v>
      </c>
      <c r="S1899" t="s">
        <v>5623</v>
      </c>
      <c r="T1899" t="s">
        <v>5624</v>
      </c>
      <c r="V1899" t="s">
        <v>1478</v>
      </c>
      <c r="AE1899" t="s">
        <v>478</v>
      </c>
      <c r="AL1899" t="s">
        <v>919</v>
      </c>
      <c r="AM1899" t="s">
        <v>919</v>
      </c>
      <c r="AO1899" t="s">
        <v>480</v>
      </c>
      <c r="AP1899" t="s">
        <v>481</v>
      </c>
      <c r="BF1899" s="1" t="s">
        <v>1207</v>
      </c>
      <c r="BH1899" t="s">
        <v>1480</v>
      </c>
      <c r="BP1899" t="s">
        <v>1489</v>
      </c>
    </row>
    <row r="1900" spans="1:68" x14ac:dyDescent="0.25">
      <c r="A1900" t="s">
        <v>5713</v>
      </c>
      <c r="B1900" t="s">
        <v>474</v>
      </c>
      <c r="C1900" t="s">
        <v>4427</v>
      </c>
      <c r="E1900" t="s">
        <v>480</v>
      </c>
      <c r="G1900" s="1" t="s">
        <v>5616</v>
      </c>
      <c r="H1900" t="s">
        <v>553</v>
      </c>
      <c r="J1900">
        <v>612300</v>
      </c>
      <c r="M1900" t="s">
        <v>1058</v>
      </c>
      <c r="R1900" t="s">
        <v>918</v>
      </c>
      <c r="S1900" t="s">
        <v>5625</v>
      </c>
      <c r="T1900" t="s">
        <v>5626</v>
      </c>
      <c r="V1900" t="s">
        <v>1478</v>
      </c>
      <c r="AE1900" t="s">
        <v>478</v>
      </c>
      <c r="AL1900" t="s">
        <v>919</v>
      </c>
      <c r="AM1900" t="s">
        <v>919</v>
      </c>
      <c r="AO1900" t="s">
        <v>480</v>
      </c>
      <c r="AP1900" t="s">
        <v>481</v>
      </c>
      <c r="BF1900" s="1" t="s">
        <v>1207</v>
      </c>
      <c r="BH1900" t="s">
        <v>1480</v>
      </c>
      <c r="BP1900" t="s">
        <v>1489</v>
      </c>
    </row>
    <row r="1901" spans="1:68" x14ac:dyDescent="0.25">
      <c r="A1901" t="s">
        <v>5713</v>
      </c>
      <c r="B1901" t="s">
        <v>474</v>
      </c>
      <c r="C1901" t="s">
        <v>4427</v>
      </c>
      <c r="E1901" t="s">
        <v>480</v>
      </c>
      <c r="G1901" s="1" t="s">
        <v>5616</v>
      </c>
      <c r="H1901" t="s">
        <v>559</v>
      </c>
      <c r="J1901">
        <v>612300</v>
      </c>
      <c r="M1901" t="s">
        <v>1058</v>
      </c>
      <c r="R1901" t="s">
        <v>918</v>
      </c>
      <c r="S1901" t="s">
        <v>5627</v>
      </c>
      <c r="T1901" t="s">
        <v>3396</v>
      </c>
      <c r="V1901" t="s">
        <v>1478</v>
      </c>
      <c r="AE1901" t="s">
        <v>478</v>
      </c>
      <c r="AL1901" t="s">
        <v>919</v>
      </c>
      <c r="AM1901" t="s">
        <v>919</v>
      </c>
      <c r="AO1901" t="s">
        <v>480</v>
      </c>
      <c r="AP1901" t="s">
        <v>481</v>
      </c>
      <c r="BF1901" s="1" t="s">
        <v>1207</v>
      </c>
      <c r="BH1901" t="s">
        <v>1480</v>
      </c>
      <c r="BP1901" t="s">
        <v>1489</v>
      </c>
    </row>
    <row r="1902" spans="1:68" x14ac:dyDescent="0.25">
      <c r="A1902" t="s">
        <v>5713</v>
      </c>
      <c r="B1902" t="s">
        <v>474</v>
      </c>
      <c r="C1902" t="s">
        <v>4427</v>
      </c>
      <c r="E1902" t="s">
        <v>480</v>
      </c>
      <c r="G1902" s="1" t="s">
        <v>5616</v>
      </c>
      <c r="H1902" t="s">
        <v>564</v>
      </c>
      <c r="J1902">
        <v>612300</v>
      </c>
      <c r="M1902" t="s">
        <v>1058</v>
      </c>
      <c r="R1902" t="s">
        <v>918</v>
      </c>
      <c r="S1902" t="s">
        <v>5617</v>
      </c>
      <c r="T1902" t="s">
        <v>5618</v>
      </c>
      <c r="V1902" t="s">
        <v>1478</v>
      </c>
      <c r="AE1902" t="s">
        <v>478</v>
      </c>
      <c r="AL1902" t="s">
        <v>919</v>
      </c>
      <c r="AM1902" t="s">
        <v>919</v>
      </c>
      <c r="AO1902" t="s">
        <v>480</v>
      </c>
      <c r="AP1902" t="s">
        <v>481</v>
      </c>
      <c r="BF1902" s="1" t="s">
        <v>1207</v>
      </c>
      <c r="BH1902" t="s">
        <v>1480</v>
      </c>
      <c r="BP1902" t="s">
        <v>1489</v>
      </c>
    </row>
    <row r="1903" spans="1:68" x14ac:dyDescent="0.25">
      <c r="A1903" t="s">
        <v>5713</v>
      </c>
      <c r="B1903" t="s">
        <v>474</v>
      </c>
      <c r="C1903" t="s">
        <v>4427</v>
      </c>
      <c r="E1903" t="s">
        <v>480</v>
      </c>
      <c r="G1903" s="1" t="s">
        <v>5616</v>
      </c>
      <c r="H1903" t="s">
        <v>571</v>
      </c>
      <c r="J1903">
        <v>612300</v>
      </c>
      <c r="M1903" t="s">
        <v>1058</v>
      </c>
      <c r="R1903" t="s">
        <v>918</v>
      </c>
      <c r="S1903" t="s">
        <v>5617</v>
      </c>
      <c r="T1903" t="s">
        <v>5618</v>
      </c>
      <c r="V1903" t="s">
        <v>1478</v>
      </c>
      <c r="AE1903" t="s">
        <v>478</v>
      </c>
      <c r="AL1903" t="s">
        <v>919</v>
      </c>
      <c r="AM1903" t="s">
        <v>919</v>
      </c>
      <c r="AO1903" t="s">
        <v>480</v>
      </c>
      <c r="AP1903" t="s">
        <v>481</v>
      </c>
      <c r="BF1903" s="1" t="s">
        <v>1207</v>
      </c>
      <c r="BH1903" t="s">
        <v>1480</v>
      </c>
      <c r="BP1903" t="s">
        <v>1489</v>
      </c>
    </row>
    <row r="1904" spans="1:68" x14ac:dyDescent="0.25">
      <c r="A1904" t="s">
        <v>5713</v>
      </c>
      <c r="B1904" t="s">
        <v>474</v>
      </c>
      <c r="C1904" t="s">
        <v>4427</v>
      </c>
      <c r="E1904" t="s">
        <v>480</v>
      </c>
      <c r="G1904" s="1" t="s">
        <v>5616</v>
      </c>
      <c r="H1904" t="s">
        <v>578</v>
      </c>
      <c r="J1904">
        <v>612300</v>
      </c>
      <c r="M1904" t="s">
        <v>1058</v>
      </c>
      <c r="R1904" t="s">
        <v>918</v>
      </c>
      <c r="S1904" t="s">
        <v>5628</v>
      </c>
      <c r="T1904" t="s">
        <v>5629</v>
      </c>
      <c r="V1904" t="s">
        <v>1478</v>
      </c>
      <c r="AE1904" t="s">
        <v>478</v>
      </c>
      <c r="AL1904" t="s">
        <v>919</v>
      </c>
      <c r="AM1904" t="s">
        <v>919</v>
      </c>
      <c r="AO1904" t="s">
        <v>480</v>
      </c>
      <c r="AP1904" t="s">
        <v>481</v>
      </c>
      <c r="BF1904" s="1" t="s">
        <v>1207</v>
      </c>
      <c r="BH1904" t="s">
        <v>1480</v>
      </c>
      <c r="BP1904" t="s">
        <v>1489</v>
      </c>
    </row>
    <row r="1905" spans="1:68" x14ac:dyDescent="0.25">
      <c r="A1905" t="s">
        <v>5713</v>
      </c>
      <c r="B1905" t="s">
        <v>474</v>
      </c>
      <c r="C1905" t="s">
        <v>4427</v>
      </c>
      <c r="E1905" t="s">
        <v>480</v>
      </c>
      <c r="G1905" s="1" t="s">
        <v>5616</v>
      </c>
      <c r="H1905" t="s">
        <v>585</v>
      </c>
      <c r="J1905">
        <v>612300</v>
      </c>
      <c r="M1905" t="s">
        <v>1058</v>
      </c>
      <c r="R1905" t="s">
        <v>918</v>
      </c>
      <c r="S1905" t="s">
        <v>5617</v>
      </c>
      <c r="T1905" t="s">
        <v>5618</v>
      </c>
      <c r="V1905" t="s">
        <v>1478</v>
      </c>
      <c r="AE1905" t="s">
        <v>478</v>
      </c>
      <c r="AL1905" t="s">
        <v>919</v>
      </c>
      <c r="AM1905" t="s">
        <v>919</v>
      </c>
      <c r="AO1905" t="s">
        <v>480</v>
      </c>
      <c r="AP1905" t="s">
        <v>481</v>
      </c>
      <c r="BF1905" s="1" t="s">
        <v>1207</v>
      </c>
      <c r="BH1905" t="s">
        <v>1480</v>
      </c>
      <c r="BP1905" t="s">
        <v>1489</v>
      </c>
    </row>
    <row r="1906" spans="1:68" x14ac:dyDescent="0.25">
      <c r="A1906" t="s">
        <v>5713</v>
      </c>
      <c r="B1906" t="s">
        <v>474</v>
      </c>
      <c r="C1906" t="s">
        <v>4427</v>
      </c>
      <c r="E1906" t="s">
        <v>480</v>
      </c>
      <c r="G1906" s="1" t="s">
        <v>5616</v>
      </c>
      <c r="H1906" t="s">
        <v>592</v>
      </c>
      <c r="J1906">
        <v>612300</v>
      </c>
      <c r="M1906" t="s">
        <v>1058</v>
      </c>
      <c r="R1906" t="s">
        <v>918</v>
      </c>
      <c r="S1906" t="s">
        <v>5617</v>
      </c>
      <c r="T1906" t="s">
        <v>5618</v>
      </c>
      <c r="V1906" t="s">
        <v>1478</v>
      </c>
      <c r="AE1906" t="s">
        <v>478</v>
      </c>
      <c r="AL1906" t="s">
        <v>919</v>
      </c>
      <c r="AM1906" t="s">
        <v>919</v>
      </c>
      <c r="AO1906" t="s">
        <v>480</v>
      </c>
      <c r="AP1906" t="s">
        <v>481</v>
      </c>
      <c r="BF1906" s="1" t="s">
        <v>1207</v>
      </c>
      <c r="BH1906" t="s">
        <v>1480</v>
      </c>
      <c r="BP1906" t="s">
        <v>1489</v>
      </c>
    </row>
    <row r="1907" spans="1:68" x14ac:dyDescent="0.25">
      <c r="A1907" t="s">
        <v>5713</v>
      </c>
      <c r="B1907" t="s">
        <v>474</v>
      </c>
      <c r="C1907" t="s">
        <v>4427</v>
      </c>
      <c r="E1907" t="s">
        <v>480</v>
      </c>
      <c r="G1907" s="1" t="s">
        <v>5616</v>
      </c>
      <c r="H1907" t="s">
        <v>600</v>
      </c>
      <c r="J1907">
        <v>612300</v>
      </c>
      <c r="M1907" t="s">
        <v>1058</v>
      </c>
      <c r="R1907" t="s">
        <v>918</v>
      </c>
      <c r="S1907" t="s">
        <v>5617</v>
      </c>
      <c r="T1907" t="s">
        <v>5618</v>
      </c>
      <c r="V1907" t="s">
        <v>1478</v>
      </c>
      <c r="AE1907" t="s">
        <v>478</v>
      </c>
      <c r="AL1907" t="s">
        <v>919</v>
      </c>
      <c r="AM1907" t="s">
        <v>919</v>
      </c>
      <c r="AO1907" t="s">
        <v>480</v>
      </c>
      <c r="AP1907" t="s">
        <v>481</v>
      </c>
      <c r="BF1907" s="1" t="s">
        <v>1207</v>
      </c>
      <c r="BH1907" t="s">
        <v>1480</v>
      </c>
      <c r="BP1907" t="s">
        <v>1489</v>
      </c>
    </row>
    <row r="1908" spans="1:68" x14ac:dyDescent="0.25">
      <c r="A1908" t="s">
        <v>5713</v>
      </c>
      <c r="B1908" t="s">
        <v>474</v>
      </c>
      <c r="C1908" t="s">
        <v>4427</v>
      </c>
      <c r="E1908" t="s">
        <v>480</v>
      </c>
      <c r="G1908" s="1" t="s">
        <v>5616</v>
      </c>
      <c r="H1908" t="s">
        <v>608</v>
      </c>
      <c r="J1908">
        <v>612300</v>
      </c>
      <c r="M1908" t="s">
        <v>1058</v>
      </c>
      <c r="R1908" t="s">
        <v>918</v>
      </c>
      <c r="S1908" t="s">
        <v>5630</v>
      </c>
      <c r="T1908" t="s">
        <v>5631</v>
      </c>
      <c r="V1908" t="s">
        <v>1478</v>
      </c>
      <c r="AE1908" t="s">
        <v>478</v>
      </c>
      <c r="AL1908" t="s">
        <v>919</v>
      </c>
      <c r="AM1908" t="s">
        <v>919</v>
      </c>
      <c r="AO1908" t="s">
        <v>480</v>
      </c>
      <c r="AP1908" t="s">
        <v>481</v>
      </c>
      <c r="BF1908" s="1" t="s">
        <v>1207</v>
      </c>
      <c r="BH1908" t="s">
        <v>1480</v>
      </c>
      <c r="BP1908" t="s">
        <v>1489</v>
      </c>
    </row>
    <row r="1909" spans="1:68" x14ac:dyDescent="0.25">
      <c r="A1909" t="s">
        <v>5713</v>
      </c>
      <c r="B1909" t="s">
        <v>474</v>
      </c>
      <c r="C1909" t="s">
        <v>4427</v>
      </c>
      <c r="E1909" t="s">
        <v>480</v>
      </c>
      <c r="G1909" s="1" t="s">
        <v>5616</v>
      </c>
      <c r="H1909" t="s">
        <v>612</v>
      </c>
      <c r="J1909">
        <v>612300</v>
      </c>
      <c r="M1909" t="s">
        <v>1058</v>
      </c>
      <c r="R1909" t="s">
        <v>918</v>
      </c>
      <c r="S1909" t="s">
        <v>5632</v>
      </c>
      <c r="T1909" t="s">
        <v>5633</v>
      </c>
      <c r="V1909" t="s">
        <v>1478</v>
      </c>
      <c r="AE1909" t="s">
        <v>478</v>
      </c>
      <c r="AL1909" t="s">
        <v>919</v>
      </c>
      <c r="AM1909" t="s">
        <v>919</v>
      </c>
      <c r="AO1909" t="s">
        <v>480</v>
      </c>
      <c r="AP1909" t="s">
        <v>481</v>
      </c>
      <c r="BF1909" s="1" t="s">
        <v>1207</v>
      </c>
      <c r="BH1909" t="s">
        <v>1480</v>
      </c>
      <c r="BP1909" t="s">
        <v>1489</v>
      </c>
    </row>
    <row r="1910" spans="1:68" x14ac:dyDescent="0.25">
      <c r="A1910" t="s">
        <v>5713</v>
      </c>
      <c r="B1910" t="s">
        <v>474</v>
      </c>
      <c r="C1910" t="s">
        <v>4427</v>
      </c>
      <c r="E1910" t="s">
        <v>480</v>
      </c>
      <c r="G1910" s="1" t="s">
        <v>5616</v>
      </c>
      <c r="H1910" t="s">
        <v>619</v>
      </c>
      <c r="J1910">
        <v>612300</v>
      </c>
      <c r="M1910" t="s">
        <v>1058</v>
      </c>
      <c r="R1910" t="s">
        <v>918</v>
      </c>
      <c r="S1910" t="s">
        <v>5634</v>
      </c>
      <c r="T1910" t="s">
        <v>5635</v>
      </c>
      <c r="V1910" t="s">
        <v>1478</v>
      </c>
      <c r="AE1910" t="s">
        <v>478</v>
      </c>
      <c r="AL1910" t="s">
        <v>919</v>
      </c>
      <c r="AM1910" t="s">
        <v>919</v>
      </c>
      <c r="AO1910" t="s">
        <v>480</v>
      </c>
      <c r="AP1910" t="s">
        <v>481</v>
      </c>
      <c r="BF1910" s="1" t="s">
        <v>1207</v>
      </c>
      <c r="BH1910" t="s">
        <v>1480</v>
      </c>
      <c r="BP1910" t="s">
        <v>1489</v>
      </c>
    </row>
    <row r="1911" spans="1:68" x14ac:dyDescent="0.25">
      <c r="A1911" t="s">
        <v>5713</v>
      </c>
      <c r="B1911" t="s">
        <v>474</v>
      </c>
      <c r="C1911" t="s">
        <v>4427</v>
      </c>
      <c r="E1911" t="s">
        <v>480</v>
      </c>
      <c r="G1911" s="1" t="s">
        <v>5616</v>
      </c>
      <c r="H1911" t="s">
        <v>811</v>
      </c>
      <c r="J1911">
        <v>612300</v>
      </c>
      <c r="M1911" t="s">
        <v>1058</v>
      </c>
      <c r="R1911" t="s">
        <v>918</v>
      </c>
      <c r="S1911" t="s">
        <v>5636</v>
      </c>
      <c r="T1911" t="s">
        <v>5637</v>
      </c>
      <c r="V1911" t="s">
        <v>1478</v>
      </c>
      <c r="AE1911" t="s">
        <v>478</v>
      </c>
      <c r="AL1911" t="s">
        <v>919</v>
      </c>
      <c r="AM1911" t="s">
        <v>919</v>
      </c>
      <c r="AO1911" t="s">
        <v>480</v>
      </c>
      <c r="AP1911" t="s">
        <v>481</v>
      </c>
      <c r="BF1911" s="1" t="s">
        <v>1207</v>
      </c>
      <c r="BH1911" t="s">
        <v>1480</v>
      </c>
      <c r="BP1911" t="s">
        <v>1489</v>
      </c>
    </row>
    <row r="1912" spans="1:68" x14ac:dyDescent="0.25">
      <c r="A1912" t="s">
        <v>5713</v>
      </c>
      <c r="B1912" t="s">
        <v>474</v>
      </c>
      <c r="C1912" t="s">
        <v>4427</v>
      </c>
      <c r="E1912" t="s">
        <v>480</v>
      </c>
      <c r="G1912" s="1" t="s">
        <v>5616</v>
      </c>
      <c r="H1912" t="s">
        <v>817</v>
      </c>
      <c r="J1912">
        <v>612300</v>
      </c>
      <c r="M1912" t="s">
        <v>1058</v>
      </c>
      <c r="R1912" t="s">
        <v>918</v>
      </c>
      <c r="S1912" t="s">
        <v>5638</v>
      </c>
      <c r="T1912" t="s">
        <v>5639</v>
      </c>
      <c r="V1912" t="s">
        <v>1478</v>
      </c>
      <c r="AE1912" t="s">
        <v>478</v>
      </c>
      <c r="AL1912" t="s">
        <v>919</v>
      </c>
      <c r="AM1912" t="s">
        <v>919</v>
      </c>
      <c r="AO1912" t="s">
        <v>480</v>
      </c>
      <c r="AP1912" t="s">
        <v>481</v>
      </c>
      <c r="BF1912" s="1" t="s">
        <v>1207</v>
      </c>
      <c r="BH1912" t="s">
        <v>1480</v>
      </c>
      <c r="BP1912" t="s">
        <v>1489</v>
      </c>
    </row>
    <row r="1913" spans="1:68" x14ac:dyDescent="0.25">
      <c r="A1913" t="s">
        <v>5713</v>
      </c>
      <c r="B1913" t="s">
        <v>474</v>
      </c>
      <c r="C1913" t="s">
        <v>4427</v>
      </c>
      <c r="E1913" t="s">
        <v>480</v>
      </c>
      <c r="G1913" s="1" t="s">
        <v>5616</v>
      </c>
      <c r="H1913" t="s">
        <v>820</v>
      </c>
      <c r="J1913">
        <v>612300</v>
      </c>
      <c r="M1913" t="s">
        <v>1058</v>
      </c>
      <c r="R1913" t="s">
        <v>918</v>
      </c>
      <c r="S1913" t="s">
        <v>5617</v>
      </c>
      <c r="T1913" t="s">
        <v>5618</v>
      </c>
      <c r="V1913" t="s">
        <v>1478</v>
      </c>
      <c r="AE1913" t="s">
        <v>478</v>
      </c>
      <c r="AL1913" t="s">
        <v>919</v>
      </c>
      <c r="AM1913" t="s">
        <v>919</v>
      </c>
      <c r="AO1913" t="s">
        <v>480</v>
      </c>
      <c r="AP1913" t="s">
        <v>481</v>
      </c>
      <c r="BF1913" s="1" t="s">
        <v>1207</v>
      </c>
      <c r="BH1913" t="s">
        <v>1480</v>
      </c>
      <c r="BP1913" t="s">
        <v>1489</v>
      </c>
    </row>
    <row r="1914" spans="1:68" x14ac:dyDescent="0.25">
      <c r="A1914" t="s">
        <v>5713</v>
      </c>
      <c r="B1914" t="s">
        <v>474</v>
      </c>
      <c r="C1914" t="s">
        <v>4427</v>
      </c>
      <c r="E1914" t="s">
        <v>480</v>
      </c>
      <c r="G1914" s="1" t="s">
        <v>5616</v>
      </c>
      <c r="H1914" t="s">
        <v>960</v>
      </c>
      <c r="J1914">
        <v>612300</v>
      </c>
      <c r="M1914" t="s">
        <v>1058</v>
      </c>
      <c r="R1914" t="s">
        <v>918</v>
      </c>
      <c r="S1914" t="s">
        <v>5617</v>
      </c>
      <c r="T1914" t="s">
        <v>5618</v>
      </c>
      <c r="V1914" t="s">
        <v>1478</v>
      </c>
      <c r="AE1914" t="s">
        <v>478</v>
      </c>
      <c r="AL1914" t="s">
        <v>919</v>
      </c>
      <c r="AM1914" t="s">
        <v>919</v>
      </c>
      <c r="AO1914" t="s">
        <v>480</v>
      </c>
      <c r="AP1914" t="s">
        <v>481</v>
      </c>
      <c r="BF1914" s="1" t="s">
        <v>1207</v>
      </c>
      <c r="BH1914" t="s">
        <v>1480</v>
      </c>
      <c r="BP1914" t="s">
        <v>1489</v>
      </c>
    </row>
    <row r="1915" spans="1:68" x14ac:dyDescent="0.25">
      <c r="A1915" t="s">
        <v>5713</v>
      </c>
      <c r="B1915" t="s">
        <v>474</v>
      </c>
      <c r="C1915" t="s">
        <v>4427</v>
      </c>
      <c r="E1915" t="s">
        <v>480</v>
      </c>
      <c r="G1915" s="1" t="s">
        <v>5616</v>
      </c>
      <c r="H1915" t="s">
        <v>965</v>
      </c>
      <c r="J1915">
        <v>612300</v>
      </c>
      <c r="M1915" t="s">
        <v>1058</v>
      </c>
      <c r="R1915" t="s">
        <v>918</v>
      </c>
      <c r="S1915" t="s">
        <v>5640</v>
      </c>
      <c r="T1915" t="s">
        <v>5641</v>
      </c>
      <c r="V1915" t="s">
        <v>1478</v>
      </c>
      <c r="AE1915" t="s">
        <v>478</v>
      </c>
      <c r="AL1915" t="s">
        <v>919</v>
      </c>
      <c r="AM1915" t="s">
        <v>919</v>
      </c>
      <c r="AO1915" t="s">
        <v>480</v>
      </c>
      <c r="AP1915" t="s">
        <v>481</v>
      </c>
      <c r="BF1915" s="1" t="s">
        <v>1207</v>
      </c>
      <c r="BH1915" t="s">
        <v>1480</v>
      </c>
      <c r="BP1915" t="s">
        <v>1489</v>
      </c>
    </row>
    <row r="1916" spans="1:68" x14ac:dyDescent="0.25">
      <c r="A1916" t="s">
        <v>5713</v>
      </c>
      <c r="B1916" t="s">
        <v>474</v>
      </c>
      <c r="C1916" t="s">
        <v>4427</v>
      </c>
      <c r="E1916" t="s">
        <v>480</v>
      </c>
      <c r="G1916" s="1" t="s">
        <v>5616</v>
      </c>
      <c r="H1916" t="s">
        <v>961</v>
      </c>
      <c r="J1916">
        <v>612300</v>
      </c>
      <c r="M1916" t="s">
        <v>1058</v>
      </c>
      <c r="R1916" t="s">
        <v>918</v>
      </c>
      <c r="S1916" t="s">
        <v>5617</v>
      </c>
      <c r="T1916" t="s">
        <v>5618</v>
      </c>
      <c r="V1916" t="s">
        <v>1478</v>
      </c>
      <c r="AE1916" t="s">
        <v>478</v>
      </c>
      <c r="AL1916" t="s">
        <v>919</v>
      </c>
      <c r="AM1916" t="s">
        <v>919</v>
      </c>
      <c r="AO1916" t="s">
        <v>480</v>
      </c>
      <c r="AP1916" t="s">
        <v>481</v>
      </c>
      <c r="BF1916" s="1" t="s">
        <v>1207</v>
      </c>
      <c r="BH1916" t="s">
        <v>1480</v>
      </c>
      <c r="BP1916" t="s">
        <v>1489</v>
      </c>
    </row>
    <row r="1917" spans="1:68" x14ac:dyDescent="0.25">
      <c r="A1917" t="s">
        <v>5713</v>
      </c>
      <c r="B1917" t="s">
        <v>474</v>
      </c>
      <c r="C1917" t="s">
        <v>4427</v>
      </c>
      <c r="E1917" t="s">
        <v>480</v>
      </c>
      <c r="G1917" s="1" t="s">
        <v>5616</v>
      </c>
      <c r="H1917" t="s">
        <v>966</v>
      </c>
      <c r="J1917">
        <v>612300</v>
      </c>
      <c r="M1917" t="s">
        <v>1058</v>
      </c>
      <c r="R1917" t="s">
        <v>918</v>
      </c>
      <c r="S1917" t="s">
        <v>5627</v>
      </c>
      <c r="T1917" t="s">
        <v>3396</v>
      </c>
      <c r="V1917" t="s">
        <v>1478</v>
      </c>
      <c r="AE1917" t="s">
        <v>478</v>
      </c>
      <c r="AL1917" t="s">
        <v>919</v>
      </c>
      <c r="AM1917" t="s">
        <v>919</v>
      </c>
      <c r="AO1917" t="s">
        <v>480</v>
      </c>
      <c r="AP1917" t="s">
        <v>481</v>
      </c>
      <c r="BF1917" s="1" t="s">
        <v>1207</v>
      </c>
      <c r="BH1917" t="s">
        <v>1480</v>
      </c>
      <c r="BP1917" t="s">
        <v>1489</v>
      </c>
    </row>
    <row r="1918" spans="1:68" x14ac:dyDescent="0.25">
      <c r="A1918" t="s">
        <v>5713</v>
      </c>
      <c r="B1918" t="s">
        <v>474</v>
      </c>
      <c r="C1918" t="s">
        <v>4427</v>
      </c>
      <c r="E1918" t="s">
        <v>480</v>
      </c>
      <c r="G1918" s="1" t="s">
        <v>5616</v>
      </c>
      <c r="H1918" t="s">
        <v>967</v>
      </c>
      <c r="J1918">
        <v>612300</v>
      </c>
      <c r="M1918" t="s">
        <v>1058</v>
      </c>
      <c r="R1918" t="s">
        <v>918</v>
      </c>
      <c r="S1918" t="s">
        <v>5642</v>
      </c>
      <c r="T1918" t="s">
        <v>5643</v>
      </c>
      <c r="V1918" t="s">
        <v>1478</v>
      </c>
      <c r="AE1918" t="s">
        <v>478</v>
      </c>
      <c r="AL1918" t="s">
        <v>919</v>
      </c>
      <c r="AM1918" t="s">
        <v>919</v>
      </c>
      <c r="AO1918" t="s">
        <v>480</v>
      </c>
      <c r="AP1918" t="s">
        <v>481</v>
      </c>
      <c r="BF1918" s="1" t="s">
        <v>1207</v>
      </c>
      <c r="BH1918" t="s">
        <v>1480</v>
      </c>
      <c r="BP1918" t="s">
        <v>1489</v>
      </c>
    </row>
    <row r="1919" spans="1:68" x14ac:dyDescent="0.25">
      <c r="A1919" t="s">
        <v>5713</v>
      </c>
      <c r="B1919" t="s">
        <v>474</v>
      </c>
      <c r="C1919" t="s">
        <v>1486</v>
      </c>
      <c r="E1919" t="s">
        <v>475</v>
      </c>
      <c r="G1919" s="1" t="s">
        <v>5644</v>
      </c>
      <c r="H1919" t="s">
        <v>492</v>
      </c>
      <c r="J1919">
        <v>667121</v>
      </c>
      <c r="M1919">
        <v>1213</v>
      </c>
      <c r="R1919" t="s">
        <v>918</v>
      </c>
      <c r="S1919" t="s">
        <v>5645</v>
      </c>
      <c r="T1919" t="s">
        <v>1476</v>
      </c>
      <c r="V1919" t="s">
        <v>1478</v>
      </c>
      <c r="AE1919" t="s">
        <v>478</v>
      </c>
      <c r="AL1919" t="s">
        <v>919</v>
      </c>
      <c r="AM1919" t="s">
        <v>919</v>
      </c>
      <c r="AO1919" t="s">
        <v>480</v>
      </c>
      <c r="AP1919" t="s">
        <v>481</v>
      </c>
      <c r="BF1919" s="1" t="s">
        <v>1481</v>
      </c>
      <c r="BH1919" t="s">
        <v>1480</v>
      </c>
      <c r="BP1919" t="s">
        <v>1489</v>
      </c>
    </row>
    <row r="1920" spans="1:68" x14ac:dyDescent="0.25">
      <c r="A1920" t="s">
        <v>5713</v>
      </c>
      <c r="B1920" t="s">
        <v>474</v>
      </c>
      <c r="C1920" t="s">
        <v>1486</v>
      </c>
      <c r="E1920" t="s">
        <v>475</v>
      </c>
      <c r="G1920" s="1" t="s">
        <v>5644</v>
      </c>
      <c r="H1920" t="s">
        <v>537</v>
      </c>
      <c r="J1920">
        <v>667121</v>
      </c>
      <c r="M1920">
        <v>1213</v>
      </c>
      <c r="R1920" t="s">
        <v>918</v>
      </c>
      <c r="S1920" t="s">
        <v>5646</v>
      </c>
      <c r="T1920" t="s">
        <v>5647</v>
      </c>
      <c r="V1920" t="s">
        <v>1478</v>
      </c>
      <c r="AE1920" t="s">
        <v>478</v>
      </c>
      <c r="AL1920" t="s">
        <v>919</v>
      </c>
      <c r="AM1920" t="s">
        <v>919</v>
      </c>
      <c r="AO1920" t="s">
        <v>480</v>
      </c>
      <c r="AP1920" t="s">
        <v>481</v>
      </c>
      <c r="BF1920" s="1" t="s">
        <v>1481</v>
      </c>
      <c r="BH1920" t="s">
        <v>1480</v>
      </c>
      <c r="BP1920" t="s">
        <v>1489</v>
      </c>
    </row>
    <row r="1921" spans="1:68" x14ac:dyDescent="0.25">
      <c r="A1921" t="s">
        <v>5713</v>
      </c>
      <c r="B1921" t="s">
        <v>474</v>
      </c>
      <c r="C1921" t="s">
        <v>3163</v>
      </c>
      <c r="E1921" t="s">
        <v>475</v>
      </c>
      <c r="G1921" s="1" t="s">
        <v>5648</v>
      </c>
      <c r="H1921" t="s">
        <v>959</v>
      </c>
      <c r="J1921">
        <v>667120</v>
      </c>
      <c r="M1921">
        <v>1213</v>
      </c>
      <c r="R1921" t="s">
        <v>918</v>
      </c>
      <c r="S1921" t="s">
        <v>5649</v>
      </c>
      <c r="T1921" t="s">
        <v>5650</v>
      </c>
      <c r="V1921" t="s">
        <v>1478</v>
      </c>
      <c r="AE1921" t="s">
        <v>478</v>
      </c>
      <c r="AL1921" t="s">
        <v>919</v>
      </c>
      <c r="AM1921" t="s">
        <v>919</v>
      </c>
      <c r="AO1921" t="s">
        <v>480</v>
      </c>
      <c r="AP1921" t="s">
        <v>481</v>
      </c>
      <c r="BF1921" s="1" t="s">
        <v>5590</v>
      </c>
      <c r="BH1921" t="s">
        <v>1480</v>
      </c>
      <c r="BP1921" t="s">
        <v>1489</v>
      </c>
    </row>
    <row r="1922" spans="1:68" x14ac:dyDescent="0.25">
      <c r="A1922" t="s">
        <v>5713</v>
      </c>
      <c r="B1922" t="s">
        <v>474</v>
      </c>
      <c r="C1922" t="s">
        <v>2342</v>
      </c>
      <c r="E1922" t="s">
        <v>475</v>
      </c>
      <c r="G1922" s="1" t="s">
        <v>5651</v>
      </c>
      <c r="H1922" t="s">
        <v>959</v>
      </c>
      <c r="J1922">
        <v>667120</v>
      </c>
      <c r="M1922">
        <v>3311</v>
      </c>
      <c r="R1922" t="s">
        <v>918</v>
      </c>
      <c r="S1922" t="s">
        <v>5652</v>
      </c>
      <c r="T1922" t="s">
        <v>5653</v>
      </c>
      <c r="V1922" t="s">
        <v>1478</v>
      </c>
      <c r="AE1922" t="s">
        <v>478</v>
      </c>
      <c r="AL1922" t="s">
        <v>919</v>
      </c>
      <c r="AM1922" t="s">
        <v>919</v>
      </c>
      <c r="AO1922" t="s">
        <v>480</v>
      </c>
      <c r="AP1922" t="s">
        <v>481</v>
      </c>
      <c r="BF1922" s="1" t="s">
        <v>1218</v>
      </c>
      <c r="BH1922" t="s">
        <v>1480</v>
      </c>
      <c r="BP1922" t="s">
        <v>1489</v>
      </c>
    </row>
    <row r="1923" spans="1:68" x14ac:dyDescent="0.25">
      <c r="A1923" t="s">
        <v>5713</v>
      </c>
      <c r="B1923" t="s">
        <v>474</v>
      </c>
      <c r="C1923" t="s">
        <v>1655</v>
      </c>
      <c r="E1923" t="s">
        <v>475</v>
      </c>
      <c r="G1923" s="1" t="s">
        <v>5654</v>
      </c>
      <c r="H1923" t="s">
        <v>959</v>
      </c>
      <c r="J1923">
        <v>667121</v>
      </c>
      <c r="M1923">
        <v>1611</v>
      </c>
      <c r="R1923" t="s">
        <v>918</v>
      </c>
      <c r="S1923" t="s">
        <v>3876</v>
      </c>
      <c r="T1923" t="s">
        <v>3877</v>
      </c>
      <c r="V1923" t="s">
        <v>1478</v>
      </c>
      <c r="AE1923" t="s">
        <v>478</v>
      </c>
      <c r="AL1923" t="s">
        <v>919</v>
      </c>
      <c r="AM1923" t="s">
        <v>919</v>
      </c>
      <c r="AO1923" t="s">
        <v>480</v>
      </c>
      <c r="AP1923" t="s">
        <v>481</v>
      </c>
      <c r="BF1923" s="1" t="s">
        <v>5602</v>
      </c>
      <c r="BH1923" t="s">
        <v>1480</v>
      </c>
      <c r="BP1923" t="s">
        <v>1489</v>
      </c>
    </row>
    <row r="1924" spans="1:68" x14ac:dyDescent="0.25">
      <c r="A1924" t="s">
        <v>5713</v>
      </c>
      <c r="B1924" t="s">
        <v>474</v>
      </c>
      <c r="C1924" t="s">
        <v>1655</v>
      </c>
      <c r="E1924" t="s">
        <v>475</v>
      </c>
      <c r="G1924" s="1" t="s">
        <v>5654</v>
      </c>
      <c r="H1924" t="s">
        <v>492</v>
      </c>
      <c r="J1924">
        <v>667121</v>
      </c>
      <c r="M1924">
        <v>1611</v>
      </c>
      <c r="R1924" t="s">
        <v>918</v>
      </c>
      <c r="S1924" t="s">
        <v>5655</v>
      </c>
      <c r="T1924" t="s">
        <v>5656</v>
      </c>
      <c r="V1924" t="s">
        <v>1478</v>
      </c>
      <c r="AE1924" t="s">
        <v>478</v>
      </c>
      <c r="AL1924" t="s">
        <v>919</v>
      </c>
      <c r="AM1924" t="s">
        <v>919</v>
      </c>
      <c r="AO1924" t="s">
        <v>480</v>
      </c>
      <c r="AP1924" t="s">
        <v>481</v>
      </c>
      <c r="BF1924" s="1" t="s">
        <v>5602</v>
      </c>
      <c r="BH1924" t="s">
        <v>1480</v>
      </c>
      <c r="BP1924" t="s">
        <v>1489</v>
      </c>
    </row>
    <row r="1925" spans="1:68" x14ac:dyDescent="0.25">
      <c r="A1925" t="s">
        <v>5713</v>
      </c>
      <c r="B1925" t="s">
        <v>474</v>
      </c>
      <c r="C1925" t="s">
        <v>1486</v>
      </c>
      <c r="E1925" t="s">
        <v>475</v>
      </c>
      <c r="G1925" s="1" t="s">
        <v>5657</v>
      </c>
      <c r="H1925" t="s">
        <v>500</v>
      </c>
      <c r="J1925">
        <v>667121</v>
      </c>
      <c r="M1925">
        <v>1213</v>
      </c>
      <c r="R1925" t="s">
        <v>918</v>
      </c>
      <c r="S1925" t="s">
        <v>991</v>
      </c>
      <c r="T1925" t="s">
        <v>1221</v>
      </c>
      <c r="V1925" t="s">
        <v>5658</v>
      </c>
      <c r="AE1925" t="s">
        <v>478</v>
      </c>
      <c r="AL1925" t="s">
        <v>919</v>
      </c>
      <c r="AM1925" t="s">
        <v>919</v>
      </c>
      <c r="AO1925" t="s">
        <v>480</v>
      </c>
      <c r="AP1925" t="s">
        <v>481</v>
      </c>
      <c r="BF1925" s="1" t="s">
        <v>1481</v>
      </c>
      <c r="BH1925" t="s">
        <v>181</v>
      </c>
      <c r="BP1925" t="s">
        <v>1489</v>
      </c>
    </row>
    <row r="1926" spans="1:68" x14ac:dyDescent="0.25">
      <c r="A1926" t="s">
        <v>5713</v>
      </c>
      <c r="B1926" t="s">
        <v>474</v>
      </c>
      <c r="C1926" t="s">
        <v>1486</v>
      </c>
      <c r="E1926" t="s">
        <v>475</v>
      </c>
      <c r="G1926" s="1" t="s">
        <v>5657</v>
      </c>
      <c r="H1926" t="s">
        <v>546</v>
      </c>
      <c r="J1926">
        <v>667121</v>
      </c>
      <c r="M1926">
        <v>1213</v>
      </c>
      <c r="R1926" t="s">
        <v>918</v>
      </c>
      <c r="S1926" t="s">
        <v>991</v>
      </c>
      <c r="T1926" t="s">
        <v>1182</v>
      </c>
      <c r="V1926" t="s">
        <v>5659</v>
      </c>
      <c r="AE1926" t="s">
        <v>478</v>
      </c>
      <c r="AL1926" t="s">
        <v>919</v>
      </c>
      <c r="AM1926" t="s">
        <v>919</v>
      </c>
      <c r="AO1926" t="s">
        <v>480</v>
      </c>
      <c r="AP1926" t="s">
        <v>481</v>
      </c>
      <c r="BF1926" s="1" t="s">
        <v>1481</v>
      </c>
      <c r="BH1926" t="s">
        <v>181</v>
      </c>
      <c r="BP1926" t="s">
        <v>1489</v>
      </c>
    </row>
    <row r="1927" spans="1:68" x14ac:dyDescent="0.25">
      <c r="AE1927" t="s">
        <v>478</v>
      </c>
      <c r="BF1927" s="1"/>
    </row>
    <row r="1928" spans="1:68" x14ac:dyDescent="0.25">
      <c r="AE1928" t="s">
        <v>478</v>
      </c>
      <c r="BF1928" s="1"/>
    </row>
    <row r="1929" spans="1:68" x14ac:dyDescent="0.25">
      <c r="BF1929" s="1"/>
    </row>
    <row r="1930" spans="1:68" x14ac:dyDescent="0.25">
      <c r="BF1930" s="1"/>
    </row>
    <row r="1931" spans="1:68" x14ac:dyDescent="0.25">
      <c r="BF1931" s="1"/>
    </row>
    <row r="1932" spans="1:68" x14ac:dyDescent="0.25">
      <c r="BF1932" s="1"/>
    </row>
    <row r="1933" spans="1:68" x14ac:dyDescent="0.25">
      <c r="BF1933" s="1"/>
    </row>
    <row r="1934" spans="1:68" x14ac:dyDescent="0.25">
      <c r="BF1934" s="1"/>
    </row>
    <row r="1935" spans="1:68" x14ac:dyDescent="0.25">
      <c r="BF1935" s="1"/>
    </row>
    <row r="1936" spans="1:68" x14ac:dyDescent="0.25">
      <c r="BF1936" s="1"/>
    </row>
    <row r="1937" spans="58:58" x14ac:dyDescent="0.25">
      <c r="BF1937" s="1"/>
    </row>
    <row r="1938" spans="58:58" x14ac:dyDescent="0.25">
      <c r="BF1938" s="1"/>
    </row>
    <row r="1939" spans="58:58" x14ac:dyDescent="0.25">
      <c r="BF1939" s="1"/>
    </row>
    <row r="1940" spans="58:58" x14ac:dyDescent="0.25">
      <c r="BF1940" s="1"/>
    </row>
    <row r="1941" spans="58:58" x14ac:dyDescent="0.25">
      <c r="BF1941" s="1"/>
    </row>
    <row r="1942" spans="58:58" x14ac:dyDescent="0.25">
      <c r="BF1942" s="1"/>
    </row>
    <row r="1943" spans="58:58" x14ac:dyDescent="0.25">
      <c r="BF1943" s="1"/>
    </row>
    <row r="1944" spans="58:58" x14ac:dyDescent="0.25">
      <c r="BF1944" s="1"/>
    </row>
    <row r="1945" spans="58:58" x14ac:dyDescent="0.25">
      <c r="BF1945" s="1"/>
    </row>
    <row r="1946" spans="58:58" x14ac:dyDescent="0.25">
      <c r="BF1946" s="1"/>
    </row>
    <row r="1947" spans="58:58" x14ac:dyDescent="0.25">
      <c r="BF1947" s="1"/>
    </row>
    <row r="1948" spans="58:58" x14ac:dyDescent="0.25">
      <c r="BF1948" s="1"/>
    </row>
    <row r="1949" spans="58:58" x14ac:dyDescent="0.25">
      <c r="BF1949" s="1"/>
    </row>
    <row r="1950" spans="58:58" x14ac:dyDescent="0.25">
      <c r="BF1950" s="1"/>
    </row>
    <row r="1951" spans="58:58" x14ac:dyDescent="0.25">
      <c r="BF1951" s="1"/>
    </row>
    <row r="1952" spans="58:58" x14ac:dyDescent="0.25">
      <c r="BF1952" s="1"/>
    </row>
    <row r="1953" spans="58:58" x14ac:dyDescent="0.25">
      <c r="BF1953" s="1"/>
    </row>
    <row r="1954" spans="58:58" x14ac:dyDescent="0.25">
      <c r="BF1954" s="1"/>
    </row>
    <row r="1955" spans="58:58" x14ac:dyDescent="0.25">
      <c r="BF1955" s="1"/>
    </row>
    <row r="1956" spans="58:58" x14ac:dyDescent="0.25">
      <c r="BF1956" s="1"/>
    </row>
    <row r="1957" spans="58:58" x14ac:dyDescent="0.25">
      <c r="BF1957" s="1"/>
    </row>
    <row r="1958" spans="58:58" x14ac:dyDescent="0.25">
      <c r="BF1958" s="1"/>
    </row>
    <row r="1959" spans="58:58" x14ac:dyDescent="0.25">
      <c r="BF1959" s="1"/>
    </row>
    <row r="1960" spans="58:58" x14ac:dyDescent="0.25">
      <c r="BF1960" s="1"/>
    </row>
    <row r="1961" spans="58:58" x14ac:dyDescent="0.25">
      <c r="BF1961" s="1"/>
    </row>
    <row r="1962" spans="58:58" x14ac:dyDescent="0.25">
      <c r="BF1962" s="1"/>
    </row>
    <row r="1963" spans="58:58" x14ac:dyDescent="0.25">
      <c r="BF1963" s="1"/>
    </row>
    <row r="1964" spans="58:58" x14ac:dyDescent="0.25">
      <c r="BF1964" s="1"/>
    </row>
    <row r="1965" spans="58:58" x14ac:dyDescent="0.25">
      <c r="BF1965" s="1"/>
    </row>
    <row r="1966" spans="58:58" x14ac:dyDescent="0.25">
      <c r="BF1966" s="1"/>
    </row>
    <row r="1967" spans="58:58" x14ac:dyDescent="0.25">
      <c r="BF1967" s="1"/>
    </row>
    <row r="1968" spans="58:58" x14ac:dyDescent="0.25">
      <c r="BF1968" s="1"/>
    </row>
    <row r="1969" spans="58:58" x14ac:dyDescent="0.25">
      <c r="BF1969" s="1"/>
    </row>
    <row r="1970" spans="58:58" x14ac:dyDescent="0.25">
      <c r="BF1970" s="1"/>
    </row>
    <row r="1971" spans="58:58" x14ac:dyDescent="0.25">
      <c r="BF1971" s="1"/>
    </row>
    <row r="1972" spans="58:58" x14ac:dyDescent="0.25">
      <c r="BF1972" s="1"/>
    </row>
    <row r="1973" spans="58:58" x14ac:dyDescent="0.25">
      <c r="BF1973" s="1"/>
    </row>
    <row r="1974" spans="58:58" x14ac:dyDescent="0.25">
      <c r="BF1974" s="1"/>
    </row>
    <row r="1975" spans="58:58" x14ac:dyDescent="0.25">
      <c r="BF1975" s="1"/>
    </row>
    <row r="1976" spans="58:58" x14ac:dyDescent="0.25">
      <c r="BF1976" s="1"/>
    </row>
    <row r="1977" spans="58:58" x14ac:dyDescent="0.25">
      <c r="BF1977" s="1"/>
    </row>
    <row r="1978" spans="58:58" x14ac:dyDescent="0.25">
      <c r="BF1978" s="1"/>
    </row>
    <row r="1979" spans="58:58" x14ac:dyDescent="0.25">
      <c r="BF1979" s="1"/>
    </row>
    <row r="1980" spans="58:58" x14ac:dyDescent="0.25">
      <c r="BF1980" s="1"/>
    </row>
    <row r="1981" spans="58:58" x14ac:dyDescent="0.25">
      <c r="BF1981" s="1"/>
    </row>
    <row r="1982" spans="58:58" x14ac:dyDescent="0.25">
      <c r="BF1982" s="1"/>
    </row>
    <row r="1983" spans="58:58" x14ac:dyDescent="0.25">
      <c r="BF1983" s="1"/>
    </row>
    <row r="1984" spans="58:58" x14ac:dyDescent="0.25">
      <c r="BF1984" s="1"/>
    </row>
    <row r="1985" spans="58:58" x14ac:dyDescent="0.25">
      <c r="BF1985" s="1"/>
    </row>
    <row r="1986" spans="58:58" x14ac:dyDescent="0.25">
      <c r="BF1986" s="1"/>
    </row>
    <row r="1987" spans="58:58" x14ac:dyDescent="0.25">
      <c r="BF1987" s="1"/>
    </row>
    <row r="1988" spans="58:58" x14ac:dyDescent="0.25">
      <c r="BF1988" s="1"/>
    </row>
    <row r="1989" spans="58:58" x14ac:dyDescent="0.25">
      <c r="BF1989" s="1"/>
    </row>
    <row r="1990" spans="58:58" x14ac:dyDescent="0.25">
      <c r="BF1990" s="1"/>
    </row>
    <row r="1991" spans="58:58" x14ac:dyDescent="0.25">
      <c r="BF1991" s="1"/>
    </row>
    <row r="1992" spans="58:58" x14ac:dyDescent="0.25">
      <c r="BF1992" s="1"/>
    </row>
    <row r="1993" spans="58:58" x14ac:dyDescent="0.25">
      <c r="BF1993" s="1"/>
    </row>
    <row r="1994" spans="58:58" x14ac:dyDescent="0.25">
      <c r="BF1994" s="1"/>
    </row>
    <row r="1995" spans="58:58" x14ac:dyDescent="0.25">
      <c r="BF1995" s="1"/>
    </row>
    <row r="1996" spans="58:58" x14ac:dyDescent="0.25">
      <c r="BF1996" s="1"/>
    </row>
    <row r="1997" spans="58:58" x14ac:dyDescent="0.25">
      <c r="BF1997" s="1"/>
    </row>
    <row r="1998" spans="58:58" x14ac:dyDescent="0.25">
      <c r="BF1998" s="1"/>
    </row>
    <row r="1999" spans="58:58" x14ac:dyDescent="0.25">
      <c r="BF1999" s="1"/>
    </row>
    <row r="2000" spans="58:58" x14ac:dyDescent="0.25">
      <c r="BF2000" s="1"/>
    </row>
    <row r="2001" spans="58:58" x14ac:dyDescent="0.25">
      <c r="BF2001" s="1"/>
    </row>
    <row r="2002" spans="58:58" x14ac:dyDescent="0.25">
      <c r="BF2002" s="1"/>
    </row>
    <row r="2003" spans="58:58" x14ac:dyDescent="0.25">
      <c r="BF2003" s="1"/>
    </row>
    <row r="2004" spans="58:58" x14ac:dyDescent="0.25">
      <c r="BF2004" s="1"/>
    </row>
    <row r="2005" spans="58:58" x14ac:dyDescent="0.25">
      <c r="BF2005" s="1"/>
    </row>
    <row r="2006" spans="58:58" x14ac:dyDescent="0.25">
      <c r="BF2006" s="1"/>
    </row>
    <row r="2007" spans="58:58" x14ac:dyDescent="0.25">
      <c r="BF2007" s="1"/>
    </row>
    <row r="2008" spans="58:58" x14ac:dyDescent="0.25">
      <c r="BF2008" s="1"/>
    </row>
    <row r="2009" spans="58:58" x14ac:dyDescent="0.25">
      <c r="BF2009" s="1"/>
    </row>
    <row r="2010" spans="58:58" x14ac:dyDescent="0.25">
      <c r="BF2010" s="1"/>
    </row>
    <row r="2011" spans="58:58" x14ac:dyDescent="0.25">
      <c r="BF2011" s="1"/>
    </row>
    <row r="2012" spans="58:58" x14ac:dyDescent="0.25">
      <c r="BF2012" s="1"/>
    </row>
    <row r="2013" spans="58:58" x14ac:dyDescent="0.25">
      <c r="BF2013" s="1"/>
    </row>
    <row r="2014" spans="58:58" x14ac:dyDescent="0.25">
      <c r="BF2014" s="1"/>
    </row>
    <row r="2015" spans="58:58" x14ac:dyDescent="0.25">
      <c r="BF2015" s="1"/>
    </row>
    <row r="2016" spans="58:58" x14ac:dyDescent="0.25">
      <c r="BF2016" s="1"/>
    </row>
    <row r="2017" spans="58:58" x14ac:dyDescent="0.25">
      <c r="BF2017" s="1"/>
    </row>
    <row r="2018" spans="58:58" x14ac:dyDescent="0.25">
      <c r="BF2018" s="1"/>
    </row>
    <row r="2019" spans="58:58" x14ac:dyDescent="0.25">
      <c r="BF2019" s="1"/>
    </row>
    <row r="2020" spans="58:58" x14ac:dyDescent="0.25">
      <c r="BF2020" s="1"/>
    </row>
    <row r="2021" spans="58:58" x14ac:dyDescent="0.25">
      <c r="BF2021" s="1"/>
    </row>
    <row r="2022" spans="58:58" x14ac:dyDescent="0.25">
      <c r="BF2022" s="1"/>
    </row>
    <row r="2023" spans="58:58" x14ac:dyDescent="0.25">
      <c r="BF2023" s="1"/>
    </row>
    <row r="2024" spans="58:58" x14ac:dyDescent="0.25">
      <c r="BF2024" s="1"/>
    </row>
    <row r="2025" spans="58:58" x14ac:dyDescent="0.25">
      <c r="BF2025" s="1"/>
    </row>
    <row r="2026" spans="58:58" x14ac:dyDescent="0.25">
      <c r="BF2026" s="1"/>
    </row>
    <row r="2027" spans="58:58" x14ac:dyDescent="0.25">
      <c r="BF2027" s="1"/>
    </row>
    <row r="2028" spans="58:58" x14ac:dyDescent="0.25">
      <c r="BF2028" s="1"/>
    </row>
    <row r="2029" spans="58:58" x14ac:dyDescent="0.25">
      <c r="BF2029" s="1"/>
    </row>
    <row r="2030" spans="58:58" x14ac:dyDescent="0.25">
      <c r="BF2030" s="1"/>
    </row>
    <row r="2031" spans="58:58" x14ac:dyDescent="0.25">
      <c r="BF2031" s="1"/>
    </row>
    <row r="2032" spans="58:58" x14ac:dyDescent="0.25">
      <c r="BF2032" s="1"/>
    </row>
    <row r="2033" spans="58:58" x14ac:dyDescent="0.25">
      <c r="BF2033" s="1"/>
    </row>
    <row r="2034" spans="58:58" x14ac:dyDescent="0.25">
      <c r="BF2034" s="1"/>
    </row>
    <row r="2035" spans="58:58" x14ac:dyDescent="0.25">
      <c r="BF2035" s="1"/>
    </row>
    <row r="2036" spans="58:58" x14ac:dyDescent="0.25">
      <c r="BF2036" s="1"/>
    </row>
    <row r="2037" spans="58:58" x14ac:dyDescent="0.25">
      <c r="BF2037" s="1"/>
    </row>
    <row r="2038" spans="58:58" x14ac:dyDescent="0.25">
      <c r="BF2038" s="1"/>
    </row>
    <row r="2039" spans="58:58" x14ac:dyDescent="0.25">
      <c r="BF2039" s="1"/>
    </row>
    <row r="2040" spans="58:58" x14ac:dyDescent="0.25">
      <c r="BF2040" s="1"/>
    </row>
    <row r="2041" spans="58:58" x14ac:dyDescent="0.25">
      <c r="BF2041" s="1"/>
    </row>
    <row r="2042" spans="58:58" x14ac:dyDescent="0.25">
      <c r="BF2042" s="1"/>
    </row>
    <row r="2043" spans="58:58" x14ac:dyDescent="0.25">
      <c r="BF2043" s="1"/>
    </row>
    <row r="2044" spans="58:58" x14ac:dyDescent="0.25">
      <c r="BF2044" s="1"/>
    </row>
    <row r="2045" spans="58:58" x14ac:dyDescent="0.25">
      <c r="BF2045" s="1"/>
    </row>
    <row r="2046" spans="58:58" x14ac:dyDescent="0.25">
      <c r="BF2046" s="1"/>
    </row>
    <row r="2047" spans="58:58" x14ac:dyDescent="0.25">
      <c r="BF2047" s="1"/>
    </row>
    <row r="2048" spans="58:58" x14ac:dyDescent="0.25">
      <c r="BF2048" s="1"/>
    </row>
    <row r="2049" spans="58:58" x14ac:dyDescent="0.25">
      <c r="BF2049" s="1"/>
    </row>
    <row r="2050" spans="58:58" x14ac:dyDescent="0.25">
      <c r="BF2050" s="1"/>
    </row>
    <row r="2051" spans="58:58" x14ac:dyDescent="0.25">
      <c r="BF2051" s="1"/>
    </row>
    <row r="2052" spans="58:58" x14ac:dyDescent="0.25">
      <c r="BF2052" s="1"/>
    </row>
    <row r="2053" spans="58:58" x14ac:dyDescent="0.25">
      <c r="BF2053" s="1"/>
    </row>
    <row r="2054" spans="58:58" x14ac:dyDescent="0.25">
      <c r="BF2054" s="1"/>
    </row>
    <row r="2055" spans="58:58" x14ac:dyDescent="0.25">
      <c r="BF2055" s="1"/>
    </row>
    <row r="2056" spans="58:58" x14ac:dyDescent="0.25">
      <c r="BF2056" s="1"/>
    </row>
    <row r="2057" spans="58:58" x14ac:dyDescent="0.25">
      <c r="BF2057" s="1"/>
    </row>
    <row r="2058" spans="58:58" x14ac:dyDescent="0.25">
      <c r="BF2058" s="1"/>
    </row>
    <row r="2059" spans="58:58" x14ac:dyDescent="0.25">
      <c r="BF2059" s="1"/>
    </row>
    <row r="2060" spans="58:58" x14ac:dyDescent="0.25">
      <c r="BF2060" s="1"/>
    </row>
    <row r="2061" spans="58:58" x14ac:dyDescent="0.25">
      <c r="BF2061" s="1"/>
    </row>
    <row r="2062" spans="58:58" x14ac:dyDescent="0.25">
      <c r="BF2062" s="1"/>
    </row>
    <row r="2063" spans="58:58" x14ac:dyDescent="0.25">
      <c r="BF2063" s="1"/>
    </row>
    <row r="2064" spans="58:58" x14ac:dyDescent="0.25">
      <c r="BF2064" s="1"/>
    </row>
    <row r="2065" spans="58:58" x14ac:dyDescent="0.25">
      <c r="BF2065" s="1"/>
    </row>
    <row r="2066" spans="58:58" x14ac:dyDescent="0.25">
      <c r="BF2066" s="1"/>
    </row>
    <row r="2067" spans="58:58" x14ac:dyDescent="0.25">
      <c r="BF2067" s="1"/>
    </row>
    <row r="2068" spans="58:58" x14ac:dyDescent="0.25">
      <c r="BF2068" s="1"/>
    </row>
    <row r="2069" spans="58:58" x14ac:dyDescent="0.25">
      <c r="BF2069" s="1"/>
    </row>
    <row r="2070" spans="58:58" x14ac:dyDescent="0.25">
      <c r="BF2070" s="1"/>
    </row>
    <row r="2071" spans="58:58" x14ac:dyDescent="0.25">
      <c r="BF2071" s="1"/>
    </row>
    <row r="2072" spans="58:58" x14ac:dyDescent="0.25">
      <c r="BF2072" s="1"/>
    </row>
    <row r="2073" spans="58:58" x14ac:dyDescent="0.25">
      <c r="BF2073" s="1"/>
    </row>
    <row r="2074" spans="58:58" x14ac:dyDescent="0.25">
      <c r="BF2074" s="1"/>
    </row>
    <row r="2075" spans="58:58" x14ac:dyDescent="0.25">
      <c r="BF2075" s="1"/>
    </row>
    <row r="2076" spans="58:58" x14ac:dyDescent="0.25">
      <c r="BF2076" s="1"/>
    </row>
    <row r="2077" spans="58:58" x14ac:dyDescent="0.25">
      <c r="BF2077" s="1"/>
    </row>
    <row r="2078" spans="58:58" x14ac:dyDescent="0.25">
      <c r="BF2078" s="1"/>
    </row>
    <row r="2079" spans="58:58" x14ac:dyDescent="0.25">
      <c r="BF2079" s="1"/>
    </row>
    <row r="2080" spans="58:58" x14ac:dyDescent="0.25">
      <c r="BF2080" s="1"/>
    </row>
    <row r="2081" spans="58:58" x14ac:dyDescent="0.25">
      <c r="BF2081" s="1"/>
    </row>
    <row r="2082" spans="58:58" x14ac:dyDescent="0.25">
      <c r="BF2082" s="1"/>
    </row>
    <row r="2083" spans="58:58" x14ac:dyDescent="0.25">
      <c r="BF2083" s="1"/>
    </row>
    <row r="2084" spans="58:58" x14ac:dyDescent="0.25">
      <c r="BF2084" s="1"/>
    </row>
    <row r="2085" spans="58:58" x14ac:dyDescent="0.25">
      <c r="BF2085" s="1"/>
    </row>
    <row r="2086" spans="58:58" x14ac:dyDescent="0.25">
      <c r="BF2086" s="1"/>
    </row>
    <row r="2087" spans="58:58" x14ac:dyDescent="0.25">
      <c r="BF2087" s="1"/>
    </row>
    <row r="2088" spans="58:58" x14ac:dyDescent="0.25">
      <c r="BF2088" s="1"/>
    </row>
    <row r="2089" spans="58:58" x14ac:dyDescent="0.25">
      <c r="BF2089" s="1"/>
    </row>
    <row r="2090" spans="58:58" x14ac:dyDescent="0.25">
      <c r="BF2090" s="1"/>
    </row>
    <row r="2091" spans="58:58" x14ac:dyDescent="0.25">
      <c r="BF2091" s="1"/>
    </row>
    <row r="2092" spans="58:58" x14ac:dyDescent="0.25">
      <c r="BF2092" s="1"/>
    </row>
    <row r="2093" spans="58:58" x14ac:dyDescent="0.25">
      <c r="BF2093" s="1"/>
    </row>
    <row r="2094" spans="58:58" x14ac:dyDescent="0.25">
      <c r="BF2094" s="1"/>
    </row>
    <row r="2095" spans="58:58" x14ac:dyDescent="0.25">
      <c r="BF2095" s="1"/>
    </row>
    <row r="2096" spans="58:58" x14ac:dyDescent="0.25">
      <c r="BF2096" s="1"/>
    </row>
    <row r="2097" spans="58:58" x14ac:dyDescent="0.25">
      <c r="BF2097" s="1"/>
    </row>
    <row r="2098" spans="58:58" x14ac:dyDescent="0.25">
      <c r="BF2098" s="1"/>
    </row>
    <row r="2099" spans="58:58" x14ac:dyDescent="0.25">
      <c r="BF2099" s="1"/>
    </row>
    <row r="2100" spans="58:58" x14ac:dyDescent="0.25">
      <c r="BF2100" s="1"/>
    </row>
    <row r="2101" spans="58:58" x14ac:dyDescent="0.25">
      <c r="BF2101" s="1"/>
    </row>
    <row r="2102" spans="58:58" x14ac:dyDescent="0.25">
      <c r="BF2102" s="1"/>
    </row>
    <row r="2103" spans="58:58" x14ac:dyDescent="0.25">
      <c r="BF2103" s="1"/>
    </row>
    <row r="2104" spans="58:58" x14ac:dyDescent="0.25">
      <c r="BF2104" s="1"/>
    </row>
    <row r="2105" spans="58:58" x14ac:dyDescent="0.25">
      <c r="BF2105" s="1"/>
    </row>
    <row r="2106" spans="58:58" x14ac:dyDescent="0.25">
      <c r="BF2106" s="1"/>
    </row>
    <row r="2107" spans="58:58" x14ac:dyDescent="0.25">
      <c r="BF2107" s="1"/>
    </row>
    <row r="2108" spans="58:58" x14ac:dyDescent="0.25">
      <c r="BF2108" s="1"/>
    </row>
    <row r="2109" spans="58:58" x14ac:dyDescent="0.25">
      <c r="BF2109" s="1"/>
    </row>
    <row r="2110" spans="58:58" x14ac:dyDescent="0.25">
      <c r="BF2110" s="1"/>
    </row>
    <row r="2111" spans="58:58" x14ac:dyDescent="0.25">
      <c r="BF2111" s="1"/>
    </row>
    <row r="2112" spans="58:58" x14ac:dyDescent="0.25">
      <c r="BF2112" s="1"/>
    </row>
    <row r="2113" spans="58:58" x14ac:dyDescent="0.25">
      <c r="BF2113" s="1"/>
    </row>
    <row r="2114" spans="58:58" x14ac:dyDescent="0.25">
      <c r="BF2114" s="1"/>
    </row>
    <row r="2115" spans="58:58" x14ac:dyDescent="0.25">
      <c r="BF2115" s="1"/>
    </row>
    <row r="2116" spans="58:58" x14ac:dyDescent="0.25">
      <c r="BF2116" s="1"/>
    </row>
    <row r="2117" spans="58:58" x14ac:dyDescent="0.25">
      <c r="BF2117" s="1"/>
    </row>
    <row r="2118" spans="58:58" x14ac:dyDescent="0.25">
      <c r="BF2118" s="1"/>
    </row>
    <row r="2119" spans="58:58" x14ac:dyDescent="0.25">
      <c r="BF2119" s="1"/>
    </row>
    <row r="2120" spans="58:58" x14ac:dyDescent="0.25">
      <c r="BF2120" s="1"/>
    </row>
    <row r="2121" spans="58:58" x14ac:dyDescent="0.25">
      <c r="BF2121" s="1"/>
    </row>
    <row r="2122" spans="58:58" x14ac:dyDescent="0.25">
      <c r="BF2122" s="1"/>
    </row>
    <row r="2123" spans="58:58" x14ac:dyDescent="0.25">
      <c r="BF2123" s="1"/>
    </row>
    <row r="2124" spans="58:58" x14ac:dyDescent="0.25">
      <c r="BF2124" s="1"/>
    </row>
    <row r="2125" spans="58:58" x14ac:dyDescent="0.25">
      <c r="BF2125" s="1"/>
    </row>
    <row r="2126" spans="58:58" x14ac:dyDescent="0.25">
      <c r="BF2126" s="1"/>
    </row>
    <row r="2127" spans="58:58" x14ac:dyDescent="0.25">
      <c r="BF2127" s="1"/>
    </row>
    <row r="2128" spans="58:58" x14ac:dyDescent="0.25">
      <c r="BF2128" s="1"/>
    </row>
    <row r="2129" spans="58:58" x14ac:dyDescent="0.25">
      <c r="BF2129" s="1"/>
    </row>
    <row r="2130" spans="58:58" x14ac:dyDescent="0.25">
      <c r="BF2130" s="1"/>
    </row>
    <row r="2131" spans="58:58" x14ac:dyDescent="0.25">
      <c r="BF2131" s="1"/>
    </row>
    <row r="2132" spans="58:58" x14ac:dyDescent="0.25">
      <c r="BF2132" s="1"/>
    </row>
    <row r="2133" spans="58:58" x14ac:dyDescent="0.25">
      <c r="BF2133" s="1"/>
    </row>
    <row r="2134" spans="58:58" x14ac:dyDescent="0.25">
      <c r="BF2134" s="1"/>
    </row>
    <row r="2135" spans="58:58" x14ac:dyDescent="0.25">
      <c r="BF2135" s="1"/>
    </row>
    <row r="2136" spans="58:58" x14ac:dyDescent="0.25">
      <c r="BF2136" s="1"/>
    </row>
    <row r="2137" spans="58:58" x14ac:dyDescent="0.25">
      <c r="BF2137" s="1"/>
    </row>
    <row r="2138" spans="58:58" x14ac:dyDescent="0.25">
      <c r="BF2138" s="1"/>
    </row>
    <row r="2139" spans="58:58" x14ac:dyDescent="0.25">
      <c r="BF2139" s="1"/>
    </row>
    <row r="2140" spans="58:58" x14ac:dyDescent="0.25">
      <c r="BF2140" s="1"/>
    </row>
    <row r="2141" spans="58:58" x14ac:dyDescent="0.25">
      <c r="BF2141" s="1"/>
    </row>
    <row r="2142" spans="58:58" x14ac:dyDescent="0.25">
      <c r="BF2142" s="1"/>
    </row>
    <row r="2143" spans="58:58" x14ac:dyDescent="0.25">
      <c r="BF2143" s="1"/>
    </row>
    <row r="2144" spans="58:58" x14ac:dyDescent="0.25">
      <c r="BF2144" s="1"/>
    </row>
    <row r="2145" spans="58:58" x14ac:dyDescent="0.25">
      <c r="BF2145" s="1"/>
    </row>
    <row r="2146" spans="58:58" x14ac:dyDescent="0.25">
      <c r="BF2146" s="1"/>
    </row>
    <row r="2147" spans="58:58" x14ac:dyDescent="0.25">
      <c r="BF2147" s="1"/>
    </row>
    <row r="2148" spans="58:58" x14ac:dyDescent="0.25">
      <c r="BF2148" s="1"/>
    </row>
    <row r="2149" spans="58:58" x14ac:dyDescent="0.25">
      <c r="BF2149" s="1"/>
    </row>
    <row r="2150" spans="58:58" x14ac:dyDescent="0.25">
      <c r="BF2150" s="1"/>
    </row>
    <row r="2151" spans="58:58" x14ac:dyDescent="0.25">
      <c r="BF2151" s="1"/>
    </row>
    <row r="2152" spans="58:58" x14ac:dyDescent="0.25">
      <c r="BF2152" s="1"/>
    </row>
    <row r="2153" spans="58:58" x14ac:dyDescent="0.25">
      <c r="BF2153" s="1"/>
    </row>
    <row r="2154" spans="58:58" x14ac:dyDescent="0.25">
      <c r="BF2154" s="1"/>
    </row>
    <row r="2155" spans="58:58" x14ac:dyDescent="0.25">
      <c r="BF2155" s="1"/>
    </row>
    <row r="2156" spans="58:58" x14ac:dyDescent="0.25">
      <c r="BF2156" s="1"/>
    </row>
    <row r="2157" spans="58:58" x14ac:dyDescent="0.25">
      <c r="BF2157" s="1"/>
    </row>
    <row r="2158" spans="58:58" x14ac:dyDescent="0.25">
      <c r="BF2158" s="1"/>
    </row>
    <row r="2159" spans="58:58" x14ac:dyDescent="0.25">
      <c r="BF2159" s="1"/>
    </row>
    <row r="2160" spans="58:58" x14ac:dyDescent="0.25">
      <c r="BF2160" s="1"/>
    </row>
    <row r="2161" spans="58:58" x14ac:dyDescent="0.25">
      <c r="BF2161" s="1"/>
    </row>
    <row r="2162" spans="58:58" x14ac:dyDescent="0.25">
      <c r="BF2162" s="1"/>
    </row>
    <row r="2163" spans="58:58" x14ac:dyDescent="0.25">
      <c r="BF2163" s="1"/>
    </row>
    <row r="2164" spans="58:58" x14ac:dyDescent="0.25">
      <c r="BF2164" s="1"/>
    </row>
    <row r="2165" spans="58:58" x14ac:dyDescent="0.25">
      <c r="BF2165" s="1"/>
    </row>
    <row r="2166" spans="58:58" x14ac:dyDescent="0.25">
      <c r="BF2166" s="1"/>
    </row>
    <row r="2167" spans="58:58" x14ac:dyDescent="0.25">
      <c r="BF2167" s="1"/>
    </row>
    <row r="2168" spans="58:58" x14ac:dyDescent="0.25">
      <c r="BF2168" s="1"/>
    </row>
    <row r="2169" spans="58:58" x14ac:dyDescent="0.25">
      <c r="BF2169" s="1"/>
    </row>
    <row r="2170" spans="58:58" x14ac:dyDescent="0.25">
      <c r="BF2170" s="1"/>
    </row>
    <row r="2171" spans="58:58" x14ac:dyDescent="0.25">
      <c r="BF2171" s="1"/>
    </row>
    <row r="2172" spans="58:58" x14ac:dyDescent="0.25">
      <c r="BF2172" s="1"/>
    </row>
    <row r="2173" spans="58:58" x14ac:dyDescent="0.25">
      <c r="BF2173" s="1"/>
    </row>
    <row r="2174" spans="58:58" x14ac:dyDescent="0.25">
      <c r="BF2174" s="1"/>
    </row>
    <row r="2175" spans="58:58" x14ac:dyDescent="0.25">
      <c r="BF2175" s="1"/>
    </row>
    <row r="2176" spans="58:58" x14ac:dyDescent="0.25">
      <c r="BF2176" s="1"/>
    </row>
    <row r="2177" spans="58:58" x14ac:dyDescent="0.25">
      <c r="BF2177" s="1"/>
    </row>
    <row r="2178" spans="58:58" x14ac:dyDescent="0.25">
      <c r="BF2178" s="1"/>
    </row>
    <row r="2179" spans="58:58" x14ac:dyDescent="0.25">
      <c r="BF2179" s="1"/>
    </row>
    <row r="2180" spans="58:58" x14ac:dyDescent="0.25">
      <c r="BF2180" s="1"/>
    </row>
    <row r="2181" spans="58:58" x14ac:dyDescent="0.25">
      <c r="BF2181" s="1"/>
    </row>
    <row r="2182" spans="58:58" x14ac:dyDescent="0.25">
      <c r="BF2182" s="1"/>
    </row>
    <row r="2183" spans="58:58" x14ac:dyDescent="0.25">
      <c r="BF2183" s="1"/>
    </row>
    <row r="2184" spans="58:58" x14ac:dyDescent="0.25">
      <c r="BF2184" s="1"/>
    </row>
    <row r="2185" spans="58:58" x14ac:dyDescent="0.25">
      <c r="BF2185" s="1"/>
    </row>
    <row r="2186" spans="58:58" x14ac:dyDescent="0.25">
      <c r="BF2186" s="1"/>
    </row>
    <row r="2187" spans="58:58" x14ac:dyDescent="0.25">
      <c r="BF2187" s="1"/>
    </row>
    <row r="2188" spans="58:58" x14ac:dyDescent="0.25">
      <c r="BF2188" s="1"/>
    </row>
    <row r="2189" spans="58:58" x14ac:dyDescent="0.25">
      <c r="BF2189" s="1"/>
    </row>
    <row r="2190" spans="58:58" x14ac:dyDescent="0.25">
      <c r="BF2190" s="1"/>
    </row>
    <row r="2191" spans="58:58" x14ac:dyDescent="0.25">
      <c r="BF2191" s="1"/>
    </row>
    <row r="2192" spans="58:58" x14ac:dyDescent="0.25">
      <c r="BF2192" s="1"/>
    </row>
    <row r="2193" spans="58:58" x14ac:dyDescent="0.25">
      <c r="BF2193" s="1"/>
    </row>
    <row r="2194" spans="58:58" x14ac:dyDescent="0.25">
      <c r="BF2194" s="1"/>
    </row>
    <row r="2195" spans="58:58" x14ac:dyDescent="0.25">
      <c r="BF2195" s="1"/>
    </row>
    <row r="2196" spans="58:58" x14ac:dyDescent="0.25">
      <c r="BF2196" s="1"/>
    </row>
    <row r="2197" spans="58:58" x14ac:dyDescent="0.25">
      <c r="BF2197" s="1"/>
    </row>
    <row r="2198" spans="58:58" x14ac:dyDescent="0.25">
      <c r="BF2198" s="1"/>
    </row>
    <row r="2199" spans="58:58" x14ac:dyDescent="0.25">
      <c r="BF2199" s="1"/>
    </row>
    <row r="2200" spans="58:58" x14ac:dyDescent="0.25">
      <c r="BF2200" s="1"/>
    </row>
    <row r="2201" spans="58:58" x14ac:dyDescent="0.25">
      <c r="BF2201" s="1"/>
    </row>
    <row r="2202" spans="58:58" x14ac:dyDescent="0.25">
      <c r="BF2202" s="1"/>
    </row>
    <row r="2203" spans="58:58" x14ac:dyDescent="0.25">
      <c r="BF2203" s="1"/>
    </row>
    <row r="2204" spans="58:58" x14ac:dyDescent="0.25">
      <c r="BF2204" s="1"/>
    </row>
    <row r="2205" spans="58:58" x14ac:dyDescent="0.25">
      <c r="BF2205" s="1"/>
    </row>
    <row r="2206" spans="58:58" x14ac:dyDescent="0.25">
      <c r="BF2206" s="1"/>
    </row>
    <row r="2207" spans="58:58" x14ac:dyDescent="0.25">
      <c r="BF2207" s="1"/>
    </row>
    <row r="2208" spans="58:58" x14ac:dyDescent="0.25">
      <c r="BF2208" s="1"/>
    </row>
    <row r="2209" spans="58:58" x14ac:dyDescent="0.25">
      <c r="BF2209" s="1"/>
    </row>
    <row r="2210" spans="58:58" x14ac:dyDescent="0.25">
      <c r="BF2210" s="1"/>
    </row>
    <row r="2211" spans="58:58" x14ac:dyDescent="0.25">
      <c r="BF2211" s="1"/>
    </row>
    <row r="2212" spans="58:58" x14ac:dyDescent="0.25">
      <c r="BF2212" s="1"/>
    </row>
    <row r="2213" spans="58:58" x14ac:dyDescent="0.25">
      <c r="BF2213" s="1"/>
    </row>
    <row r="2214" spans="58:58" x14ac:dyDescent="0.25">
      <c r="BF2214" s="1"/>
    </row>
    <row r="2215" spans="58:58" x14ac:dyDescent="0.25">
      <c r="BF2215" s="1"/>
    </row>
    <row r="2216" spans="58:58" x14ac:dyDescent="0.25">
      <c r="BF2216" s="1"/>
    </row>
    <row r="2217" spans="58:58" x14ac:dyDescent="0.25">
      <c r="BF2217" s="1"/>
    </row>
    <row r="2218" spans="58:58" x14ac:dyDescent="0.25">
      <c r="BF2218" s="1"/>
    </row>
    <row r="2219" spans="58:58" x14ac:dyDescent="0.25">
      <c r="BF2219" s="1"/>
    </row>
    <row r="2220" spans="58:58" x14ac:dyDescent="0.25">
      <c r="BF2220" s="1"/>
    </row>
    <row r="2221" spans="58:58" x14ac:dyDescent="0.25">
      <c r="BF2221" s="1"/>
    </row>
    <row r="2222" spans="58:58" x14ac:dyDescent="0.25">
      <c r="BF2222" s="1"/>
    </row>
    <row r="2223" spans="58:58" x14ac:dyDescent="0.25">
      <c r="BF2223" s="1"/>
    </row>
    <row r="2224" spans="58:58" x14ac:dyDescent="0.25">
      <c r="BF2224" s="1"/>
    </row>
    <row r="2225" spans="58:58" x14ac:dyDescent="0.25">
      <c r="BF2225" s="1"/>
    </row>
    <row r="2226" spans="58:58" x14ac:dyDescent="0.25">
      <c r="BF2226" s="1"/>
    </row>
    <row r="2227" spans="58:58" x14ac:dyDescent="0.25">
      <c r="BF2227" s="1"/>
    </row>
    <row r="2228" spans="58:58" x14ac:dyDescent="0.25">
      <c r="BF2228" s="1"/>
    </row>
    <row r="2229" spans="58:58" x14ac:dyDescent="0.25">
      <c r="BF2229" s="1"/>
    </row>
    <row r="2230" spans="58:58" x14ac:dyDescent="0.25">
      <c r="BF2230" s="1"/>
    </row>
    <row r="2231" spans="58:58" x14ac:dyDescent="0.25">
      <c r="BF2231" s="1"/>
    </row>
    <row r="2232" spans="58:58" x14ac:dyDescent="0.25">
      <c r="BF2232" s="1"/>
    </row>
    <row r="2233" spans="58:58" x14ac:dyDescent="0.25">
      <c r="BF2233" s="1"/>
    </row>
    <row r="2234" spans="58:58" x14ac:dyDescent="0.25">
      <c r="BF2234" s="1"/>
    </row>
    <row r="2235" spans="58:58" x14ac:dyDescent="0.25">
      <c r="BF2235" s="1"/>
    </row>
    <row r="2236" spans="58:58" x14ac:dyDescent="0.25">
      <c r="BF2236" s="1"/>
    </row>
    <row r="2237" spans="58:58" x14ac:dyDescent="0.25">
      <c r="BF2237" s="1"/>
    </row>
    <row r="2238" spans="58:58" x14ac:dyDescent="0.25">
      <c r="BF2238" s="1"/>
    </row>
    <row r="2239" spans="58:58" x14ac:dyDescent="0.25">
      <c r="BF2239" s="1"/>
    </row>
    <row r="2240" spans="58:58" x14ac:dyDescent="0.25">
      <c r="BF2240" s="1"/>
    </row>
    <row r="2241" spans="58:58" x14ac:dyDescent="0.25">
      <c r="BF2241" s="1"/>
    </row>
    <row r="2242" spans="58:58" x14ac:dyDescent="0.25">
      <c r="BF2242" s="1"/>
    </row>
    <row r="2243" spans="58:58" x14ac:dyDescent="0.25">
      <c r="BF2243" s="1"/>
    </row>
    <row r="2244" spans="58:58" x14ac:dyDescent="0.25">
      <c r="BF2244" s="1"/>
    </row>
    <row r="2245" spans="58:58" x14ac:dyDescent="0.25">
      <c r="BF2245" s="1"/>
    </row>
    <row r="2246" spans="58:58" x14ac:dyDescent="0.25">
      <c r="BF2246" s="1"/>
    </row>
    <row r="2247" spans="58:58" x14ac:dyDescent="0.25">
      <c r="BF2247" s="1"/>
    </row>
    <row r="2248" spans="58:58" x14ac:dyDescent="0.25">
      <c r="BF2248" s="1"/>
    </row>
    <row r="2249" spans="58:58" x14ac:dyDescent="0.25">
      <c r="BF2249" s="1"/>
    </row>
    <row r="2250" spans="58:58" x14ac:dyDescent="0.25">
      <c r="BF2250" s="1"/>
    </row>
    <row r="2251" spans="58:58" x14ac:dyDescent="0.25">
      <c r="BF2251" s="1"/>
    </row>
    <row r="2252" spans="58:58" x14ac:dyDescent="0.25">
      <c r="BF2252" s="1"/>
    </row>
    <row r="2253" spans="58:58" x14ac:dyDescent="0.25">
      <c r="BF2253" s="1"/>
    </row>
    <row r="2254" spans="58:58" x14ac:dyDescent="0.25">
      <c r="BF2254" s="1"/>
    </row>
    <row r="2255" spans="58:58" x14ac:dyDescent="0.25">
      <c r="BF2255" s="1"/>
    </row>
    <row r="2256" spans="58:58" x14ac:dyDescent="0.25">
      <c r="BF2256" s="1"/>
    </row>
    <row r="2257" spans="58:58" x14ac:dyDescent="0.25">
      <c r="BF2257" s="1"/>
    </row>
    <row r="2258" spans="58:58" x14ac:dyDescent="0.25">
      <c r="BF2258" s="1"/>
    </row>
    <row r="2259" spans="58:58" x14ac:dyDescent="0.25">
      <c r="BF2259" s="1"/>
    </row>
    <row r="2260" spans="58:58" x14ac:dyDescent="0.25">
      <c r="BF2260" s="1"/>
    </row>
    <row r="2261" spans="58:58" x14ac:dyDescent="0.25">
      <c r="BF2261" s="1"/>
    </row>
    <row r="2262" spans="58:58" x14ac:dyDescent="0.25">
      <c r="BF2262" s="1"/>
    </row>
    <row r="2263" spans="58:58" x14ac:dyDescent="0.25">
      <c r="BF2263" s="1"/>
    </row>
    <row r="2264" spans="58:58" x14ac:dyDescent="0.25">
      <c r="BF2264" s="1"/>
    </row>
    <row r="2265" spans="58:58" x14ac:dyDescent="0.25">
      <c r="BF2265" s="1"/>
    </row>
    <row r="2266" spans="58:58" x14ac:dyDescent="0.25">
      <c r="BF2266" s="1"/>
    </row>
    <row r="2267" spans="58:58" x14ac:dyDescent="0.25">
      <c r="BF2267" s="1"/>
    </row>
    <row r="2268" spans="58:58" x14ac:dyDescent="0.25">
      <c r="BF2268" s="1"/>
    </row>
    <row r="2269" spans="58:58" x14ac:dyDescent="0.25">
      <c r="BF2269" s="1"/>
    </row>
    <row r="2270" spans="58:58" x14ac:dyDescent="0.25">
      <c r="BF2270" s="1"/>
    </row>
    <row r="2271" spans="58:58" x14ac:dyDescent="0.25">
      <c r="BF2271" s="1"/>
    </row>
    <row r="2272" spans="58:58" x14ac:dyDescent="0.25">
      <c r="BF2272" s="1"/>
    </row>
    <row r="2273" spans="58:58" x14ac:dyDescent="0.25">
      <c r="BF2273" s="1"/>
    </row>
    <row r="2274" spans="58:58" x14ac:dyDescent="0.25">
      <c r="BF2274" s="1"/>
    </row>
    <row r="2275" spans="58:58" x14ac:dyDescent="0.25">
      <c r="BF2275" s="1"/>
    </row>
    <row r="2276" spans="58:58" x14ac:dyDescent="0.25">
      <c r="BF2276" s="1"/>
    </row>
    <row r="2277" spans="58:58" x14ac:dyDescent="0.25">
      <c r="BF2277" s="1"/>
    </row>
    <row r="2278" spans="58:58" x14ac:dyDescent="0.25">
      <c r="BF2278" s="1"/>
    </row>
    <row r="2279" spans="58:58" x14ac:dyDescent="0.25">
      <c r="BF2279" s="1"/>
    </row>
    <row r="2280" spans="58:58" x14ac:dyDescent="0.25">
      <c r="BF2280" s="1"/>
    </row>
    <row r="2281" spans="58:58" x14ac:dyDescent="0.25">
      <c r="BF2281" s="1"/>
    </row>
    <row r="2282" spans="58:58" x14ac:dyDescent="0.25">
      <c r="BF2282" s="1"/>
    </row>
    <row r="2283" spans="58:58" x14ac:dyDescent="0.25">
      <c r="BF2283" s="1"/>
    </row>
    <row r="2284" spans="58:58" x14ac:dyDescent="0.25">
      <c r="BF2284" s="1"/>
    </row>
    <row r="2285" spans="58:58" x14ac:dyDescent="0.25">
      <c r="BF2285" s="1"/>
    </row>
    <row r="2286" spans="58:58" x14ac:dyDescent="0.25">
      <c r="BF2286" s="1"/>
    </row>
    <row r="2287" spans="58:58" x14ac:dyDescent="0.25">
      <c r="BF2287" s="1"/>
    </row>
    <row r="2288" spans="58:58" x14ac:dyDescent="0.25">
      <c r="BF2288" s="1"/>
    </row>
    <row r="2289" spans="58:58" x14ac:dyDescent="0.25">
      <c r="BF2289" s="1"/>
    </row>
    <row r="2290" spans="58:58" x14ac:dyDescent="0.25">
      <c r="BF2290" s="1"/>
    </row>
    <row r="2291" spans="58:58" x14ac:dyDescent="0.25">
      <c r="BF2291" s="1"/>
    </row>
    <row r="2292" spans="58:58" x14ac:dyDescent="0.25">
      <c r="BF2292" s="1"/>
    </row>
    <row r="2293" spans="58:58" x14ac:dyDescent="0.25">
      <c r="BF2293" s="1"/>
    </row>
    <row r="2294" spans="58:58" x14ac:dyDescent="0.25">
      <c r="BF2294" s="1"/>
    </row>
    <row r="2295" spans="58:58" x14ac:dyDescent="0.25">
      <c r="BF2295" s="1"/>
    </row>
    <row r="2296" spans="58:58" x14ac:dyDescent="0.25">
      <c r="BF2296" s="1"/>
    </row>
    <row r="2297" spans="58:58" x14ac:dyDescent="0.25">
      <c r="BF2297" s="1"/>
    </row>
    <row r="2298" spans="58:58" x14ac:dyDescent="0.25">
      <c r="BF2298" s="1"/>
    </row>
    <row r="2299" spans="58:58" x14ac:dyDescent="0.25">
      <c r="BF2299" s="1"/>
    </row>
    <row r="2300" spans="58:58" x14ac:dyDescent="0.25">
      <c r="BF2300" s="1"/>
    </row>
    <row r="2301" spans="58:58" x14ac:dyDescent="0.25">
      <c r="BF2301" s="1"/>
    </row>
    <row r="2302" spans="58:58" x14ac:dyDescent="0.25">
      <c r="BF2302" s="1"/>
    </row>
    <row r="2303" spans="58:58" x14ac:dyDescent="0.25">
      <c r="BF2303" s="1"/>
    </row>
    <row r="2304" spans="58:58" x14ac:dyDescent="0.25">
      <c r="BF2304" s="1"/>
    </row>
    <row r="2305" spans="58:58" x14ac:dyDescent="0.25">
      <c r="BF2305" s="1"/>
    </row>
    <row r="2306" spans="58:58" x14ac:dyDescent="0.25">
      <c r="BF2306" s="1"/>
    </row>
    <row r="2307" spans="58:58" x14ac:dyDescent="0.25">
      <c r="BF2307" s="1"/>
    </row>
    <row r="2308" spans="58:58" x14ac:dyDescent="0.25">
      <c r="BF2308" s="1"/>
    </row>
    <row r="2309" spans="58:58" x14ac:dyDescent="0.25">
      <c r="BF2309" s="1"/>
    </row>
    <row r="2310" spans="58:58" x14ac:dyDescent="0.25">
      <c r="BF2310" s="1"/>
    </row>
    <row r="2311" spans="58:58" x14ac:dyDescent="0.25">
      <c r="BF2311" s="1"/>
    </row>
    <row r="2312" spans="58:58" x14ac:dyDescent="0.25">
      <c r="BF2312" s="1"/>
    </row>
    <row r="2313" spans="58:58" x14ac:dyDescent="0.25">
      <c r="BF2313" s="1"/>
    </row>
    <row r="2314" spans="58:58" x14ac:dyDescent="0.25">
      <c r="BF2314" s="1"/>
    </row>
    <row r="2315" spans="58:58" x14ac:dyDescent="0.25">
      <c r="BF2315" s="1"/>
    </row>
    <row r="2316" spans="58:58" x14ac:dyDescent="0.25">
      <c r="BF2316" s="1"/>
    </row>
    <row r="2317" spans="58:58" x14ac:dyDescent="0.25">
      <c r="BF2317" s="1"/>
    </row>
    <row r="2318" spans="58:58" x14ac:dyDescent="0.25">
      <c r="BF2318" s="1"/>
    </row>
    <row r="2319" spans="58:58" x14ac:dyDescent="0.25">
      <c r="BF2319" s="1"/>
    </row>
    <row r="2320" spans="58:58" x14ac:dyDescent="0.25">
      <c r="BF2320" s="1"/>
    </row>
    <row r="2321" spans="58:58" x14ac:dyDescent="0.25">
      <c r="BF2321" s="1"/>
    </row>
    <row r="2322" spans="58:58" x14ac:dyDescent="0.25">
      <c r="BF2322" s="1"/>
    </row>
    <row r="2323" spans="58:58" x14ac:dyDescent="0.25">
      <c r="BF2323" s="1"/>
    </row>
    <row r="2324" spans="58:58" x14ac:dyDescent="0.25">
      <c r="BF2324" s="1"/>
    </row>
    <row r="2325" spans="58:58" x14ac:dyDescent="0.25">
      <c r="BF2325" s="1"/>
    </row>
    <row r="2326" spans="58:58" x14ac:dyDescent="0.25">
      <c r="BF2326" s="1"/>
    </row>
    <row r="2327" spans="58:58" x14ac:dyDescent="0.25">
      <c r="BF2327" s="1"/>
    </row>
    <row r="2328" spans="58:58" x14ac:dyDescent="0.25">
      <c r="BF2328" s="1"/>
    </row>
    <row r="2329" spans="58:58" x14ac:dyDescent="0.25">
      <c r="BF2329" s="1"/>
    </row>
    <row r="2330" spans="58:58" x14ac:dyDescent="0.25">
      <c r="BF2330" s="1"/>
    </row>
    <row r="2331" spans="58:58" x14ac:dyDescent="0.25">
      <c r="BF2331" s="1"/>
    </row>
    <row r="2332" spans="58:58" x14ac:dyDescent="0.25">
      <c r="BF2332" s="1"/>
    </row>
    <row r="2333" spans="58:58" x14ac:dyDescent="0.25">
      <c r="BF2333" s="1"/>
    </row>
    <row r="2334" spans="58:58" x14ac:dyDescent="0.25">
      <c r="BF2334" s="1"/>
    </row>
    <row r="2335" spans="58:58" x14ac:dyDescent="0.25">
      <c r="BF2335" s="1"/>
    </row>
    <row r="2336" spans="58:58" x14ac:dyDescent="0.25">
      <c r="BF2336" s="1"/>
    </row>
    <row r="2337" spans="58:58" x14ac:dyDescent="0.25">
      <c r="BF2337" s="1"/>
    </row>
    <row r="2338" spans="58:58" x14ac:dyDescent="0.25">
      <c r="BF2338" s="1"/>
    </row>
    <row r="2339" spans="58:58" x14ac:dyDescent="0.25">
      <c r="BF2339" s="1"/>
    </row>
    <row r="2340" spans="58:58" x14ac:dyDescent="0.25">
      <c r="BF2340" s="1"/>
    </row>
    <row r="2341" spans="58:58" x14ac:dyDescent="0.25">
      <c r="BF2341" s="1"/>
    </row>
    <row r="2342" spans="58:58" x14ac:dyDescent="0.25">
      <c r="BF2342" s="1"/>
    </row>
    <row r="2343" spans="58:58" x14ac:dyDescent="0.25">
      <c r="BF2343" s="1"/>
    </row>
    <row r="2344" spans="58:58" x14ac:dyDescent="0.25">
      <c r="BF2344" s="1"/>
    </row>
    <row r="2345" spans="58:58" x14ac:dyDescent="0.25">
      <c r="BF2345" s="1"/>
    </row>
    <row r="2346" spans="58:58" x14ac:dyDescent="0.25">
      <c r="BF2346" s="1"/>
    </row>
    <row r="2347" spans="58:58" x14ac:dyDescent="0.25">
      <c r="BF2347" s="1"/>
    </row>
    <row r="2348" spans="58:58" x14ac:dyDescent="0.25">
      <c r="BF2348" s="1"/>
    </row>
    <row r="2349" spans="58:58" x14ac:dyDescent="0.25">
      <c r="BF2349" s="1"/>
    </row>
    <row r="2350" spans="58:58" x14ac:dyDescent="0.25">
      <c r="BF2350" s="1"/>
    </row>
    <row r="2351" spans="58:58" x14ac:dyDescent="0.25">
      <c r="BF2351" s="1"/>
    </row>
    <row r="2352" spans="58:58" x14ac:dyDescent="0.25">
      <c r="BF2352" s="1"/>
    </row>
    <row r="2353" spans="58:58" x14ac:dyDescent="0.25">
      <c r="BF2353" s="1"/>
    </row>
    <row r="2354" spans="58:58" x14ac:dyDescent="0.25">
      <c r="BF2354" s="1"/>
    </row>
    <row r="2355" spans="58:58" x14ac:dyDescent="0.25">
      <c r="BF2355" s="1"/>
    </row>
    <row r="2356" spans="58:58" x14ac:dyDescent="0.25">
      <c r="BF2356" s="1"/>
    </row>
    <row r="2357" spans="58:58" x14ac:dyDescent="0.25">
      <c r="BF2357" s="1"/>
    </row>
    <row r="2358" spans="58:58" x14ac:dyDescent="0.25">
      <c r="BF2358" s="1"/>
    </row>
    <row r="2359" spans="58:58" x14ac:dyDescent="0.25">
      <c r="BF2359" s="1"/>
    </row>
    <row r="2360" spans="58:58" x14ac:dyDescent="0.25">
      <c r="BF2360" s="1"/>
    </row>
    <row r="2361" spans="58:58" x14ac:dyDescent="0.25">
      <c r="BF2361" s="1"/>
    </row>
    <row r="2362" spans="58:58" x14ac:dyDescent="0.25">
      <c r="BF2362" s="1"/>
    </row>
    <row r="2363" spans="58:58" x14ac:dyDescent="0.25">
      <c r="BF2363" s="1"/>
    </row>
    <row r="2364" spans="58:58" x14ac:dyDescent="0.25">
      <c r="BF2364" s="1"/>
    </row>
    <row r="2365" spans="58:58" x14ac:dyDescent="0.25">
      <c r="BF2365" s="1"/>
    </row>
    <row r="2366" spans="58:58" x14ac:dyDescent="0.25">
      <c r="BF2366" s="1"/>
    </row>
    <row r="2367" spans="58:58" x14ac:dyDescent="0.25">
      <c r="BF2367" s="1"/>
    </row>
    <row r="2368" spans="58:58" x14ac:dyDescent="0.25">
      <c r="BF2368" s="1"/>
    </row>
    <row r="2369" spans="58:58" x14ac:dyDescent="0.25">
      <c r="BF2369" s="1"/>
    </row>
    <row r="2370" spans="58:58" x14ac:dyDescent="0.25">
      <c r="BF2370" s="1"/>
    </row>
    <row r="2371" spans="58:58" x14ac:dyDescent="0.25">
      <c r="BF2371" s="1"/>
    </row>
    <row r="2372" spans="58:58" x14ac:dyDescent="0.25">
      <c r="BF2372" s="1"/>
    </row>
    <row r="2373" spans="58:58" x14ac:dyDescent="0.25">
      <c r="BF2373" s="1"/>
    </row>
    <row r="2374" spans="58:58" x14ac:dyDescent="0.25">
      <c r="BF2374" s="1"/>
    </row>
    <row r="2375" spans="58:58" x14ac:dyDescent="0.25">
      <c r="BF2375" s="1"/>
    </row>
    <row r="2376" spans="58:58" x14ac:dyDescent="0.25">
      <c r="BF2376" s="1"/>
    </row>
    <row r="2377" spans="58:58" x14ac:dyDescent="0.25">
      <c r="BF2377" s="1"/>
    </row>
    <row r="2378" spans="58:58" x14ac:dyDescent="0.25">
      <c r="BF2378" s="1"/>
    </row>
    <row r="2379" spans="58:58" x14ac:dyDescent="0.25">
      <c r="BF2379" s="1"/>
    </row>
    <row r="2380" spans="58:58" x14ac:dyDescent="0.25">
      <c r="BF2380" s="1"/>
    </row>
    <row r="2381" spans="58:58" x14ac:dyDescent="0.25">
      <c r="BF2381" s="1"/>
    </row>
    <row r="2382" spans="58:58" x14ac:dyDescent="0.25">
      <c r="BF2382" s="1"/>
    </row>
    <row r="2383" spans="58:58" x14ac:dyDescent="0.25">
      <c r="BF2383" s="1"/>
    </row>
    <row r="2384" spans="58:58" x14ac:dyDescent="0.25">
      <c r="BF2384" s="1"/>
    </row>
    <row r="2385" spans="58:58" x14ac:dyDescent="0.25">
      <c r="BF2385" s="1"/>
    </row>
    <row r="2386" spans="58:58" x14ac:dyDescent="0.25">
      <c r="BF2386" s="1"/>
    </row>
    <row r="2387" spans="58:58" x14ac:dyDescent="0.25">
      <c r="BF2387" s="1"/>
    </row>
    <row r="2388" spans="58:58" x14ac:dyDescent="0.25">
      <c r="BF2388" s="1"/>
    </row>
    <row r="2389" spans="58:58" x14ac:dyDescent="0.25">
      <c r="BF2389" s="1"/>
    </row>
    <row r="2390" spans="58:58" x14ac:dyDescent="0.25">
      <c r="BF2390" s="1"/>
    </row>
    <row r="2391" spans="58:58" x14ac:dyDescent="0.25">
      <c r="BF2391" s="1"/>
    </row>
    <row r="2392" spans="58:58" x14ac:dyDescent="0.25">
      <c r="BF2392" s="1"/>
    </row>
    <row r="2393" spans="58:58" x14ac:dyDescent="0.25">
      <c r="BF2393" s="1"/>
    </row>
    <row r="2394" spans="58:58" x14ac:dyDescent="0.25">
      <c r="BF2394" s="1"/>
    </row>
    <row r="2395" spans="58:58" x14ac:dyDescent="0.25">
      <c r="BF2395" s="1"/>
    </row>
    <row r="2396" spans="58:58" x14ac:dyDescent="0.25">
      <c r="BF2396" s="1"/>
    </row>
    <row r="2397" spans="58:58" x14ac:dyDescent="0.25">
      <c r="BF2397" s="1"/>
    </row>
    <row r="2398" spans="58:58" x14ac:dyDescent="0.25">
      <c r="BF2398" s="1"/>
    </row>
    <row r="2399" spans="58:58" x14ac:dyDescent="0.25">
      <c r="BF2399" s="1"/>
    </row>
    <row r="2400" spans="58:58" x14ac:dyDescent="0.25">
      <c r="BF2400" s="1"/>
    </row>
    <row r="2401" spans="58:58" x14ac:dyDescent="0.25">
      <c r="BF2401" s="1"/>
    </row>
    <row r="2402" spans="58:58" x14ac:dyDescent="0.25">
      <c r="BF2402" s="1"/>
    </row>
    <row r="2403" spans="58:58" x14ac:dyDescent="0.25">
      <c r="BF2403" s="1"/>
    </row>
    <row r="2404" spans="58:58" x14ac:dyDescent="0.25">
      <c r="BF2404" s="1"/>
    </row>
    <row r="2405" spans="58:58" x14ac:dyDescent="0.25">
      <c r="BF2405" s="1"/>
    </row>
    <row r="2406" spans="58:58" x14ac:dyDescent="0.25">
      <c r="BF2406" s="1"/>
    </row>
    <row r="2407" spans="58:58" x14ac:dyDescent="0.25">
      <c r="BF2407" s="1"/>
    </row>
    <row r="2408" spans="58:58" x14ac:dyDescent="0.25">
      <c r="BF2408" s="1"/>
    </row>
    <row r="2409" spans="58:58" x14ac:dyDescent="0.25">
      <c r="BF2409" s="1"/>
    </row>
    <row r="2410" spans="58:58" x14ac:dyDescent="0.25">
      <c r="BF2410" s="1"/>
    </row>
    <row r="2411" spans="58:58" x14ac:dyDescent="0.25">
      <c r="BF2411" s="1"/>
    </row>
    <row r="2412" spans="58:58" x14ac:dyDescent="0.25">
      <c r="BF2412" s="1"/>
    </row>
    <row r="2413" spans="58:58" x14ac:dyDescent="0.25">
      <c r="BF2413" s="1"/>
    </row>
    <row r="2414" spans="58:58" x14ac:dyDescent="0.25">
      <c r="BF2414" s="1"/>
    </row>
    <row r="2415" spans="58:58" x14ac:dyDescent="0.25">
      <c r="BF2415" s="1"/>
    </row>
    <row r="2416" spans="58:58" x14ac:dyDescent="0.25">
      <c r="BF2416" s="1"/>
    </row>
    <row r="2417" spans="58:58" x14ac:dyDescent="0.25">
      <c r="BF2417" s="1"/>
    </row>
    <row r="2418" spans="58:58" x14ac:dyDescent="0.25">
      <c r="BF2418" s="1"/>
    </row>
    <row r="2419" spans="58:58" x14ac:dyDescent="0.25">
      <c r="BF2419" s="1"/>
    </row>
    <row r="2420" spans="58:58" x14ac:dyDescent="0.25">
      <c r="BF2420" s="1"/>
    </row>
    <row r="2421" spans="58:58" x14ac:dyDescent="0.25">
      <c r="BF2421" s="1"/>
    </row>
    <row r="2422" spans="58:58" x14ac:dyDescent="0.25">
      <c r="BF2422" s="1"/>
    </row>
    <row r="2423" spans="58:58" x14ac:dyDescent="0.25">
      <c r="BF2423" s="1"/>
    </row>
    <row r="2424" spans="58:58" x14ac:dyDescent="0.25">
      <c r="BF2424" s="1"/>
    </row>
    <row r="2425" spans="58:58" x14ac:dyDescent="0.25">
      <c r="BF2425" s="1"/>
    </row>
    <row r="2426" spans="58:58" x14ac:dyDescent="0.25">
      <c r="BF2426" s="1"/>
    </row>
    <row r="2427" spans="58:58" x14ac:dyDescent="0.25">
      <c r="BF2427" s="1"/>
    </row>
    <row r="2428" spans="58:58" x14ac:dyDescent="0.25">
      <c r="BF2428" s="1"/>
    </row>
    <row r="2429" spans="58:58" x14ac:dyDescent="0.25">
      <c r="BF2429" s="1"/>
    </row>
    <row r="2430" spans="58:58" x14ac:dyDescent="0.25">
      <c r="BF2430" s="1"/>
    </row>
    <row r="2431" spans="58:58" x14ac:dyDescent="0.25">
      <c r="BF2431" s="1"/>
    </row>
    <row r="2432" spans="58:58" x14ac:dyDescent="0.25">
      <c r="BF2432" s="1"/>
    </row>
    <row r="2433" spans="58:58" x14ac:dyDescent="0.25">
      <c r="BF2433" s="1"/>
    </row>
    <row r="2434" spans="58:58" x14ac:dyDescent="0.25">
      <c r="BF2434" s="1"/>
    </row>
    <row r="2435" spans="58:58" x14ac:dyDescent="0.25">
      <c r="BF2435" s="1"/>
    </row>
    <row r="2436" spans="58:58" x14ac:dyDescent="0.25">
      <c r="BF2436" s="1"/>
    </row>
    <row r="2437" spans="58:58" x14ac:dyDescent="0.25">
      <c r="BF2437" s="1"/>
    </row>
    <row r="2438" spans="58:58" x14ac:dyDescent="0.25">
      <c r="BF2438" s="1"/>
    </row>
    <row r="2439" spans="58:58" x14ac:dyDescent="0.25">
      <c r="BF2439" s="1"/>
    </row>
    <row r="2440" spans="58:58" x14ac:dyDescent="0.25">
      <c r="BF2440" s="1"/>
    </row>
    <row r="2441" spans="58:58" x14ac:dyDescent="0.25">
      <c r="BF2441" s="1"/>
    </row>
    <row r="2442" spans="58:58" x14ac:dyDescent="0.25">
      <c r="BF2442" s="1"/>
    </row>
    <row r="2443" spans="58:58" x14ac:dyDescent="0.25">
      <c r="BF2443" s="1"/>
    </row>
    <row r="2444" spans="58:58" x14ac:dyDescent="0.25">
      <c r="BF2444" s="1"/>
    </row>
    <row r="2445" spans="58:58" x14ac:dyDescent="0.25">
      <c r="BF2445" s="1"/>
    </row>
    <row r="2446" spans="58:58" x14ac:dyDescent="0.25">
      <c r="BF2446" s="1"/>
    </row>
    <row r="2447" spans="58:58" x14ac:dyDescent="0.25">
      <c r="BF2447" s="1"/>
    </row>
    <row r="2448" spans="58:58" x14ac:dyDescent="0.25">
      <c r="BF2448" s="1"/>
    </row>
    <row r="2449" spans="58:58" x14ac:dyDescent="0.25">
      <c r="BF2449" s="1"/>
    </row>
    <row r="2450" spans="58:58" x14ac:dyDescent="0.25">
      <c r="BF2450" s="1"/>
    </row>
    <row r="2451" spans="58:58" x14ac:dyDescent="0.25">
      <c r="BF2451" s="1"/>
    </row>
    <row r="2452" spans="58:58" x14ac:dyDescent="0.25">
      <c r="BF2452" s="1"/>
    </row>
    <row r="2453" spans="58:58" x14ac:dyDescent="0.25">
      <c r="BF2453" s="1"/>
    </row>
    <row r="2454" spans="58:58" x14ac:dyDescent="0.25">
      <c r="BF2454" s="1"/>
    </row>
    <row r="2455" spans="58:58" x14ac:dyDescent="0.25">
      <c r="BF2455" s="1"/>
    </row>
    <row r="2456" spans="58:58" x14ac:dyDescent="0.25">
      <c r="BF2456" s="1"/>
    </row>
    <row r="2457" spans="58:58" x14ac:dyDescent="0.25">
      <c r="BF2457" s="1"/>
    </row>
    <row r="2458" spans="58:58" x14ac:dyDescent="0.25">
      <c r="BF2458" s="1"/>
    </row>
    <row r="2459" spans="58:58" x14ac:dyDescent="0.25">
      <c r="BF2459" s="1"/>
    </row>
    <row r="2460" spans="58:58" x14ac:dyDescent="0.25">
      <c r="BF2460" s="1"/>
    </row>
    <row r="2461" spans="58:58" x14ac:dyDescent="0.25">
      <c r="BF2461" s="1"/>
    </row>
    <row r="2462" spans="58:58" x14ac:dyDescent="0.25">
      <c r="BF2462" s="1"/>
    </row>
    <row r="2463" spans="58:58" x14ac:dyDescent="0.25">
      <c r="BF2463" s="1"/>
    </row>
    <row r="2464" spans="58:58" x14ac:dyDescent="0.25">
      <c r="BF2464" s="1"/>
    </row>
    <row r="2465" spans="58:58" x14ac:dyDescent="0.25">
      <c r="BF2465" s="1"/>
    </row>
    <row r="2466" spans="58:58" x14ac:dyDescent="0.25">
      <c r="BF2466" s="1"/>
    </row>
    <row r="2467" spans="58:58" x14ac:dyDescent="0.25">
      <c r="BF2467" s="1"/>
    </row>
    <row r="2468" spans="58:58" x14ac:dyDescent="0.25">
      <c r="BF2468" s="1"/>
    </row>
    <row r="2469" spans="58:58" x14ac:dyDescent="0.25">
      <c r="BF2469" s="1"/>
    </row>
    <row r="2470" spans="58:58" x14ac:dyDescent="0.25">
      <c r="BF2470" s="1"/>
    </row>
    <row r="2471" spans="58:58" x14ac:dyDescent="0.25">
      <c r="BF2471" s="1"/>
    </row>
    <row r="2472" spans="58:58" x14ac:dyDescent="0.25">
      <c r="BF2472" s="1"/>
    </row>
    <row r="2473" spans="58:58" x14ac:dyDescent="0.25">
      <c r="BF2473" s="1"/>
    </row>
    <row r="2474" spans="58:58" x14ac:dyDescent="0.25">
      <c r="BF2474" s="1"/>
    </row>
    <row r="2475" spans="58:58" x14ac:dyDescent="0.25">
      <c r="BF2475" s="1"/>
    </row>
    <row r="2476" spans="58:58" x14ac:dyDescent="0.25">
      <c r="BF2476" s="1"/>
    </row>
    <row r="2477" spans="58:58" x14ac:dyDescent="0.25">
      <c r="BF2477" s="1"/>
    </row>
    <row r="2478" spans="58:58" x14ac:dyDescent="0.25">
      <c r="BF2478" s="1"/>
    </row>
    <row r="2479" spans="58:58" x14ac:dyDescent="0.25">
      <c r="BF2479" s="1"/>
    </row>
    <row r="2480" spans="58:58" x14ac:dyDescent="0.25">
      <c r="BF2480" s="1"/>
    </row>
    <row r="2481" spans="58:58" x14ac:dyDescent="0.25">
      <c r="BF2481" s="1"/>
    </row>
    <row r="2482" spans="58:58" x14ac:dyDescent="0.25">
      <c r="BF2482" s="1"/>
    </row>
    <row r="2483" spans="58:58" x14ac:dyDescent="0.25">
      <c r="BF2483" s="1"/>
    </row>
    <row r="2484" spans="58:58" x14ac:dyDescent="0.25">
      <c r="BF2484" s="1"/>
    </row>
    <row r="2485" spans="58:58" x14ac:dyDescent="0.25">
      <c r="BF2485" s="1"/>
    </row>
    <row r="2486" spans="58:58" x14ac:dyDescent="0.25">
      <c r="BF2486" s="1"/>
    </row>
    <row r="2487" spans="58:58" x14ac:dyDescent="0.25">
      <c r="BF2487" s="1"/>
    </row>
    <row r="2488" spans="58:58" x14ac:dyDescent="0.25">
      <c r="BF2488" s="1"/>
    </row>
    <row r="2489" spans="58:58" x14ac:dyDescent="0.25">
      <c r="BF2489" s="1"/>
    </row>
    <row r="2490" spans="58:58" x14ac:dyDescent="0.25">
      <c r="BF2490" s="1"/>
    </row>
    <row r="2491" spans="58:58" x14ac:dyDescent="0.25">
      <c r="BF2491" s="1"/>
    </row>
    <row r="2492" spans="58:58" x14ac:dyDescent="0.25">
      <c r="BF2492" s="1"/>
    </row>
    <row r="2493" spans="58:58" x14ac:dyDescent="0.25">
      <c r="BF2493" s="1"/>
    </row>
    <row r="2494" spans="58:58" x14ac:dyDescent="0.25">
      <c r="BF2494" s="1"/>
    </row>
    <row r="2495" spans="58:58" x14ac:dyDescent="0.25">
      <c r="BF2495" s="1"/>
    </row>
    <row r="2496" spans="58:58" x14ac:dyDescent="0.25">
      <c r="BF2496" s="1"/>
    </row>
    <row r="2497" spans="58:58" x14ac:dyDescent="0.25">
      <c r="BF2497" s="1"/>
    </row>
    <row r="2498" spans="58:58" x14ac:dyDescent="0.25">
      <c r="BF2498" s="1"/>
    </row>
    <row r="2499" spans="58:58" x14ac:dyDescent="0.25">
      <c r="BF2499" s="1"/>
    </row>
    <row r="2500" spans="58:58" x14ac:dyDescent="0.25">
      <c r="BF2500" s="1"/>
    </row>
    <row r="2501" spans="58:58" x14ac:dyDescent="0.25">
      <c r="BF2501" s="1"/>
    </row>
    <row r="2502" spans="58:58" x14ac:dyDescent="0.25">
      <c r="BF2502" s="1"/>
    </row>
    <row r="2503" spans="58:58" x14ac:dyDescent="0.25">
      <c r="BF2503" s="1"/>
    </row>
    <row r="2504" spans="58:58" x14ac:dyDescent="0.25">
      <c r="BF2504" s="1"/>
    </row>
    <row r="2505" spans="58:58" x14ac:dyDescent="0.25">
      <c r="BF2505" s="1"/>
    </row>
    <row r="2506" spans="58:58" x14ac:dyDescent="0.25">
      <c r="BF2506" s="1"/>
    </row>
    <row r="2507" spans="58:58" x14ac:dyDescent="0.25">
      <c r="BF2507" s="1"/>
    </row>
    <row r="2508" spans="58:58" x14ac:dyDescent="0.25">
      <c r="BF2508" s="1"/>
    </row>
    <row r="2509" spans="58:58" x14ac:dyDescent="0.25">
      <c r="BF2509" s="1"/>
    </row>
    <row r="2510" spans="58:58" x14ac:dyDescent="0.25">
      <c r="BF2510" s="1"/>
    </row>
    <row r="2511" spans="58:58" x14ac:dyDescent="0.25">
      <c r="BF2511" s="1"/>
    </row>
    <row r="2512" spans="58:58" x14ac:dyDescent="0.25">
      <c r="BF2512" s="1"/>
    </row>
    <row r="2513" spans="58:58" x14ac:dyDescent="0.25">
      <c r="BF2513" s="1"/>
    </row>
    <row r="2514" spans="58:58" x14ac:dyDescent="0.25">
      <c r="BF2514" s="1"/>
    </row>
    <row r="2515" spans="58:58" x14ac:dyDescent="0.25">
      <c r="BF2515" s="1"/>
    </row>
    <row r="2516" spans="58:58" x14ac:dyDescent="0.25">
      <c r="BF2516" s="1"/>
    </row>
    <row r="2517" spans="58:58" x14ac:dyDescent="0.25">
      <c r="BF2517" s="1"/>
    </row>
    <row r="2518" spans="58:58" x14ac:dyDescent="0.25">
      <c r="BF2518" s="1"/>
    </row>
    <row r="2519" spans="58:58" x14ac:dyDescent="0.25">
      <c r="BF2519" s="1"/>
    </row>
    <row r="2520" spans="58:58" x14ac:dyDescent="0.25">
      <c r="BF2520" s="1"/>
    </row>
    <row r="2521" spans="58:58" x14ac:dyDescent="0.25">
      <c r="BF2521" s="1"/>
    </row>
    <row r="2522" spans="58:58" x14ac:dyDescent="0.25">
      <c r="BF2522" s="1"/>
    </row>
    <row r="2523" spans="58:58" x14ac:dyDescent="0.25">
      <c r="BF2523" s="1"/>
    </row>
    <row r="2524" spans="58:58" x14ac:dyDescent="0.25">
      <c r="BF2524" s="1"/>
    </row>
    <row r="2525" spans="58:58" x14ac:dyDescent="0.25">
      <c r="BF2525" s="1"/>
    </row>
    <row r="2526" spans="58:58" x14ac:dyDescent="0.25">
      <c r="BF2526" s="1"/>
    </row>
    <row r="2527" spans="58:58" x14ac:dyDescent="0.25">
      <c r="BF2527" s="1"/>
    </row>
    <row r="2528" spans="58:58" x14ac:dyDescent="0.25">
      <c r="BF2528" s="1"/>
    </row>
    <row r="2529" spans="58:58" x14ac:dyDescent="0.25">
      <c r="BF2529" s="1"/>
    </row>
    <row r="2530" spans="58:58" x14ac:dyDescent="0.25">
      <c r="BF2530" s="1"/>
    </row>
    <row r="2531" spans="58:58" x14ac:dyDescent="0.25">
      <c r="BF2531" s="1"/>
    </row>
    <row r="2532" spans="58:58" x14ac:dyDescent="0.25">
      <c r="BF2532" s="1"/>
    </row>
    <row r="2533" spans="58:58" x14ac:dyDescent="0.25">
      <c r="BF2533" s="1"/>
    </row>
    <row r="2534" spans="58:58" x14ac:dyDescent="0.25">
      <c r="BF2534" s="1"/>
    </row>
    <row r="2535" spans="58:58" x14ac:dyDescent="0.25">
      <c r="BF2535" s="1"/>
    </row>
    <row r="2536" spans="58:58" x14ac:dyDescent="0.25">
      <c r="BF2536" s="1"/>
    </row>
    <row r="2537" spans="58:58" x14ac:dyDescent="0.25">
      <c r="BF2537" s="1"/>
    </row>
    <row r="2538" spans="58:58" x14ac:dyDescent="0.25">
      <c r="BF2538" s="1"/>
    </row>
    <row r="2539" spans="58:58" x14ac:dyDescent="0.25">
      <c r="BF2539" s="1"/>
    </row>
    <row r="2540" spans="58:58" x14ac:dyDescent="0.25">
      <c r="BF2540" s="1"/>
    </row>
    <row r="2541" spans="58:58" x14ac:dyDescent="0.25">
      <c r="BF2541" s="1"/>
    </row>
    <row r="2542" spans="58:58" x14ac:dyDescent="0.25">
      <c r="BF2542" s="1"/>
    </row>
    <row r="2543" spans="58:58" x14ac:dyDescent="0.25">
      <c r="BF2543" s="1"/>
    </row>
    <row r="2544" spans="58:58" x14ac:dyDescent="0.25">
      <c r="BF2544" s="1"/>
    </row>
    <row r="2545" spans="58:58" x14ac:dyDescent="0.25">
      <c r="BF2545" s="1"/>
    </row>
    <row r="2546" spans="58:58" x14ac:dyDescent="0.25">
      <c r="BF2546" s="1"/>
    </row>
    <row r="2547" spans="58:58" x14ac:dyDescent="0.25">
      <c r="BF2547" s="1"/>
    </row>
    <row r="2548" spans="58:58" x14ac:dyDescent="0.25">
      <c r="BF2548" s="1"/>
    </row>
    <row r="2549" spans="58:58" x14ac:dyDescent="0.25">
      <c r="BF2549" s="1"/>
    </row>
    <row r="2550" spans="58:58" x14ac:dyDescent="0.25">
      <c r="BF2550" s="1"/>
    </row>
    <row r="2551" spans="58:58" x14ac:dyDescent="0.25">
      <c r="BF2551" s="1"/>
    </row>
    <row r="2552" spans="58:58" x14ac:dyDescent="0.25">
      <c r="BF2552" s="1"/>
    </row>
    <row r="2553" spans="58:58" x14ac:dyDescent="0.25">
      <c r="BF2553" s="1"/>
    </row>
    <row r="2554" spans="58:58" x14ac:dyDescent="0.25">
      <c r="BF2554" s="1"/>
    </row>
    <row r="2555" spans="58:58" x14ac:dyDescent="0.25">
      <c r="BF2555" s="1"/>
    </row>
    <row r="2556" spans="58:58" x14ac:dyDescent="0.25">
      <c r="BF2556" s="1"/>
    </row>
    <row r="2557" spans="58:58" x14ac:dyDescent="0.25">
      <c r="BF2557" s="1"/>
    </row>
    <row r="2558" spans="58:58" x14ac:dyDescent="0.25">
      <c r="BF2558" s="1"/>
    </row>
    <row r="2559" spans="58:58" x14ac:dyDescent="0.25">
      <c r="BF2559" s="1"/>
    </row>
    <row r="2560" spans="58:58" x14ac:dyDescent="0.25">
      <c r="BF2560" s="1"/>
    </row>
    <row r="2561" spans="58:58" x14ac:dyDescent="0.25">
      <c r="BF2561" s="1"/>
    </row>
    <row r="2562" spans="58:58" x14ac:dyDescent="0.25">
      <c r="BF2562" s="1"/>
    </row>
    <row r="2563" spans="58:58" x14ac:dyDescent="0.25">
      <c r="BF2563" s="1"/>
    </row>
    <row r="2564" spans="58:58" x14ac:dyDescent="0.25">
      <c r="BF2564" s="1"/>
    </row>
    <row r="2565" spans="58:58" x14ac:dyDescent="0.25">
      <c r="BF2565" s="1"/>
    </row>
    <row r="2566" spans="58:58" x14ac:dyDescent="0.25">
      <c r="BF2566" s="1"/>
    </row>
    <row r="2567" spans="58:58" x14ac:dyDescent="0.25">
      <c r="BF2567" s="1"/>
    </row>
    <row r="2568" spans="58:58" x14ac:dyDescent="0.25">
      <c r="BF2568" s="1"/>
    </row>
    <row r="2569" spans="58:58" x14ac:dyDescent="0.25">
      <c r="BF2569" s="1"/>
    </row>
    <row r="2570" spans="58:58" x14ac:dyDescent="0.25">
      <c r="BF2570" s="1"/>
    </row>
    <row r="2571" spans="58:58" x14ac:dyDescent="0.25">
      <c r="BF2571" s="1"/>
    </row>
    <row r="2572" spans="58:58" x14ac:dyDescent="0.25">
      <c r="BF2572" s="1"/>
    </row>
    <row r="2573" spans="58:58" x14ac:dyDescent="0.25">
      <c r="BF2573" s="1"/>
    </row>
    <row r="2574" spans="58:58" x14ac:dyDescent="0.25">
      <c r="BF2574" s="1"/>
    </row>
    <row r="2575" spans="58:58" x14ac:dyDescent="0.25">
      <c r="BF2575" s="1"/>
    </row>
    <row r="2576" spans="58:58" x14ac:dyDescent="0.25">
      <c r="BF2576" s="1"/>
    </row>
    <row r="2577" spans="58:58" x14ac:dyDescent="0.25">
      <c r="BF2577" s="1"/>
    </row>
    <row r="2578" spans="58:58" x14ac:dyDescent="0.25">
      <c r="BF2578" s="1"/>
    </row>
    <row r="2579" spans="58:58" x14ac:dyDescent="0.25">
      <c r="BF2579" s="1"/>
    </row>
    <row r="2580" spans="58:58" x14ac:dyDescent="0.25">
      <c r="BF2580" s="1"/>
    </row>
    <row r="2581" spans="58:58" x14ac:dyDescent="0.25">
      <c r="BF2581" s="1"/>
    </row>
    <row r="2582" spans="58:58" x14ac:dyDescent="0.25">
      <c r="BF2582" s="1"/>
    </row>
    <row r="2583" spans="58:58" x14ac:dyDescent="0.25">
      <c r="BF2583" s="1"/>
    </row>
    <row r="2584" spans="58:58" x14ac:dyDescent="0.25">
      <c r="BF2584" s="1"/>
    </row>
    <row r="2585" spans="58:58" x14ac:dyDescent="0.25">
      <c r="BF2585" s="1"/>
    </row>
    <row r="2586" spans="58:58" x14ac:dyDescent="0.25">
      <c r="BF2586" s="1"/>
    </row>
    <row r="2587" spans="58:58" x14ac:dyDescent="0.25">
      <c r="BF2587" s="1"/>
    </row>
    <row r="2588" spans="58:58" x14ac:dyDescent="0.25">
      <c r="BF2588" s="1"/>
    </row>
    <row r="2589" spans="58:58" x14ac:dyDescent="0.25">
      <c r="BF2589" s="1"/>
    </row>
    <row r="2590" spans="58:58" x14ac:dyDescent="0.25">
      <c r="BF2590" s="1"/>
    </row>
    <row r="2591" spans="58:58" x14ac:dyDescent="0.25">
      <c r="BF2591" s="1"/>
    </row>
    <row r="2592" spans="58:58" x14ac:dyDescent="0.25">
      <c r="BF2592" s="1"/>
    </row>
    <row r="2593" spans="58:58" x14ac:dyDescent="0.25">
      <c r="BF2593" s="1"/>
    </row>
    <row r="2594" spans="58:58" x14ac:dyDescent="0.25">
      <c r="BF2594" s="1"/>
    </row>
    <row r="2595" spans="58:58" x14ac:dyDescent="0.25">
      <c r="BF2595" s="1"/>
    </row>
    <row r="2596" spans="58:58" x14ac:dyDescent="0.25">
      <c r="BF2596" s="1"/>
    </row>
    <row r="2597" spans="58:58" x14ac:dyDescent="0.25">
      <c r="BF2597" s="1"/>
    </row>
    <row r="2598" spans="58:58" x14ac:dyDescent="0.25">
      <c r="BF2598" s="1"/>
    </row>
    <row r="2599" spans="58:58" x14ac:dyDescent="0.25">
      <c r="BF2599" s="1"/>
    </row>
    <row r="2600" spans="58:58" x14ac:dyDescent="0.25">
      <c r="BF2600" s="1"/>
    </row>
    <row r="2601" spans="58:58" x14ac:dyDescent="0.25">
      <c r="BF2601" s="1"/>
    </row>
    <row r="2602" spans="58:58" x14ac:dyDescent="0.25">
      <c r="BF2602" s="1"/>
    </row>
    <row r="2603" spans="58:58" x14ac:dyDescent="0.25">
      <c r="BF2603" s="1"/>
    </row>
    <row r="2604" spans="58:58" x14ac:dyDescent="0.25">
      <c r="BF2604" s="1"/>
    </row>
    <row r="2605" spans="58:58" x14ac:dyDescent="0.25">
      <c r="BF2605" s="1"/>
    </row>
    <row r="2606" spans="58:58" x14ac:dyDescent="0.25">
      <c r="BF2606" s="1"/>
    </row>
    <row r="2607" spans="58:58" x14ac:dyDescent="0.25">
      <c r="BF2607" s="1"/>
    </row>
    <row r="2608" spans="58:58" x14ac:dyDescent="0.25">
      <c r="BF2608" s="1"/>
    </row>
    <row r="2609" spans="58:58" x14ac:dyDescent="0.25">
      <c r="BF2609" s="1"/>
    </row>
    <row r="2610" spans="58:58" x14ac:dyDescent="0.25">
      <c r="BF2610" s="1"/>
    </row>
    <row r="2611" spans="58:58" x14ac:dyDescent="0.25">
      <c r="BF2611" s="1"/>
    </row>
    <row r="2612" spans="58:58" x14ac:dyDescent="0.25">
      <c r="BF2612" s="1"/>
    </row>
    <row r="2613" spans="58:58" x14ac:dyDescent="0.25">
      <c r="BF2613" s="1"/>
    </row>
    <row r="2614" spans="58:58" x14ac:dyDescent="0.25">
      <c r="BF2614" s="1"/>
    </row>
    <row r="2615" spans="58:58" x14ac:dyDescent="0.25">
      <c r="BF2615" s="1"/>
    </row>
    <row r="2616" spans="58:58" x14ac:dyDescent="0.25">
      <c r="BF2616" s="1"/>
    </row>
    <row r="2617" spans="58:58" x14ac:dyDescent="0.25">
      <c r="BF2617" s="1"/>
    </row>
    <row r="2618" spans="58:58" x14ac:dyDescent="0.25">
      <c r="BF2618" s="1"/>
    </row>
    <row r="2619" spans="58:58" x14ac:dyDescent="0.25">
      <c r="BF2619" s="1"/>
    </row>
    <row r="2620" spans="58:58" x14ac:dyDescent="0.25">
      <c r="BF2620" s="1"/>
    </row>
    <row r="2621" spans="58:58" x14ac:dyDescent="0.25">
      <c r="BF2621" s="1"/>
    </row>
    <row r="2622" spans="58:58" x14ac:dyDescent="0.25">
      <c r="BF2622" s="1"/>
    </row>
    <row r="2623" spans="58:58" x14ac:dyDescent="0.25">
      <c r="BF2623" s="1"/>
    </row>
    <row r="2624" spans="58:58" x14ac:dyDescent="0.25">
      <c r="BF2624" s="1"/>
    </row>
    <row r="2625" spans="58:58" x14ac:dyDescent="0.25">
      <c r="BF2625" s="1"/>
    </row>
    <row r="2626" spans="58:58" x14ac:dyDescent="0.25">
      <c r="BF2626" s="1"/>
    </row>
    <row r="2627" spans="58:58" x14ac:dyDescent="0.25">
      <c r="BF2627" s="1"/>
    </row>
    <row r="2628" spans="58:58" x14ac:dyDescent="0.25">
      <c r="BF2628" s="1"/>
    </row>
    <row r="2629" spans="58:58" x14ac:dyDescent="0.25">
      <c r="BF2629" s="1"/>
    </row>
    <row r="2630" spans="58:58" x14ac:dyDescent="0.25">
      <c r="BF2630" s="1"/>
    </row>
    <row r="2631" spans="58:58" x14ac:dyDescent="0.25">
      <c r="BF2631" s="1"/>
    </row>
    <row r="2632" spans="58:58" x14ac:dyDescent="0.25">
      <c r="BF2632" s="1"/>
    </row>
    <row r="2633" spans="58:58" x14ac:dyDescent="0.25">
      <c r="BF2633" s="1"/>
    </row>
    <row r="2634" spans="58:58" x14ac:dyDescent="0.25">
      <c r="BF2634" s="1"/>
    </row>
    <row r="2635" spans="58:58" x14ac:dyDescent="0.25">
      <c r="BF2635" s="1"/>
    </row>
    <row r="2636" spans="58:58" x14ac:dyDescent="0.25">
      <c r="BF2636" s="1"/>
    </row>
    <row r="2637" spans="58:58" x14ac:dyDescent="0.25">
      <c r="BF2637" s="1"/>
    </row>
    <row r="2638" spans="58:58" x14ac:dyDescent="0.25">
      <c r="BF2638" s="1"/>
    </row>
    <row r="2639" spans="58:58" x14ac:dyDescent="0.25">
      <c r="BF2639" s="1"/>
    </row>
    <row r="2640" spans="58:58" x14ac:dyDescent="0.25">
      <c r="BF2640" s="1"/>
    </row>
    <row r="2641" spans="58:58" x14ac:dyDescent="0.25">
      <c r="BF2641" s="1"/>
    </row>
    <row r="2642" spans="58:58" x14ac:dyDescent="0.25">
      <c r="BF2642" s="1"/>
    </row>
    <row r="2643" spans="58:58" x14ac:dyDescent="0.25">
      <c r="BF2643" s="1"/>
    </row>
    <row r="2644" spans="58:58" x14ac:dyDescent="0.25">
      <c r="BF2644" s="1"/>
    </row>
    <row r="2645" spans="58:58" x14ac:dyDescent="0.25">
      <c r="BF2645" s="1"/>
    </row>
    <row r="2646" spans="58:58" x14ac:dyDescent="0.25">
      <c r="BF2646" s="1"/>
    </row>
    <row r="2647" spans="58:58" x14ac:dyDescent="0.25">
      <c r="BF2647" s="1"/>
    </row>
    <row r="2648" spans="58:58" x14ac:dyDescent="0.25">
      <c r="BF2648" s="1"/>
    </row>
    <row r="2649" spans="58:58" x14ac:dyDescent="0.25">
      <c r="BF2649" s="1"/>
    </row>
    <row r="2650" spans="58:58" x14ac:dyDescent="0.25">
      <c r="BF2650" s="1"/>
    </row>
    <row r="2651" spans="58:58" x14ac:dyDescent="0.25">
      <c r="BF2651" s="1"/>
    </row>
    <row r="2652" spans="58:58" x14ac:dyDescent="0.25">
      <c r="BF2652" s="1"/>
    </row>
    <row r="2653" spans="58:58" x14ac:dyDescent="0.25">
      <c r="BF2653" s="1"/>
    </row>
    <row r="2654" spans="58:58" x14ac:dyDescent="0.25">
      <c r="BF2654" s="1"/>
    </row>
    <row r="2655" spans="58:58" x14ac:dyDescent="0.25">
      <c r="BF2655" s="1"/>
    </row>
    <row r="2656" spans="58:58" x14ac:dyDescent="0.25">
      <c r="BF2656" s="1"/>
    </row>
    <row r="2657" spans="58:58" x14ac:dyDescent="0.25">
      <c r="BF2657" s="1"/>
    </row>
    <row r="2658" spans="58:58" x14ac:dyDescent="0.25">
      <c r="BF2658" s="1"/>
    </row>
    <row r="2659" spans="58:58" x14ac:dyDescent="0.25">
      <c r="BF2659" s="1"/>
    </row>
    <row r="2660" spans="58:58" x14ac:dyDescent="0.25">
      <c r="BF2660" s="1"/>
    </row>
    <row r="2661" spans="58:58" x14ac:dyDescent="0.25">
      <c r="BF2661" s="1"/>
    </row>
    <row r="2662" spans="58:58" x14ac:dyDescent="0.25">
      <c r="BF2662" s="1"/>
    </row>
    <row r="2663" spans="58:58" x14ac:dyDescent="0.25">
      <c r="BF2663" s="1"/>
    </row>
    <row r="2664" spans="58:58" x14ac:dyDescent="0.25">
      <c r="BF2664" s="1"/>
    </row>
    <row r="2665" spans="58:58" x14ac:dyDescent="0.25">
      <c r="BF2665" s="1"/>
    </row>
    <row r="2666" spans="58:58" x14ac:dyDescent="0.25">
      <c r="BF2666" s="1"/>
    </row>
    <row r="2667" spans="58:58" x14ac:dyDescent="0.25">
      <c r="BF2667" s="1"/>
    </row>
    <row r="2668" spans="58:58" x14ac:dyDescent="0.25">
      <c r="BF2668" s="1"/>
    </row>
    <row r="2669" spans="58:58" x14ac:dyDescent="0.25">
      <c r="BF2669" s="1"/>
    </row>
    <row r="2670" spans="58:58" x14ac:dyDescent="0.25">
      <c r="BF2670" s="1"/>
    </row>
    <row r="2671" spans="58:58" x14ac:dyDescent="0.25">
      <c r="BF2671" s="1"/>
    </row>
    <row r="2672" spans="58:58" x14ac:dyDescent="0.25">
      <c r="BF2672" s="1"/>
    </row>
    <row r="2673" spans="58:58" x14ac:dyDescent="0.25">
      <c r="BF2673" s="1"/>
    </row>
    <row r="2674" spans="58:58" x14ac:dyDescent="0.25">
      <c r="BF2674" s="1"/>
    </row>
    <row r="2675" spans="58:58" x14ac:dyDescent="0.25">
      <c r="BF2675" s="1"/>
    </row>
    <row r="2676" spans="58:58" x14ac:dyDescent="0.25">
      <c r="BF2676" s="1"/>
    </row>
    <row r="2677" spans="58:58" x14ac:dyDescent="0.25">
      <c r="BF2677" s="1"/>
    </row>
    <row r="2678" spans="58:58" x14ac:dyDescent="0.25">
      <c r="BF2678" s="1"/>
    </row>
    <row r="2679" spans="58:58" x14ac:dyDescent="0.25">
      <c r="BF2679" s="1"/>
    </row>
    <row r="2680" spans="58:58" x14ac:dyDescent="0.25">
      <c r="BF2680" s="1"/>
    </row>
    <row r="2681" spans="58:58" x14ac:dyDescent="0.25">
      <c r="BF2681" s="1"/>
    </row>
    <row r="2682" spans="58:58" x14ac:dyDescent="0.25">
      <c r="BF2682" s="1"/>
    </row>
    <row r="2683" spans="58:58" x14ac:dyDescent="0.25">
      <c r="BF2683" s="1"/>
    </row>
    <row r="2684" spans="58:58" x14ac:dyDescent="0.25">
      <c r="BF2684" s="1"/>
    </row>
    <row r="2685" spans="58:58" x14ac:dyDescent="0.25">
      <c r="BF2685" s="1"/>
    </row>
    <row r="2686" spans="58:58" x14ac:dyDescent="0.25">
      <c r="BF2686" s="1"/>
    </row>
    <row r="2687" spans="58:58" x14ac:dyDescent="0.25">
      <c r="BF2687" s="1"/>
    </row>
    <row r="2688" spans="58:58" x14ac:dyDescent="0.25">
      <c r="BF2688" s="1"/>
    </row>
    <row r="2689" spans="58:58" x14ac:dyDescent="0.25">
      <c r="BF2689" s="1"/>
    </row>
    <row r="2690" spans="58:58" x14ac:dyDescent="0.25">
      <c r="BF2690" s="1"/>
    </row>
    <row r="2691" spans="58:58" x14ac:dyDescent="0.25">
      <c r="BF2691" s="1"/>
    </row>
    <row r="2692" spans="58:58" x14ac:dyDescent="0.25">
      <c r="BF2692" s="1"/>
    </row>
    <row r="2693" spans="58:58" x14ac:dyDescent="0.25">
      <c r="BF2693" s="1"/>
    </row>
    <row r="2694" spans="58:58" x14ac:dyDescent="0.25">
      <c r="BF2694" s="1"/>
    </row>
    <row r="2695" spans="58:58" x14ac:dyDescent="0.25">
      <c r="BF2695" s="1"/>
    </row>
    <row r="2696" spans="58:58" x14ac:dyDescent="0.25">
      <c r="BF2696" s="1"/>
    </row>
    <row r="2697" spans="58:58" x14ac:dyDescent="0.25">
      <c r="BF2697" s="1"/>
    </row>
    <row r="2698" spans="58:58" x14ac:dyDescent="0.25">
      <c r="BF2698" s="1"/>
    </row>
    <row r="2699" spans="58:58" x14ac:dyDescent="0.25">
      <c r="BF2699" s="1"/>
    </row>
    <row r="2700" spans="58:58" x14ac:dyDescent="0.25">
      <c r="BF2700" s="1"/>
    </row>
    <row r="2701" spans="58:58" x14ac:dyDescent="0.25">
      <c r="BF2701" s="1"/>
    </row>
    <row r="2702" spans="58:58" x14ac:dyDescent="0.25">
      <c r="BF2702" s="1"/>
    </row>
    <row r="2703" spans="58:58" x14ac:dyDescent="0.25">
      <c r="BF2703" s="1"/>
    </row>
    <row r="2704" spans="58:58" x14ac:dyDescent="0.25">
      <c r="BF2704" s="1"/>
    </row>
    <row r="2705" spans="58:58" x14ac:dyDescent="0.25">
      <c r="BF2705" s="1"/>
    </row>
    <row r="2706" spans="58:58" x14ac:dyDescent="0.25">
      <c r="BF2706" s="1"/>
    </row>
    <row r="2707" spans="58:58" x14ac:dyDescent="0.25">
      <c r="BF2707" s="1"/>
    </row>
    <row r="2708" spans="58:58" x14ac:dyDescent="0.25">
      <c r="BF2708" s="1"/>
    </row>
    <row r="2709" spans="58:58" x14ac:dyDescent="0.25">
      <c r="BF2709" s="1"/>
    </row>
    <row r="2710" spans="58:58" x14ac:dyDescent="0.25">
      <c r="BF2710" s="1"/>
    </row>
    <row r="2711" spans="58:58" x14ac:dyDescent="0.25">
      <c r="BF2711" s="1"/>
    </row>
    <row r="2712" spans="58:58" x14ac:dyDescent="0.25">
      <c r="BF2712" s="1"/>
    </row>
    <row r="2713" spans="58:58" x14ac:dyDescent="0.25">
      <c r="BF2713" s="1"/>
    </row>
    <row r="2714" spans="58:58" x14ac:dyDescent="0.25">
      <c r="BF2714" s="1"/>
    </row>
    <row r="2715" spans="58:58" x14ac:dyDescent="0.25">
      <c r="BF2715" s="1"/>
    </row>
    <row r="2716" spans="58:58" x14ac:dyDescent="0.25">
      <c r="BF2716" s="1"/>
    </row>
    <row r="2717" spans="58:58" x14ac:dyDescent="0.25">
      <c r="BF2717" s="1"/>
    </row>
    <row r="2718" spans="58:58" x14ac:dyDescent="0.25">
      <c r="BF2718" s="1"/>
    </row>
    <row r="2719" spans="58:58" x14ac:dyDescent="0.25">
      <c r="BF2719" s="1"/>
    </row>
    <row r="2720" spans="58:58" x14ac:dyDescent="0.25">
      <c r="BF2720" s="1"/>
    </row>
    <row r="2721" spans="58:58" x14ac:dyDescent="0.25">
      <c r="BF2721" s="1"/>
    </row>
    <row r="2722" spans="58:58" x14ac:dyDescent="0.25">
      <c r="BF2722" s="1"/>
    </row>
    <row r="2723" spans="58:58" x14ac:dyDescent="0.25">
      <c r="BF2723" s="1"/>
    </row>
    <row r="2724" spans="58:58" x14ac:dyDescent="0.25">
      <c r="BF2724" s="1"/>
    </row>
    <row r="2725" spans="58:58" x14ac:dyDescent="0.25">
      <c r="BF2725" s="1"/>
    </row>
    <row r="2726" spans="58:58" x14ac:dyDescent="0.25">
      <c r="BF2726" s="1"/>
    </row>
    <row r="2727" spans="58:58" x14ac:dyDescent="0.25">
      <c r="BF2727" s="1"/>
    </row>
    <row r="2728" spans="58:58" x14ac:dyDescent="0.25">
      <c r="BF2728" s="1"/>
    </row>
    <row r="2729" spans="58:58" x14ac:dyDescent="0.25">
      <c r="BF2729" s="1"/>
    </row>
    <row r="2730" spans="58:58" x14ac:dyDescent="0.25">
      <c r="BF2730" s="1"/>
    </row>
    <row r="2731" spans="58:58" x14ac:dyDescent="0.25">
      <c r="BF2731" s="1"/>
    </row>
    <row r="2732" spans="58:58" x14ac:dyDescent="0.25">
      <c r="BF2732" s="1"/>
    </row>
    <row r="2733" spans="58:58" x14ac:dyDescent="0.25">
      <c r="BF2733" s="1"/>
    </row>
    <row r="2734" spans="58:58" x14ac:dyDescent="0.25">
      <c r="BF2734" s="1"/>
    </row>
    <row r="2735" spans="58:58" x14ac:dyDescent="0.25">
      <c r="BF2735" s="1"/>
    </row>
    <row r="2736" spans="58:58" x14ac:dyDescent="0.25">
      <c r="BF2736" s="1"/>
    </row>
    <row r="2737" spans="58:58" x14ac:dyDescent="0.25">
      <c r="BF2737" s="1"/>
    </row>
    <row r="2738" spans="58:58" x14ac:dyDescent="0.25">
      <c r="BF2738" s="1"/>
    </row>
    <row r="2739" spans="58:58" x14ac:dyDescent="0.25">
      <c r="BF2739" s="1"/>
    </row>
    <row r="2740" spans="58:58" x14ac:dyDescent="0.25">
      <c r="BF2740" s="1"/>
    </row>
    <row r="2741" spans="58:58" x14ac:dyDescent="0.25">
      <c r="BF2741" s="1"/>
    </row>
    <row r="2742" spans="58:58" x14ac:dyDescent="0.25">
      <c r="BF2742" s="1"/>
    </row>
    <row r="2743" spans="58:58" x14ac:dyDescent="0.25">
      <c r="BF2743" s="1"/>
    </row>
    <row r="2744" spans="58:58" x14ac:dyDescent="0.25">
      <c r="BF2744" s="1"/>
    </row>
    <row r="2745" spans="58:58" x14ac:dyDescent="0.25">
      <c r="BF2745" s="1"/>
    </row>
    <row r="2746" spans="58:58" x14ac:dyDescent="0.25">
      <c r="BF2746" s="1"/>
    </row>
    <row r="2747" spans="58:58" x14ac:dyDescent="0.25">
      <c r="BF2747" s="1"/>
    </row>
    <row r="2748" spans="58:58" x14ac:dyDescent="0.25">
      <c r="BF2748" s="1"/>
    </row>
    <row r="2749" spans="58:58" x14ac:dyDescent="0.25">
      <c r="BF2749" s="1"/>
    </row>
    <row r="2750" spans="58:58" x14ac:dyDescent="0.25">
      <c r="BF2750" s="1"/>
    </row>
    <row r="2751" spans="58:58" x14ac:dyDescent="0.25">
      <c r="BF2751" s="1"/>
    </row>
    <row r="2752" spans="58:58" x14ac:dyDescent="0.25">
      <c r="BF2752" s="1"/>
    </row>
    <row r="2753" spans="58:58" x14ac:dyDescent="0.25">
      <c r="BF2753" s="1"/>
    </row>
    <row r="2754" spans="58:58" x14ac:dyDescent="0.25">
      <c r="BF2754" s="1"/>
    </row>
    <row r="2755" spans="58:58" x14ac:dyDescent="0.25">
      <c r="BF2755" s="1"/>
    </row>
    <row r="2756" spans="58:58" x14ac:dyDescent="0.25">
      <c r="BF2756" s="1"/>
    </row>
    <row r="2757" spans="58:58" x14ac:dyDescent="0.25">
      <c r="BF2757" s="1"/>
    </row>
    <row r="2758" spans="58:58" x14ac:dyDescent="0.25">
      <c r="BF2758" s="1"/>
    </row>
    <row r="2759" spans="58:58" x14ac:dyDescent="0.25">
      <c r="BF2759" s="1"/>
    </row>
    <row r="2760" spans="58:58" x14ac:dyDescent="0.25">
      <c r="BF2760" s="1"/>
    </row>
    <row r="2761" spans="58:58" x14ac:dyDescent="0.25">
      <c r="BF2761" s="1"/>
    </row>
    <row r="2762" spans="58:58" x14ac:dyDescent="0.25">
      <c r="BF2762" s="1"/>
    </row>
    <row r="2763" spans="58:58" x14ac:dyDescent="0.25">
      <c r="BF2763" s="1"/>
    </row>
    <row r="2764" spans="58:58" x14ac:dyDescent="0.25">
      <c r="BF2764" s="1"/>
    </row>
    <row r="2765" spans="58:58" x14ac:dyDescent="0.25">
      <c r="BF2765" s="1"/>
    </row>
    <row r="2766" spans="58:58" x14ac:dyDescent="0.25">
      <c r="BF2766" s="1"/>
    </row>
    <row r="2767" spans="58:58" x14ac:dyDescent="0.25">
      <c r="BF2767" s="1"/>
    </row>
    <row r="2768" spans="58:58" x14ac:dyDescent="0.25">
      <c r="BF2768" s="1"/>
    </row>
    <row r="2769" spans="58:58" x14ac:dyDescent="0.25">
      <c r="BF2769" s="1"/>
    </row>
    <row r="2770" spans="58:58" x14ac:dyDescent="0.25">
      <c r="BF2770" s="1"/>
    </row>
    <row r="2771" spans="58:58" x14ac:dyDescent="0.25">
      <c r="BF2771" s="1"/>
    </row>
    <row r="2772" spans="58:58" x14ac:dyDescent="0.25">
      <c r="BF2772" s="1"/>
    </row>
    <row r="2773" spans="58:58" x14ac:dyDescent="0.25">
      <c r="BF2773" s="1"/>
    </row>
    <row r="2774" spans="58:58" x14ac:dyDescent="0.25">
      <c r="BF2774" s="1"/>
    </row>
    <row r="2775" spans="58:58" x14ac:dyDescent="0.25">
      <c r="BF2775" s="1"/>
    </row>
    <row r="2776" spans="58:58" x14ac:dyDescent="0.25">
      <c r="BF2776" s="1"/>
    </row>
    <row r="2777" spans="58:58" x14ac:dyDescent="0.25">
      <c r="BF2777" s="1"/>
    </row>
    <row r="2778" spans="58:58" x14ac:dyDescent="0.25">
      <c r="BF2778" s="1"/>
    </row>
    <row r="2779" spans="58:58" x14ac:dyDescent="0.25">
      <c r="BF2779" s="1"/>
    </row>
    <row r="2780" spans="58:58" x14ac:dyDescent="0.25">
      <c r="BF2780" s="1"/>
    </row>
    <row r="2781" spans="58:58" x14ac:dyDescent="0.25">
      <c r="BF2781" s="1"/>
    </row>
    <row r="2782" spans="58:58" x14ac:dyDescent="0.25">
      <c r="BF2782" s="1"/>
    </row>
    <row r="2783" spans="58:58" x14ac:dyDescent="0.25">
      <c r="BF2783" s="1"/>
    </row>
    <row r="2784" spans="58:58" x14ac:dyDescent="0.25">
      <c r="BF2784" s="1"/>
    </row>
    <row r="2785" spans="58:58" x14ac:dyDescent="0.25">
      <c r="BF2785" s="1"/>
    </row>
    <row r="2786" spans="58:58" x14ac:dyDescent="0.25">
      <c r="BF2786" s="1"/>
    </row>
    <row r="2787" spans="58:58" x14ac:dyDescent="0.25">
      <c r="BF2787" s="1"/>
    </row>
    <row r="2788" spans="58:58" x14ac:dyDescent="0.25">
      <c r="BF2788" s="1"/>
    </row>
    <row r="2789" spans="58:58" x14ac:dyDescent="0.25">
      <c r="BF2789" s="1"/>
    </row>
    <row r="2790" spans="58:58" x14ac:dyDescent="0.25">
      <c r="BF2790" s="1"/>
    </row>
    <row r="2791" spans="58:58" x14ac:dyDescent="0.25">
      <c r="BF2791" s="1"/>
    </row>
    <row r="2792" spans="58:58" x14ac:dyDescent="0.25">
      <c r="BF2792" s="1"/>
    </row>
    <row r="2793" spans="58:58" x14ac:dyDescent="0.25">
      <c r="BF2793" s="1"/>
    </row>
    <row r="2794" spans="58:58" x14ac:dyDescent="0.25">
      <c r="BF2794" s="1"/>
    </row>
    <row r="2795" spans="58:58" x14ac:dyDescent="0.25">
      <c r="BF2795" s="1"/>
    </row>
    <row r="2796" spans="58:58" x14ac:dyDescent="0.25">
      <c r="BF2796" s="1"/>
    </row>
    <row r="2797" spans="58:58" x14ac:dyDescent="0.25">
      <c r="BF2797" s="1"/>
    </row>
    <row r="2798" spans="58:58" x14ac:dyDescent="0.25">
      <c r="BF2798" s="1"/>
    </row>
    <row r="2799" spans="58:58" x14ac:dyDescent="0.25">
      <c r="BF2799" s="1"/>
    </row>
    <row r="2800" spans="58:58" x14ac:dyDescent="0.25">
      <c r="BF2800" s="1"/>
    </row>
    <row r="2801" spans="58:58" x14ac:dyDescent="0.25">
      <c r="BF2801" s="1"/>
    </row>
    <row r="2802" spans="58:58" x14ac:dyDescent="0.25">
      <c r="BF2802" s="1"/>
    </row>
    <row r="2803" spans="58:58" x14ac:dyDescent="0.25">
      <c r="BF2803" s="1"/>
    </row>
    <row r="2804" spans="58:58" x14ac:dyDescent="0.25">
      <c r="BF2804" s="1"/>
    </row>
    <row r="2805" spans="58:58" x14ac:dyDescent="0.25">
      <c r="BF2805" s="1"/>
    </row>
    <row r="2806" spans="58:58" x14ac:dyDescent="0.25">
      <c r="BF2806" s="1"/>
    </row>
    <row r="2807" spans="58:58" x14ac:dyDescent="0.25">
      <c r="BF2807" s="1"/>
    </row>
    <row r="2808" spans="58:58" x14ac:dyDescent="0.25">
      <c r="BF2808" s="1"/>
    </row>
    <row r="2809" spans="58:58" x14ac:dyDescent="0.25">
      <c r="BF2809" s="1"/>
    </row>
    <row r="2810" spans="58:58" x14ac:dyDescent="0.25">
      <c r="BF2810" s="1"/>
    </row>
    <row r="2811" spans="58:58" x14ac:dyDescent="0.25">
      <c r="BF2811" s="1"/>
    </row>
    <row r="2812" spans="58:58" x14ac:dyDescent="0.25">
      <c r="BF2812" s="1"/>
    </row>
    <row r="2813" spans="58:58" x14ac:dyDescent="0.25">
      <c r="BF2813" s="1"/>
    </row>
    <row r="2814" spans="58:58" x14ac:dyDescent="0.25">
      <c r="BF2814" s="1"/>
    </row>
    <row r="2815" spans="58:58" x14ac:dyDescent="0.25">
      <c r="BF2815" s="1"/>
    </row>
    <row r="2816" spans="58:58" x14ac:dyDescent="0.25">
      <c r="BF2816" s="1"/>
    </row>
    <row r="2817" spans="58:58" x14ac:dyDescent="0.25">
      <c r="BF2817" s="1"/>
    </row>
    <row r="2818" spans="58:58" x14ac:dyDescent="0.25">
      <c r="BF2818" s="1"/>
    </row>
    <row r="2819" spans="58:58" x14ac:dyDescent="0.25">
      <c r="BF2819" s="1"/>
    </row>
    <row r="2820" spans="58:58" x14ac:dyDescent="0.25">
      <c r="BF2820" s="1"/>
    </row>
    <row r="2821" spans="58:58" x14ac:dyDescent="0.25">
      <c r="BF2821" s="1"/>
    </row>
    <row r="2822" spans="58:58" x14ac:dyDescent="0.25">
      <c r="BF2822" s="1"/>
    </row>
    <row r="2823" spans="58:58" x14ac:dyDescent="0.25">
      <c r="BF2823" s="1"/>
    </row>
    <row r="2824" spans="58:58" x14ac:dyDescent="0.25">
      <c r="BF2824" s="1"/>
    </row>
    <row r="2825" spans="58:58" x14ac:dyDescent="0.25">
      <c r="BF2825" s="1"/>
    </row>
    <row r="2826" spans="58:58" x14ac:dyDescent="0.25">
      <c r="BF2826" s="1"/>
    </row>
    <row r="2827" spans="58:58" x14ac:dyDescent="0.25">
      <c r="BF2827" s="1"/>
    </row>
    <row r="2828" spans="58:58" x14ac:dyDescent="0.25">
      <c r="BF2828" s="1"/>
    </row>
    <row r="2829" spans="58:58" x14ac:dyDescent="0.25">
      <c r="BF2829" s="1"/>
    </row>
    <row r="2830" spans="58:58" x14ac:dyDescent="0.25">
      <c r="BF2830" s="1"/>
    </row>
    <row r="2831" spans="58:58" x14ac:dyDescent="0.25">
      <c r="BF2831" s="1"/>
    </row>
    <row r="2832" spans="58:58" x14ac:dyDescent="0.25">
      <c r="BF2832" s="1"/>
    </row>
    <row r="2833" spans="58:58" x14ac:dyDescent="0.25">
      <c r="BF2833" s="1"/>
    </row>
    <row r="2834" spans="58:58" x14ac:dyDescent="0.25">
      <c r="BF2834" s="1"/>
    </row>
    <row r="2835" spans="58:58" x14ac:dyDescent="0.25">
      <c r="BF2835" s="1"/>
    </row>
    <row r="2836" spans="58:58" x14ac:dyDescent="0.25">
      <c r="BF2836" s="1"/>
    </row>
    <row r="2837" spans="58:58" x14ac:dyDescent="0.25">
      <c r="BF2837" s="1"/>
    </row>
    <row r="2838" spans="58:58" x14ac:dyDescent="0.25">
      <c r="BF2838" s="1"/>
    </row>
    <row r="2839" spans="58:58" x14ac:dyDescent="0.25">
      <c r="BF2839" s="1"/>
    </row>
    <row r="2840" spans="58:58" x14ac:dyDescent="0.25">
      <c r="BF2840" s="1"/>
    </row>
    <row r="2841" spans="58:58" x14ac:dyDescent="0.25">
      <c r="BF2841" s="1"/>
    </row>
    <row r="2842" spans="58:58" x14ac:dyDescent="0.25">
      <c r="BF2842" s="1"/>
    </row>
    <row r="2843" spans="58:58" x14ac:dyDescent="0.25">
      <c r="BF2843" s="1"/>
    </row>
    <row r="2844" spans="58:58" x14ac:dyDescent="0.25">
      <c r="BF2844" s="1"/>
    </row>
    <row r="2845" spans="58:58" x14ac:dyDescent="0.25">
      <c r="BF2845" s="1"/>
    </row>
    <row r="2846" spans="58:58" x14ac:dyDescent="0.25">
      <c r="BF2846" s="1"/>
    </row>
    <row r="2847" spans="58:58" x14ac:dyDescent="0.25">
      <c r="BF2847" s="1"/>
    </row>
    <row r="2848" spans="58:58" x14ac:dyDescent="0.25">
      <c r="BF2848" s="1"/>
    </row>
    <row r="2849" spans="58:58" x14ac:dyDescent="0.25">
      <c r="BF2849" s="1"/>
    </row>
    <row r="2850" spans="58:58" x14ac:dyDescent="0.25">
      <c r="BF2850" s="1"/>
    </row>
    <row r="2851" spans="58:58" x14ac:dyDescent="0.25">
      <c r="BF2851" s="1"/>
    </row>
    <row r="2852" spans="58:58" x14ac:dyDescent="0.25">
      <c r="BF2852" s="1"/>
    </row>
    <row r="2853" spans="58:58" x14ac:dyDescent="0.25">
      <c r="BF2853" s="1"/>
    </row>
    <row r="2854" spans="58:58" x14ac:dyDescent="0.25">
      <c r="BF2854" s="1"/>
    </row>
    <row r="2855" spans="58:58" x14ac:dyDescent="0.25">
      <c r="BF2855" s="1"/>
    </row>
    <row r="2856" spans="58:58" x14ac:dyDescent="0.25">
      <c r="BF2856" s="1"/>
    </row>
    <row r="2857" spans="58:58" x14ac:dyDescent="0.25">
      <c r="BF2857" s="1"/>
    </row>
    <row r="2858" spans="58:58" x14ac:dyDescent="0.25">
      <c r="BF2858" s="1"/>
    </row>
    <row r="2859" spans="58:58" x14ac:dyDescent="0.25">
      <c r="BF2859" s="1"/>
    </row>
    <row r="2860" spans="58:58" x14ac:dyDescent="0.25">
      <c r="BF2860" s="1"/>
    </row>
    <row r="2861" spans="58:58" x14ac:dyDescent="0.25">
      <c r="BF2861" s="1"/>
    </row>
    <row r="2862" spans="58:58" x14ac:dyDescent="0.25">
      <c r="BF2862" s="1"/>
    </row>
    <row r="2863" spans="58:58" x14ac:dyDescent="0.25">
      <c r="BF2863" s="1"/>
    </row>
    <row r="2864" spans="58:58" x14ac:dyDescent="0.25">
      <c r="BF2864" s="1"/>
    </row>
    <row r="2865" spans="58:58" x14ac:dyDescent="0.25">
      <c r="BF2865" s="1"/>
    </row>
    <row r="2866" spans="58:58" x14ac:dyDescent="0.25">
      <c r="BF2866" s="1"/>
    </row>
    <row r="2867" spans="58:58" x14ac:dyDescent="0.25">
      <c r="BF2867" s="1"/>
    </row>
    <row r="2868" spans="58:58" x14ac:dyDescent="0.25">
      <c r="BF2868" s="1"/>
    </row>
    <row r="2869" spans="58:58" x14ac:dyDescent="0.25">
      <c r="BF2869" s="1"/>
    </row>
    <row r="2870" spans="58:58" x14ac:dyDescent="0.25">
      <c r="BF2870" s="1"/>
    </row>
    <row r="2871" spans="58:58" x14ac:dyDescent="0.25">
      <c r="BF2871" s="1"/>
    </row>
    <row r="2872" spans="58:58" x14ac:dyDescent="0.25">
      <c r="BF2872" s="1"/>
    </row>
    <row r="2873" spans="58:58" x14ac:dyDescent="0.25">
      <c r="BF2873" s="1"/>
    </row>
    <row r="2874" spans="58:58" x14ac:dyDescent="0.25">
      <c r="BF2874" s="1"/>
    </row>
    <row r="2875" spans="58:58" x14ac:dyDescent="0.25">
      <c r="BF2875" s="1"/>
    </row>
    <row r="2876" spans="58:58" x14ac:dyDescent="0.25">
      <c r="BF2876" s="1"/>
    </row>
    <row r="2877" spans="58:58" x14ac:dyDescent="0.25">
      <c r="BF2877" s="1"/>
    </row>
    <row r="2878" spans="58:58" x14ac:dyDescent="0.25">
      <c r="BF2878" s="1"/>
    </row>
    <row r="2879" spans="58:58" x14ac:dyDescent="0.25">
      <c r="BF2879" s="1"/>
    </row>
    <row r="2880" spans="58:58" x14ac:dyDescent="0.25">
      <c r="BF2880" s="1"/>
    </row>
    <row r="2881" spans="58:58" x14ac:dyDescent="0.25">
      <c r="BF2881" s="1"/>
    </row>
    <row r="2882" spans="58:58" x14ac:dyDescent="0.25">
      <c r="BF2882" s="1"/>
    </row>
    <row r="2883" spans="58:58" x14ac:dyDescent="0.25">
      <c r="BF2883" s="1"/>
    </row>
    <row r="2884" spans="58:58" x14ac:dyDescent="0.25">
      <c r="BF2884" s="1"/>
    </row>
    <row r="2885" spans="58:58" x14ac:dyDescent="0.25">
      <c r="BF2885" s="1"/>
    </row>
    <row r="2886" spans="58:58" x14ac:dyDescent="0.25">
      <c r="BF2886" s="1"/>
    </row>
    <row r="2887" spans="58:58" x14ac:dyDescent="0.25">
      <c r="BF2887" s="1"/>
    </row>
    <row r="2888" spans="58:58" x14ac:dyDescent="0.25">
      <c r="BF2888" s="1"/>
    </row>
    <row r="2889" spans="58:58" x14ac:dyDescent="0.25">
      <c r="BF2889" s="1"/>
    </row>
    <row r="2890" spans="58:58" x14ac:dyDescent="0.25">
      <c r="BF2890" s="1"/>
    </row>
    <row r="2891" spans="58:58" x14ac:dyDescent="0.25">
      <c r="BF2891" s="1"/>
    </row>
    <row r="2892" spans="58:58" x14ac:dyDescent="0.25">
      <c r="BF2892" s="1"/>
    </row>
    <row r="2893" spans="58:58" x14ac:dyDescent="0.25">
      <c r="BF2893" s="1"/>
    </row>
    <row r="2894" spans="58:58" x14ac:dyDescent="0.25">
      <c r="BF2894" s="1"/>
    </row>
    <row r="2895" spans="58:58" x14ac:dyDescent="0.25">
      <c r="BF2895" s="1"/>
    </row>
    <row r="2896" spans="58:58" x14ac:dyDescent="0.25">
      <c r="BF2896" s="1"/>
    </row>
    <row r="2897" spans="58:58" x14ac:dyDescent="0.25">
      <c r="BF2897" s="1"/>
    </row>
    <row r="2898" spans="58:58" x14ac:dyDescent="0.25">
      <c r="BF2898" s="1"/>
    </row>
    <row r="2899" spans="58:58" x14ac:dyDescent="0.25">
      <c r="BF2899" s="1"/>
    </row>
    <row r="2900" spans="58:58" x14ac:dyDescent="0.25">
      <c r="BF2900" s="1"/>
    </row>
    <row r="2901" spans="58:58" x14ac:dyDescent="0.25">
      <c r="BF2901" s="1"/>
    </row>
    <row r="2902" spans="58:58" x14ac:dyDescent="0.25">
      <c r="BF2902" s="1"/>
    </row>
    <row r="2903" spans="58:58" x14ac:dyDescent="0.25">
      <c r="BF2903" s="1"/>
    </row>
    <row r="2904" spans="58:58" x14ac:dyDescent="0.25">
      <c r="BF2904" s="1"/>
    </row>
    <row r="2905" spans="58:58" x14ac:dyDescent="0.25">
      <c r="BF2905" s="1"/>
    </row>
    <row r="2906" spans="58:58" x14ac:dyDescent="0.25">
      <c r="BF2906" s="1"/>
    </row>
    <row r="2907" spans="58:58" x14ac:dyDescent="0.25">
      <c r="BF2907" s="1"/>
    </row>
    <row r="2908" spans="58:58" x14ac:dyDescent="0.25">
      <c r="BF2908" s="1"/>
    </row>
    <row r="2909" spans="58:58" x14ac:dyDescent="0.25">
      <c r="BF2909" s="1"/>
    </row>
    <row r="2910" spans="58:58" x14ac:dyDescent="0.25">
      <c r="BF2910" s="1"/>
    </row>
    <row r="2911" spans="58:58" x14ac:dyDescent="0.25">
      <c r="BF2911" s="1"/>
    </row>
    <row r="2912" spans="58:58" x14ac:dyDescent="0.25">
      <c r="BF2912" s="1"/>
    </row>
    <row r="2913" spans="58:58" x14ac:dyDescent="0.25">
      <c r="BF2913" s="1"/>
    </row>
    <row r="2914" spans="58:58" x14ac:dyDescent="0.25">
      <c r="BF2914" s="1"/>
    </row>
    <row r="2915" spans="58:58" x14ac:dyDescent="0.25">
      <c r="BF2915" s="1"/>
    </row>
    <row r="2916" spans="58:58" x14ac:dyDescent="0.25">
      <c r="BF2916" s="1"/>
    </row>
    <row r="2917" spans="58:58" x14ac:dyDescent="0.25">
      <c r="BF2917" s="1"/>
    </row>
    <row r="2918" spans="58:58" x14ac:dyDescent="0.25">
      <c r="BF2918" s="1"/>
    </row>
    <row r="2919" spans="58:58" x14ac:dyDescent="0.25">
      <c r="BF2919" s="1"/>
    </row>
    <row r="2920" spans="58:58" x14ac:dyDescent="0.25">
      <c r="BF2920" s="1"/>
    </row>
    <row r="2921" spans="58:58" x14ac:dyDescent="0.25">
      <c r="BF2921" s="1"/>
    </row>
    <row r="2922" spans="58:58" x14ac:dyDescent="0.25">
      <c r="BF2922" s="1"/>
    </row>
    <row r="2923" spans="58:58" x14ac:dyDescent="0.25">
      <c r="BF2923" s="1"/>
    </row>
    <row r="2924" spans="58:58" x14ac:dyDescent="0.25">
      <c r="BF2924" s="1"/>
    </row>
    <row r="2925" spans="58:58" x14ac:dyDescent="0.25">
      <c r="BF2925" s="1"/>
    </row>
    <row r="2926" spans="58:58" x14ac:dyDescent="0.25">
      <c r="BF2926" s="1"/>
    </row>
    <row r="2927" spans="58:58" x14ac:dyDescent="0.25">
      <c r="BF2927" s="1"/>
    </row>
    <row r="2928" spans="58:58" x14ac:dyDescent="0.25">
      <c r="BF2928" s="1"/>
    </row>
    <row r="2929" spans="58:58" x14ac:dyDescent="0.25">
      <c r="BF2929" s="1"/>
    </row>
    <row r="2930" spans="58:58" x14ac:dyDescent="0.25">
      <c r="BF2930" s="1"/>
    </row>
    <row r="2931" spans="58:58" x14ac:dyDescent="0.25">
      <c r="BF2931" s="1"/>
    </row>
    <row r="2932" spans="58:58" x14ac:dyDescent="0.25">
      <c r="BF2932" s="1"/>
    </row>
    <row r="2933" spans="58:58" x14ac:dyDescent="0.25">
      <c r="BF2933" s="1"/>
    </row>
    <row r="2934" spans="58:58" x14ac:dyDescent="0.25">
      <c r="BF2934" s="1"/>
    </row>
    <row r="2935" spans="58:58" x14ac:dyDescent="0.25">
      <c r="BF2935" s="1"/>
    </row>
    <row r="2936" spans="58:58" x14ac:dyDescent="0.25">
      <c r="BF2936" s="1"/>
    </row>
    <row r="2937" spans="58:58" x14ac:dyDescent="0.25">
      <c r="BF2937" s="1"/>
    </row>
    <row r="2938" spans="58:58" x14ac:dyDescent="0.25">
      <c r="BF2938" s="1"/>
    </row>
    <row r="2939" spans="58:58" x14ac:dyDescent="0.25">
      <c r="BF2939" s="1"/>
    </row>
    <row r="2940" spans="58:58" x14ac:dyDescent="0.25">
      <c r="BF2940" s="1"/>
    </row>
    <row r="2941" spans="58:58" x14ac:dyDescent="0.25">
      <c r="BF2941" s="1"/>
    </row>
    <row r="2942" spans="58:58" x14ac:dyDescent="0.25">
      <c r="BF2942" s="1"/>
    </row>
    <row r="2943" spans="58:58" x14ac:dyDescent="0.25">
      <c r="BF2943" s="1"/>
    </row>
    <row r="2944" spans="58:58" x14ac:dyDescent="0.25">
      <c r="BF2944" s="1"/>
    </row>
    <row r="2945" spans="58:58" x14ac:dyDescent="0.25">
      <c r="BF2945" s="1"/>
    </row>
    <row r="2946" spans="58:58" x14ac:dyDescent="0.25">
      <c r="BF2946" s="1"/>
    </row>
    <row r="2947" spans="58:58" x14ac:dyDescent="0.25">
      <c r="BF2947" s="1"/>
    </row>
    <row r="2948" spans="58:58" x14ac:dyDescent="0.25">
      <c r="BF2948" s="1"/>
    </row>
    <row r="2949" spans="58:58" x14ac:dyDescent="0.25">
      <c r="BF2949" s="1"/>
    </row>
    <row r="2950" spans="58:58" x14ac:dyDescent="0.25">
      <c r="BF2950" s="1"/>
    </row>
    <row r="2951" spans="58:58" x14ac:dyDescent="0.25">
      <c r="BF2951" s="1"/>
    </row>
    <row r="2952" spans="58:58" x14ac:dyDescent="0.25">
      <c r="BF2952" s="1"/>
    </row>
    <row r="2953" spans="58:58" x14ac:dyDescent="0.25">
      <c r="BF2953" s="1"/>
    </row>
    <row r="2954" spans="58:58" x14ac:dyDescent="0.25">
      <c r="BF2954" s="1"/>
    </row>
    <row r="2955" spans="58:58" x14ac:dyDescent="0.25">
      <c r="BF2955" s="1"/>
    </row>
    <row r="2956" spans="58:58" x14ac:dyDescent="0.25">
      <c r="BF2956" s="1"/>
    </row>
    <row r="2957" spans="58:58" x14ac:dyDescent="0.25">
      <c r="BF2957" s="1"/>
    </row>
    <row r="2958" spans="58:58" x14ac:dyDescent="0.25">
      <c r="BF2958" s="1"/>
    </row>
    <row r="2959" spans="58:58" x14ac:dyDescent="0.25">
      <c r="BF2959" s="1"/>
    </row>
    <row r="2960" spans="58:58" x14ac:dyDescent="0.25">
      <c r="BF2960" s="1"/>
    </row>
    <row r="2961" spans="58:58" x14ac:dyDescent="0.25">
      <c r="BF2961" s="1"/>
    </row>
    <row r="2962" spans="58:58" x14ac:dyDescent="0.25">
      <c r="BF2962" s="1"/>
    </row>
    <row r="2963" spans="58:58" x14ac:dyDescent="0.25">
      <c r="BF2963" s="1"/>
    </row>
    <row r="2964" spans="58:58" x14ac:dyDescent="0.25">
      <c r="BF2964" s="1"/>
    </row>
    <row r="2965" spans="58:58" x14ac:dyDescent="0.25">
      <c r="BF2965" s="1"/>
    </row>
    <row r="2966" spans="58:58" x14ac:dyDescent="0.25">
      <c r="BF2966" s="1"/>
    </row>
    <row r="2967" spans="58:58" x14ac:dyDescent="0.25">
      <c r="BF2967" s="1"/>
    </row>
    <row r="2968" spans="58:58" x14ac:dyDescent="0.25">
      <c r="BF2968" s="1"/>
    </row>
    <row r="2969" spans="58:58" x14ac:dyDescent="0.25">
      <c r="BF2969" s="1"/>
    </row>
    <row r="2970" spans="58:58" x14ac:dyDescent="0.25">
      <c r="BF2970" s="1"/>
    </row>
    <row r="2971" spans="58:58" x14ac:dyDescent="0.25">
      <c r="BF2971" s="1"/>
    </row>
    <row r="2972" spans="58:58" x14ac:dyDescent="0.25">
      <c r="BF2972" s="1"/>
    </row>
    <row r="2973" spans="58:58" x14ac:dyDescent="0.25">
      <c r="BF2973" s="1"/>
    </row>
    <row r="2974" spans="58:58" x14ac:dyDescent="0.25">
      <c r="BF2974" s="1"/>
    </row>
    <row r="2975" spans="58:58" x14ac:dyDescent="0.25">
      <c r="BF2975" s="1"/>
    </row>
    <row r="2976" spans="58:58" x14ac:dyDescent="0.25">
      <c r="BF2976" s="1"/>
    </row>
    <row r="2977" spans="58:58" x14ac:dyDescent="0.25">
      <c r="BF2977" s="1"/>
    </row>
    <row r="2978" spans="58:58" x14ac:dyDescent="0.25">
      <c r="BF2978" s="1"/>
    </row>
    <row r="2979" spans="58:58" x14ac:dyDescent="0.25">
      <c r="BF2979" s="1"/>
    </row>
    <row r="2980" spans="58:58" x14ac:dyDescent="0.25">
      <c r="BF2980" s="1"/>
    </row>
    <row r="2981" spans="58:58" x14ac:dyDescent="0.25">
      <c r="BF2981" s="1"/>
    </row>
    <row r="2982" spans="58:58" x14ac:dyDescent="0.25">
      <c r="BF2982" s="1"/>
    </row>
    <row r="2983" spans="58:58" x14ac:dyDescent="0.25">
      <c r="BF2983" s="1"/>
    </row>
    <row r="2984" spans="58:58" x14ac:dyDescent="0.25">
      <c r="BF2984" s="1"/>
    </row>
    <row r="2985" spans="58:58" x14ac:dyDescent="0.25">
      <c r="BF2985" s="1"/>
    </row>
    <row r="2986" spans="58:58" x14ac:dyDescent="0.25">
      <c r="BF2986" s="1"/>
    </row>
    <row r="2987" spans="58:58" x14ac:dyDescent="0.25">
      <c r="BF2987" s="1"/>
    </row>
    <row r="2988" spans="58:58" x14ac:dyDescent="0.25">
      <c r="BF2988" s="1"/>
    </row>
    <row r="2989" spans="58:58" x14ac:dyDescent="0.25">
      <c r="BF2989" s="1"/>
    </row>
    <row r="2990" spans="58:58" x14ac:dyDescent="0.25">
      <c r="BF2990" s="1"/>
    </row>
    <row r="2991" spans="58:58" x14ac:dyDescent="0.25">
      <c r="BF2991" s="1"/>
    </row>
    <row r="2992" spans="58:58" x14ac:dyDescent="0.25">
      <c r="BF2992" s="1"/>
    </row>
    <row r="2993" spans="58:58" x14ac:dyDescent="0.25">
      <c r="BF2993" s="1"/>
    </row>
    <row r="2994" spans="58:58" x14ac:dyDescent="0.25">
      <c r="BF2994" s="1"/>
    </row>
    <row r="2995" spans="58:58" x14ac:dyDescent="0.25">
      <c r="BF2995" s="1"/>
    </row>
    <row r="2996" spans="58:58" x14ac:dyDescent="0.25">
      <c r="BF2996" s="1"/>
    </row>
    <row r="2997" spans="58:58" x14ac:dyDescent="0.25">
      <c r="BF2997" s="1"/>
    </row>
    <row r="2998" spans="58:58" x14ac:dyDescent="0.25">
      <c r="BF2998" s="1"/>
    </row>
    <row r="2999" spans="58:58" x14ac:dyDescent="0.25">
      <c r="BF2999" s="1"/>
    </row>
    <row r="3000" spans="58:58" x14ac:dyDescent="0.25">
      <c r="BF3000" s="1"/>
    </row>
    <row r="3001" spans="58:58" x14ac:dyDescent="0.25">
      <c r="BF3001" s="1"/>
    </row>
    <row r="3002" spans="58:58" x14ac:dyDescent="0.25">
      <c r="BF3002" s="1"/>
    </row>
    <row r="3003" spans="58:58" x14ac:dyDescent="0.25">
      <c r="BF3003" s="1"/>
    </row>
    <row r="3004" spans="58:58" x14ac:dyDescent="0.25">
      <c r="BF3004" s="1"/>
    </row>
    <row r="3005" spans="58:58" x14ac:dyDescent="0.25">
      <c r="BF3005" s="1"/>
    </row>
    <row r="3006" spans="58:58" x14ac:dyDescent="0.25">
      <c r="BF3006" s="1"/>
    </row>
    <row r="3007" spans="58:58" x14ac:dyDescent="0.25">
      <c r="BF3007" s="1"/>
    </row>
    <row r="3008" spans="58:58" x14ac:dyDescent="0.25">
      <c r="BF3008" s="1"/>
    </row>
    <row r="3009" spans="58:58" x14ac:dyDescent="0.25">
      <c r="BF3009" s="1"/>
    </row>
    <row r="3010" spans="58:58" x14ac:dyDescent="0.25">
      <c r="BF3010" s="1"/>
    </row>
    <row r="3011" spans="58:58" x14ac:dyDescent="0.25">
      <c r="BF3011" s="1"/>
    </row>
    <row r="3012" spans="58:58" x14ac:dyDescent="0.25">
      <c r="BF3012" s="1"/>
    </row>
    <row r="3013" spans="58:58" x14ac:dyDescent="0.25">
      <c r="BF3013" s="1"/>
    </row>
    <row r="3014" spans="58:58" x14ac:dyDescent="0.25">
      <c r="BF3014" s="1"/>
    </row>
    <row r="3015" spans="58:58" x14ac:dyDescent="0.25">
      <c r="BF3015" s="1"/>
    </row>
    <row r="3016" spans="58:58" x14ac:dyDescent="0.25">
      <c r="BF3016" s="1"/>
    </row>
    <row r="3017" spans="58:58" x14ac:dyDescent="0.25">
      <c r="BF3017" s="1"/>
    </row>
    <row r="3018" spans="58:58" x14ac:dyDescent="0.25">
      <c r="BF3018" s="1"/>
    </row>
    <row r="3019" spans="58:58" x14ac:dyDescent="0.25">
      <c r="BF3019" s="1"/>
    </row>
    <row r="3020" spans="58:58" x14ac:dyDescent="0.25">
      <c r="BF3020" s="1"/>
    </row>
    <row r="3021" spans="58:58" x14ac:dyDescent="0.25">
      <c r="BF3021" s="1"/>
    </row>
    <row r="3022" spans="58:58" x14ac:dyDescent="0.25">
      <c r="BF3022" s="1"/>
    </row>
    <row r="3023" spans="58:58" x14ac:dyDescent="0.25">
      <c r="BF3023" s="1"/>
    </row>
    <row r="3024" spans="58:58" x14ac:dyDescent="0.25">
      <c r="BF3024" s="1"/>
    </row>
    <row r="3025" spans="58:58" x14ac:dyDescent="0.25">
      <c r="BF3025" s="1"/>
    </row>
    <row r="3026" spans="58:58" x14ac:dyDescent="0.25">
      <c r="BF3026" s="1"/>
    </row>
    <row r="3027" spans="58:58" x14ac:dyDescent="0.25">
      <c r="BF3027" s="1"/>
    </row>
    <row r="3028" spans="58:58" x14ac:dyDescent="0.25">
      <c r="BF3028" s="1"/>
    </row>
    <row r="3029" spans="58:58" x14ac:dyDescent="0.25">
      <c r="BF3029" s="1"/>
    </row>
    <row r="3030" spans="58:58" x14ac:dyDescent="0.25">
      <c r="BF3030" s="1"/>
    </row>
    <row r="3031" spans="58:58" x14ac:dyDescent="0.25">
      <c r="BF3031" s="1"/>
    </row>
    <row r="3032" spans="58:58" x14ac:dyDescent="0.25">
      <c r="BF3032" s="1"/>
    </row>
    <row r="3033" spans="58:58" x14ac:dyDescent="0.25">
      <c r="BF3033" s="1"/>
    </row>
    <row r="3034" spans="58:58" x14ac:dyDescent="0.25">
      <c r="BF3034" s="1"/>
    </row>
    <row r="3035" spans="58:58" x14ac:dyDescent="0.25">
      <c r="BF3035" s="1"/>
    </row>
    <row r="3036" spans="58:58" x14ac:dyDescent="0.25">
      <c r="BF3036" s="1"/>
    </row>
    <row r="3037" spans="58:58" x14ac:dyDescent="0.25">
      <c r="BF3037" s="1"/>
    </row>
    <row r="3038" spans="58:58" x14ac:dyDescent="0.25">
      <c r="BF3038" s="1"/>
    </row>
    <row r="3039" spans="58:58" x14ac:dyDescent="0.25">
      <c r="BF3039" s="1"/>
    </row>
    <row r="3040" spans="58:58" x14ac:dyDescent="0.25">
      <c r="BF3040" s="1"/>
    </row>
    <row r="3041" spans="58:58" x14ac:dyDescent="0.25">
      <c r="BF3041" s="1"/>
    </row>
    <row r="3042" spans="58:58" x14ac:dyDescent="0.25">
      <c r="BF3042" s="1"/>
    </row>
    <row r="3043" spans="58:58" x14ac:dyDescent="0.25">
      <c r="BF3043" s="1"/>
    </row>
    <row r="3044" spans="58:58" x14ac:dyDescent="0.25">
      <c r="BF3044" s="1"/>
    </row>
    <row r="3045" spans="58:58" x14ac:dyDescent="0.25">
      <c r="BF3045" s="1"/>
    </row>
    <row r="3046" spans="58:58" x14ac:dyDescent="0.25">
      <c r="BF3046" s="1"/>
    </row>
    <row r="3047" spans="58:58" x14ac:dyDescent="0.25">
      <c r="BF3047" s="1"/>
    </row>
    <row r="3048" spans="58:58" x14ac:dyDescent="0.25">
      <c r="BF3048" s="1"/>
    </row>
    <row r="3049" spans="58:58" x14ac:dyDescent="0.25">
      <c r="BF3049" s="1"/>
    </row>
    <row r="3050" spans="58:58" x14ac:dyDescent="0.25">
      <c r="BF3050" s="1"/>
    </row>
    <row r="3051" spans="58:58" x14ac:dyDescent="0.25">
      <c r="BF3051" s="1"/>
    </row>
    <row r="3052" spans="58:58" x14ac:dyDescent="0.25">
      <c r="BF3052" s="1"/>
    </row>
    <row r="3053" spans="58:58" x14ac:dyDescent="0.25">
      <c r="BF3053" s="1"/>
    </row>
    <row r="3054" spans="58:58" x14ac:dyDescent="0.25">
      <c r="BF3054" s="1"/>
    </row>
    <row r="3055" spans="58:58" x14ac:dyDescent="0.25">
      <c r="BF3055" s="1"/>
    </row>
    <row r="3056" spans="58:58" x14ac:dyDescent="0.25">
      <c r="BF3056" s="1"/>
    </row>
    <row r="3057" spans="58:58" x14ac:dyDescent="0.25">
      <c r="BF3057" s="1"/>
    </row>
    <row r="3058" spans="58:58" x14ac:dyDescent="0.25">
      <c r="BF3058" s="1"/>
    </row>
    <row r="3059" spans="58:58" x14ac:dyDescent="0.25">
      <c r="BF3059" s="1"/>
    </row>
    <row r="3060" spans="58:58" x14ac:dyDescent="0.25">
      <c r="BF3060" s="1"/>
    </row>
    <row r="3061" spans="58:58" x14ac:dyDescent="0.25">
      <c r="BF3061" s="1"/>
    </row>
    <row r="3062" spans="58:58" x14ac:dyDescent="0.25">
      <c r="BF3062" s="1"/>
    </row>
    <row r="3063" spans="58:58" x14ac:dyDescent="0.25">
      <c r="BF3063" s="1"/>
    </row>
    <row r="3064" spans="58:58" x14ac:dyDescent="0.25">
      <c r="BF3064" s="1"/>
    </row>
    <row r="3065" spans="58:58" x14ac:dyDescent="0.25">
      <c r="BF3065" s="1"/>
    </row>
    <row r="3066" spans="58:58" x14ac:dyDescent="0.25">
      <c r="BF3066" s="1"/>
    </row>
    <row r="3067" spans="58:58" x14ac:dyDescent="0.25">
      <c r="BF3067" s="1"/>
    </row>
    <row r="3068" spans="58:58" x14ac:dyDescent="0.25">
      <c r="BF3068" s="1"/>
    </row>
    <row r="3069" spans="58:58" x14ac:dyDescent="0.25">
      <c r="BF3069" s="1"/>
    </row>
    <row r="3070" spans="58:58" x14ac:dyDescent="0.25">
      <c r="BF3070" s="1"/>
    </row>
    <row r="3071" spans="58:58" x14ac:dyDescent="0.25">
      <c r="BF3071" s="1"/>
    </row>
    <row r="3072" spans="58:58" x14ac:dyDescent="0.25">
      <c r="BF3072" s="1"/>
    </row>
    <row r="3073" spans="58:58" x14ac:dyDescent="0.25">
      <c r="BF3073" s="1"/>
    </row>
    <row r="3074" spans="58:58" x14ac:dyDescent="0.25">
      <c r="BF3074" s="1"/>
    </row>
    <row r="3075" spans="58:58" x14ac:dyDescent="0.25">
      <c r="BF3075" s="1"/>
    </row>
    <row r="3076" spans="58:58" x14ac:dyDescent="0.25">
      <c r="BF3076" s="1"/>
    </row>
    <row r="3077" spans="58:58" x14ac:dyDescent="0.25">
      <c r="BF3077" s="1"/>
    </row>
    <row r="3078" spans="58:58" x14ac:dyDescent="0.25">
      <c r="BF3078" s="1"/>
    </row>
    <row r="3079" spans="58:58" x14ac:dyDescent="0.25">
      <c r="BF3079" s="1"/>
    </row>
    <row r="3080" spans="58:58" x14ac:dyDescent="0.25">
      <c r="BF3080" s="1"/>
    </row>
    <row r="3081" spans="58:58" x14ac:dyDescent="0.25">
      <c r="BF3081" s="1"/>
    </row>
    <row r="3082" spans="58:58" x14ac:dyDescent="0.25">
      <c r="BF3082" s="1"/>
    </row>
    <row r="3083" spans="58:58" x14ac:dyDescent="0.25">
      <c r="BF3083" s="1"/>
    </row>
    <row r="3084" spans="58:58" x14ac:dyDescent="0.25">
      <c r="BF3084" s="1"/>
    </row>
    <row r="3085" spans="58:58" x14ac:dyDescent="0.25">
      <c r="BF3085" s="1"/>
    </row>
    <row r="3086" spans="58:58" x14ac:dyDescent="0.25">
      <c r="BF3086" s="1"/>
    </row>
    <row r="3087" spans="58:58" x14ac:dyDescent="0.25">
      <c r="BF3087" s="1"/>
    </row>
    <row r="3088" spans="58:58" x14ac:dyDescent="0.25">
      <c r="BF3088" s="1"/>
    </row>
    <row r="3089" spans="58:58" x14ac:dyDescent="0.25">
      <c r="BF3089" s="1"/>
    </row>
    <row r="3090" spans="58:58" x14ac:dyDescent="0.25">
      <c r="BF3090" s="1"/>
    </row>
    <row r="3091" spans="58:58" x14ac:dyDescent="0.25">
      <c r="BF3091" s="1"/>
    </row>
    <row r="3092" spans="58:58" x14ac:dyDescent="0.25">
      <c r="BF3092" s="1"/>
    </row>
    <row r="3093" spans="58:58" x14ac:dyDescent="0.25">
      <c r="BF3093" s="1"/>
    </row>
    <row r="3094" spans="58:58" x14ac:dyDescent="0.25">
      <c r="BF3094" s="1"/>
    </row>
    <row r="3095" spans="58:58" x14ac:dyDescent="0.25">
      <c r="BF3095" s="1"/>
    </row>
    <row r="3096" spans="58:58" x14ac:dyDescent="0.25">
      <c r="BF3096" s="1"/>
    </row>
    <row r="3097" spans="58:58" x14ac:dyDescent="0.25">
      <c r="BF3097" s="1"/>
    </row>
    <row r="3098" spans="58:58" x14ac:dyDescent="0.25">
      <c r="BF3098" s="1"/>
    </row>
    <row r="3099" spans="58:58" x14ac:dyDescent="0.25">
      <c r="BF3099" s="1"/>
    </row>
    <row r="3100" spans="58:58" x14ac:dyDescent="0.25">
      <c r="BF3100" s="1"/>
    </row>
    <row r="3101" spans="58:58" x14ac:dyDescent="0.25">
      <c r="BF3101" s="1"/>
    </row>
    <row r="3102" spans="58:58" x14ac:dyDescent="0.25">
      <c r="BF3102" s="1"/>
    </row>
    <row r="3103" spans="58:58" x14ac:dyDescent="0.25">
      <c r="BF3103" s="1"/>
    </row>
    <row r="3104" spans="58:58" x14ac:dyDescent="0.25">
      <c r="BF3104" s="1"/>
    </row>
    <row r="3105" spans="58:58" x14ac:dyDescent="0.25">
      <c r="BF3105" s="1"/>
    </row>
    <row r="3106" spans="58:58" x14ac:dyDescent="0.25">
      <c r="BF3106" s="1"/>
    </row>
    <row r="3107" spans="58:58" x14ac:dyDescent="0.25">
      <c r="BF3107" s="1"/>
    </row>
    <row r="3108" spans="58:58" x14ac:dyDescent="0.25">
      <c r="BF3108" s="1"/>
    </row>
    <row r="3109" spans="58:58" x14ac:dyDescent="0.25">
      <c r="BF3109" s="1"/>
    </row>
    <row r="3110" spans="58:58" x14ac:dyDescent="0.25">
      <c r="BF3110" s="1"/>
    </row>
    <row r="3111" spans="58:58" x14ac:dyDescent="0.25">
      <c r="BF3111" s="1"/>
    </row>
    <row r="3112" spans="58:58" x14ac:dyDescent="0.25">
      <c r="BF3112" s="1"/>
    </row>
    <row r="3113" spans="58:58" x14ac:dyDescent="0.25">
      <c r="BF3113" s="1"/>
    </row>
    <row r="3114" spans="58:58" x14ac:dyDescent="0.25">
      <c r="BF3114" s="1"/>
    </row>
    <row r="3115" spans="58:58" x14ac:dyDescent="0.25">
      <c r="BF3115" s="1"/>
    </row>
    <row r="3116" spans="58:58" x14ac:dyDescent="0.25">
      <c r="BF3116" s="1"/>
    </row>
    <row r="3117" spans="58:58" x14ac:dyDescent="0.25">
      <c r="BF3117" s="1"/>
    </row>
    <row r="3118" spans="58:58" x14ac:dyDescent="0.25">
      <c r="BF3118" s="1"/>
    </row>
    <row r="3119" spans="58:58" x14ac:dyDescent="0.25">
      <c r="BF3119" s="1"/>
    </row>
    <row r="3120" spans="58:58" x14ac:dyDescent="0.25">
      <c r="BF3120" s="1"/>
    </row>
    <row r="3121" spans="58:58" x14ac:dyDescent="0.25">
      <c r="BF3121" s="1"/>
    </row>
    <row r="3122" spans="58:58" x14ac:dyDescent="0.25">
      <c r="BF3122" s="1"/>
    </row>
    <row r="3123" spans="58:58" x14ac:dyDescent="0.25">
      <c r="BF3123" s="1"/>
    </row>
    <row r="3124" spans="58:58" x14ac:dyDescent="0.25">
      <c r="BF3124" s="1"/>
    </row>
    <row r="3125" spans="58:58" x14ac:dyDescent="0.25">
      <c r="BF3125" s="1"/>
    </row>
    <row r="3126" spans="58:58" x14ac:dyDescent="0.25">
      <c r="BF3126" s="1"/>
    </row>
    <row r="3127" spans="58:58" x14ac:dyDescent="0.25">
      <c r="BF3127" s="1"/>
    </row>
    <row r="3128" spans="58:58" x14ac:dyDescent="0.25">
      <c r="BF3128" s="1"/>
    </row>
    <row r="3129" spans="58:58" x14ac:dyDescent="0.25">
      <c r="BF3129" s="1"/>
    </row>
    <row r="3130" spans="58:58" x14ac:dyDescent="0.25">
      <c r="BF3130" s="1"/>
    </row>
    <row r="3131" spans="58:58" x14ac:dyDescent="0.25">
      <c r="BF3131" s="1"/>
    </row>
    <row r="3132" spans="58:58" x14ac:dyDescent="0.25">
      <c r="BF3132" s="1"/>
    </row>
    <row r="3133" spans="58:58" x14ac:dyDescent="0.25">
      <c r="BF3133" s="1"/>
    </row>
    <row r="3134" spans="58:58" x14ac:dyDescent="0.25">
      <c r="BF3134" s="1"/>
    </row>
    <row r="3135" spans="58:58" x14ac:dyDescent="0.25">
      <c r="BF3135" s="1"/>
    </row>
    <row r="3136" spans="58:58" x14ac:dyDescent="0.25">
      <c r="BF3136" s="1"/>
    </row>
    <row r="3137" spans="58:58" x14ac:dyDescent="0.25">
      <c r="BF3137" s="1"/>
    </row>
    <row r="3138" spans="58:58" x14ac:dyDescent="0.25">
      <c r="BF3138" s="1"/>
    </row>
    <row r="3139" spans="58:58" x14ac:dyDescent="0.25">
      <c r="BF3139" s="1"/>
    </row>
    <row r="3140" spans="58:58" x14ac:dyDescent="0.25">
      <c r="BF3140" s="1"/>
    </row>
    <row r="3141" spans="58:58" x14ac:dyDescent="0.25">
      <c r="BF3141" s="1"/>
    </row>
    <row r="3142" spans="58:58" x14ac:dyDescent="0.25">
      <c r="BF3142" s="1"/>
    </row>
    <row r="3143" spans="58:58" x14ac:dyDescent="0.25">
      <c r="BF3143" s="1"/>
    </row>
    <row r="3144" spans="58:58" x14ac:dyDescent="0.25">
      <c r="BF3144" s="1"/>
    </row>
    <row r="3145" spans="58:58" x14ac:dyDescent="0.25">
      <c r="BF3145" s="1"/>
    </row>
    <row r="3146" spans="58:58" x14ac:dyDescent="0.25">
      <c r="BF3146" s="1"/>
    </row>
    <row r="3147" spans="58:58" x14ac:dyDescent="0.25">
      <c r="BF3147" s="1"/>
    </row>
    <row r="3148" spans="58:58" x14ac:dyDescent="0.25">
      <c r="BF3148" s="1"/>
    </row>
    <row r="3149" spans="58:58" x14ac:dyDescent="0.25">
      <c r="BF3149" s="1"/>
    </row>
    <row r="3150" spans="58:58" x14ac:dyDescent="0.25">
      <c r="BF3150" s="1"/>
    </row>
    <row r="3151" spans="58:58" x14ac:dyDescent="0.25">
      <c r="BF3151" s="1"/>
    </row>
    <row r="3152" spans="58:58" x14ac:dyDescent="0.25">
      <c r="BF3152" s="1"/>
    </row>
    <row r="3153" spans="58:58" x14ac:dyDescent="0.25">
      <c r="BF3153" s="1"/>
    </row>
    <row r="3154" spans="58:58" x14ac:dyDescent="0.25">
      <c r="BF3154" s="1"/>
    </row>
    <row r="3155" spans="58:58" x14ac:dyDescent="0.25">
      <c r="BF3155" s="1"/>
    </row>
    <row r="3156" spans="58:58" x14ac:dyDescent="0.25">
      <c r="BF3156" s="1"/>
    </row>
    <row r="3157" spans="58:58" x14ac:dyDescent="0.25">
      <c r="BF3157" s="1"/>
    </row>
    <row r="3158" spans="58:58" x14ac:dyDescent="0.25">
      <c r="BF3158" s="1"/>
    </row>
    <row r="3159" spans="58:58" x14ac:dyDescent="0.25">
      <c r="BF3159" s="1"/>
    </row>
    <row r="3160" spans="58:58" x14ac:dyDescent="0.25">
      <c r="BF3160" s="1"/>
    </row>
    <row r="3161" spans="58:58" x14ac:dyDescent="0.25">
      <c r="BF3161" s="1"/>
    </row>
    <row r="3162" spans="58:58" x14ac:dyDescent="0.25">
      <c r="BF3162" s="1"/>
    </row>
    <row r="3163" spans="58:58" x14ac:dyDescent="0.25">
      <c r="BF3163" s="1"/>
    </row>
    <row r="3164" spans="58:58" x14ac:dyDescent="0.25">
      <c r="BF3164" s="1"/>
    </row>
    <row r="3165" spans="58:58" x14ac:dyDescent="0.25">
      <c r="BF3165" s="1"/>
    </row>
    <row r="3166" spans="58:58" x14ac:dyDescent="0.25">
      <c r="BF3166" s="1"/>
    </row>
    <row r="3167" spans="58:58" x14ac:dyDescent="0.25">
      <c r="BF3167" s="1"/>
    </row>
    <row r="3168" spans="58:58" x14ac:dyDescent="0.25">
      <c r="BF3168" s="1"/>
    </row>
    <row r="3169" spans="58:58" x14ac:dyDescent="0.25">
      <c r="BF3169" s="1"/>
    </row>
    <row r="3170" spans="58:58" x14ac:dyDescent="0.25">
      <c r="BF3170" s="1"/>
    </row>
    <row r="3171" spans="58:58" x14ac:dyDescent="0.25">
      <c r="BF3171" s="1"/>
    </row>
    <row r="3172" spans="58:58" x14ac:dyDescent="0.25">
      <c r="BF3172" s="1"/>
    </row>
    <row r="3173" spans="58:58" x14ac:dyDescent="0.25">
      <c r="BF3173" s="1"/>
    </row>
    <row r="3174" spans="58:58" x14ac:dyDescent="0.25">
      <c r="BF3174" s="1"/>
    </row>
    <row r="3175" spans="58:58" x14ac:dyDescent="0.25">
      <c r="BF3175" s="1"/>
    </row>
    <row r="3176" spans="58:58" x14ac:dyDescent="0.25">
      <c r="BF3176" s="1"/>
    </row>
    <row r="3177" spans="58:58" x14ac:dyDescent="0.25">
      <c r="BF3177" s="1"/>
    </row>
    <row r="3178" spans="58:58" x14ac:dyDescent="0.25">
      <c r="BF3178" s="1"/>
    </row>
    <row r="3179" spans="58:58" x14ac:dyDescent="0.25">
      <c r="BF3179" s="1"/>
    </row>
    <row r="3180" spans="58:58" x14ac:dyDescent="0.25">
      <c r="BF3180" s="1"/>
    </row>
    <row r="3181" spans="58:58" x14ac:dyDescent="0.25">
      <c r="BF3181" s="1"/>
    </row>
    <row r="3182" spans="58:58" x14ac:dyDescent="0.25">
      <c r="BF3182" s="1"/>
    </row>
    <row r="3183" spans="58:58" x14ac:dyDescent="0.25">
      <c r="BF3183" s="1"/>
    </row>
    <row r="3184" spans="58:58" x14ac:dyDescent="0.25">
      <c r="BF3184" s="1"/>
    </row>
    <row r="3185" spans="58:58" x14ac:dyDescent="0.25">
      <c r="BF3185" s="1"/>
    </row>
    <row r="3186" spans="58:58" x14ac:dyDescent="0.25">
      <c r="BF3186" s="1"/>
    </row>
    <row r="3187" spans="58:58" x14ac:dyDescent="0.25">
      <c r="BF3187" s="1"/>
    </row>
    <row r="3188" spans="58:58" x14ac:dyDescent="0.25">
      <c r="BF3188" s="1"/>
    </row>
    <row r="3189" spans="58:58" x14ac:dyDescent="0.25">
      <c r="BF3189" s="1"/>
    </row>
    <row r="3190" spans="58:58" x14ac:dyDescent="0.25">
      <c r="BF3190" s="1"/>
    </row>
    <row r="3191" spans="58:58" x14ac:dyDescent="0.25">
      <c r="BF3191" s="1"/>
    </row>
    <row r="3192" spans="58:58" x14ac:dyDescent="0.25">
      <c r="BF3192" s="1"/>
    </row>
    <row r="3193" spans="58:58" x14ac:dyDescent="0.25">
      <c r="BF3193" s="1"/>
    </row>
    <row r="3194" spans="58:58" x14ac:dyDescent="0.25">
      <c r="BF3194" s="1"/>
    </row>
    <row r="3195" spans="58:58" x14ac:dyDescent="0.25">
      <c r="BF3195" s="1"/>
    </row>
    <row r="3196" spans="58:58" x14ac:dyDescent="0.25">
      <c r="BF3196" s="1"/>
    </row>
    <row r="3197" spans="58:58" x14ac:dyDescent="0.25">
      <c r="BF3197" s="1"/>
    </row>
    <row r="3198" spans="58:58" x14ac:dyDescent="0.25">
      <c r="BF3198" s="1"/>
    </row>
    <row r="3199" spans="58:58" x14ac:dyDescent="0.25">
      <c r="BF3199" s="1"/>
    </row>
    <row r="3200" spans="58:58" x14ac:dyDescent="0.25">
      <c r="BF3200" s="1"/>
    </row>
    <row r="3201" spans="58:58" x14ac:dyDescent="0.25">
      <c r="BF3201" s="1"/>
    </row>
    <row r="3202" spans="58:58" x14ac:dyDescent="0.25">
      <c r="BF3202" s="1"/>
    </row>
    <row r="3203" spans="58:58" x14ac:dyDescent="0.25">
      <c r="BF3203" s="1"/>
    </row>
    <row r="3204" spans="58:58" x14ac:dyDescent="0.25">
      <c r="BF3204" s="1"/>
    </row>
    <row r="3205" spans="58:58" x14ac:dyDescent="0.25">
      <c r="BF3205" s="1"/>
    </row>
    <row r="3206" spans="58:58" x14ac:dyDescent="0.25">
      <c r="BF3206" s="1"/>
    </row>
    <row r="3207" spans="58:58" x14ac:dyDescent="0.25">
      <c r="BF3207" s="1"/>
    </row>
    <row r="3208" spans="58:58" x14ac:dyDescent="0.25">
      <c r="BF3208" s="1"/>
    </row>
    <row r="3209" spans="58:58" x14ac:dyDescent="0.25">
      <c r="BF3209" s="1"/>
    </row>
    <row r="3210" spans="58:58" x14ac:dyDescent="0.25">
      <c r="BF3210" s="1"/>
    </row>
    <row r="3211" spans="58:58" x14ac:dyDescent="0.25">
      <c r="BF3211" s="1"/>
    </row>
    <row r="3212" spans="58:58" x14ac:dyDescent="0.25">
      <c r="BF3212" s="1"/>
    </row>
    <row r="3213" spans="58:58" x14ac:dyDescent="0.25">
      <c r="BF3213" s="1"/>
    </row>
    <row r="3214" spans="58:58" x14ac:dyDescent="0.25">
      <c r="BF3214" s="1"/>
    </row>
    <row r="3215" spans="58:58" x14ac:dyDescent="0.25">
      <c r="BF3215" s="1"/>
    </row>
    <row r="3216" spans="58:58" x14ac:dyDescent="0.25">
      <c r="BF3216" s="1"/>
    </row>
    <row r="3217" spans="58:58" x14ac:dyDescent="0.25">
      <c r="BF3217" s="1"/>
    </row>
    <row r="3218" spans="58:58" x14ac:dyDescent="0.25">
      <c r="BF3218" s="1"/>
    </row>
    <row r="3219" spans="58:58" x14ac:dyDescent="0.25">
      <c r="BF3219" s="1"/>
    </row>
    <row r="3220" spans="58:58" x14ac:dyDescent="0.25">
      <c r="BF3220" s="1"/>
    </row>
    <row r="3221" spans="58:58" x14ac:dyDescent="0.25">
      <c r="BF3221" s="1"/>
    </row>
    <row r="3222" spans="58:58" x14ac:dyDescent="0.25">
      <c r="BF3222" s="1"/>
    </row>
    <row r="3223" spans="58:58" x14ac:dyDescent="0.25">
      <c r="BF3223" s="1"/>
    </row>
    <row r="3224" spans="58:58" x14ac:dyDescent="0.25">
      <c r="BF3224" s="1"/>
    </row>
    <row r="3225" spans="58:58" x14ac:dyDescent="0.25">
      <c r="BF3225" s="1"/>
    </row>
    <row r="3226" spans="58:58" x14ac:dyDescent="0.25">
      <c r="BF3226" s="1"/>
    </row>
    <row r="3227" spans="58:58" x14ac:dyDescent="0.25">
      <c r="BF3227" s="1"/>
    </row>
    <row r="3228" spans="58:58" x14ac:dyDescent="0.25">
      <c r="BF3228" s="1"/>
    </row>
    <row r="3229" spans="58:58" x14ac:dyDescent="0.25">
      <c r="BF3229" s="1"/>
    </row>
    <row r="3230" spans="58:58" x14ac:dyDescent="0.25">
      <c r="BF3230" s="1"/>
    </row>
    <row r="3231" spans="58:58" x14ac:dyDescent="0.25">
      <c r="BF3231" s="1"/>
    </row>
    <row r="3232" spans="58:58" x14ac:dyDescent="0.25">
      <c r="BF3232" s="1"/>
    </row>
    <row r="3233" spans="58:58" x14ac:dyDescent="0.25">
      <c r="BF3233" s="1"/>
    </row>
    <row r="3234" spans="58:58" x14ac:dyDescent="0.25">
      <c r="BF3234" s="1"/>
    </row>
    <row r="3235" spans="58:58" x14ac:dyDescent="0.25">
      <c r="BF3235" s="1"/>
    </row>
    <row r="3236" spans="58:58" x14ac:dyDescent="0.25">
      <c r="BF3236" s="1"/>
    </row>
    <row r="3237" spans="58:58" x14ac:dyDescent="0.25">
      <c r="BF3237" s="1"/>
    </row>
    <row r="3238" spans="58:58" x14ac:dyDescent="0.25">
      <c r="BF3238" s="1"/>
    </row>
    <row r="3239" spans="58:58" x14ac:dyDescent="0.25">
      <c r="BF3239" s="1"/>
    </row>
    <row r="3240" spans="58:58" x14ac:dyDescent="0.25">
      <c r="BF3240" s="1"/>
    </row>
    <row r="3241" spans="58:58" x14ac:dyDescent="0.25">
      <c r="BF3241" s="1"/>
    </row>
    <row r="3242" spans="58:58" x14ac:dyDescent="0.25">
      <c r="BF3242" s="1"/>
    </row>
    <row r="3243" spans="58:58" x14ac:dyDescent="0.25">
      <c r="BF3243" s="1"/>
    </row>
    <row r="3244" spans="58:58" x14ac:dyDescent="0.25">
      <c r="BF3244" s="1"/>
    </row>
    <row r="3245" spans="58:58" x14ac:dyDescent="0.25">
      <c r="BF3245" s="1"/>
    </row>
    <row r="3246" spans="58:58" x14ac:dyDescent="0.25">
      <c r="BF3246" s="1"/>
    </row>
    <row r="3247" spans="58:58" x14ac:dyDescent="0.25">
      <c r="BF3247" s="1"/>
    </row>
    <row r="3248" spans="58:58" x14ac:dyDescent="0.25">
      <c r="BF3248" s="1"/>
    </row>
    <row r="3249" spans="58:58" x14ac:dyDescent="0.25">
      <c r="BF3249" s="1"/>
    </row>
    <row r="3250" spans="58:58" x14ac:dyDescent="0.25">
      <c r="BF3250" s="1"/>
    </row>
    <row r="3251" spans="58:58" x14ac:dyDescent="0.25">
      <c r="BF3251" s="1"/>
    </row>
    <row r="3252" spans="58:58" x14ac:dyDescent="0.25">
      <c r="BF3252" s="1"/>
    </row>
    <row r="3253" spans="58:58" x14ac:dyDescent="0.25">
      <c r="BF3253" s="1"/>
    </row>
    <row r="3254" spans="58:58" x14ac:dyDescent="0.25">
      <c r="BF3254" s="1"/>
    </row>
    <row r="3255" spans="58:58" x14ac:dyDescent="0.25">
      <c r="BF3255" s="1"/>
    </row>
    <row r="3256" spans="58:58" x14ac:dyDescent="0.25">
      <c r="BF3256" s="1"/>
    </row>
    <row r="3257" spans="58:58" x14ac:dyDescent="0.25">
      <c r="BF3257" s="1"/>
    </row>
    <row r="3258" spans="58:58" x14ac:dyDescent="0.25">
      <c r="BF3258" s="1"/>
    </row>
    <row r="3259" spans="58:58" x14ac:dyDescent="0.25">
      <c r="BF3259" s="1"/>
    </row>
    <row r="3260" spans="58:58" x14ac:dyDescent="0.25">
      <c r="BF3260" s="1"/>
    </row>
    <row r="3261" spans="58:58" x14ac:dyDescent="0.25">
      <c r="BF3261" s="1"/>
    </row>
    <row r="3262" spans="58:58" x14ac:dyDescent="0.25">
      <c r="BF3262" s="1"/>
    </row>
    <row r="3263" spans="58:58" x14ac:dyDescent="0.25">
      <c r="BF3263" s="1"/>
    </row>
    <row r="3264" spans="58:58" x14ac:dyDescent="0.25">
      <c r="BF3264" s="1"/>
    </row>
    <row r="3265" spans="58:58" x14ac:dyDescent="0.25">
      <c r="BF3265" s="1"/>
    </row>
    <row r="3266" spans="58:58" x14ac:dyDescent="0.25">
      <c r="BF3266" s="1"/>
    </row>
    <row r="3267" spans="58:58" x14ac:dyDescent="0.25">
      <c r="BF3267" s="1"/>
    </row>
    <row r="3268" spans="58:58" x14ac:dyDescent="0.25">
      <c r="BF3268" s="1"/>
    </row>
    <row r="3269" spans="58:58" x14ac:dyDescent="0.25">
      <c r="BF3269" s="1"/>
    </row>
    <row r="3270" spans="58:58" x14ac:dyDescent="0.25">
      <c r="BF3270" s="1"/>
    </row>
    <row r="3271" spans="58:58" x14ac:dyDescent="0.25">
      <c r="BF3271" s="1"/>
    </row>
    <row r="3272" spans="58:58" x14ac:dyDescent="0.25">
      <c r="BF3272" s="1"/>
    </row>
    <row r="3273" spans="58:58" x14ac:dyDescent="0.25">
      <c r="BF3273" s="1"/>
    </row>
    <row r="3274" spans="58:58" x14ac:dyDescent="0.25">
      <c r="BF3274" s="1"/>
    </row>
    <row r="3275" spans="58:58" x14ac:dyDescent="0.25">
      <c r="BF3275" s="1"/>
    </row>
    <row r="3276" spans="58:58" x14ac:dyDescent="0.25">
      <c r="BF3276" s="1"/>
    </row>
    <row r="3277" spans="58:58" x14ac:dyDescent="0.25">
      <c r="BF3277" s="1"/>
    </row>
    <row r="3278" spans="58:58" x14ac:dyDescent="0.25">
      <c r="BF3278" s="1"/>
    </row>
    <row r="3279" spans="58:58" x14ac:dyDescent="0.25">
      <c r="BF3279" s="1"/>
    </row>
    <row r="3280" spans="58:58" x14ac:dyDescent="0.25">
      <c r="BF3280" s="1"/>
    </row>
    <row r="3281" spans="58:58" x14ac:dyDescent="0.25">
      <c r="BF3281" s="1"/>
    </row>
    <row r="3282" spans="58:58" x14ac:dyDescent="0.25">
      <c r="BF3282" s="1"/>
    </row>
    <row r="3283" spans="58:58" x14ac:dyDescent="0.25">
      <c r="BF3283" s="1"/>
    </row>
    <row r="3284" spans="58:58" x14ac:dyDescent="0.25">
      <c r="BF3284" s="1"/>
    </row>
    <row r="3285" spans="58:58" x14ac:dyDescent="0.25">
      <c r="BF3285" s="1"/>
    </row>
    <row r="3286" spans="58:58" x14ac:dyDescent="0.25">
      <c r="BF3286" s="1"/>
    </row>
    <row r="3287" spans="58:58" x14ac:dyDescent="0.25">
      <c r="BF3287" s="1"/>
    </row>
    <row r="3288" spans="58:58" x14ac:dyDescent="0.25">
      <c r="BF3288" s="1"/>
    </row>
    <row r="3289" spans="58:58" x14ac:dyDescent="0.25">
      <c r="BF3289" s="1"/>
    </row>
    <row r="3290" spans="58:58" x14ac:dyDescent="0.25">
      <c r="BF3290" s="1"/>
    </row>
    <row r="3291" spans="58:58" x14ac:dyDescent="0.25">
      <c r="BF3291" s="1"/>
    </row>
    <row r="3292" spans="58:58" x14ac:dyDescent="0.25">
      <c r="BF3292" s="1"/>
    </row>
    <row r="3293" spans="58:58" x14ac:dyDescent="0.25">
      <c r="BF3293" s="1"/>
    </row>
    <row r="3294" spans="58:58" x14ac:dyDescent="0.25">
      <c r="BF3294" s="1"/>
    </row>
    <row r="3295" spans="58:58" x14ac:dyDescent="0.25">
      <c r="BF3295" s="1"/>
    </row>
    <row r="3296" spans="58:58" x14ac:dyDescent="0.25">
      <c r="BF3296" s="1"/>
    </row>
    <row r="3297" spans="58:58" x14ac:dyDescent="0.25">
      <c r="BF3297" s="1"/>
    </row>
    <row r="3298" spans="58:58" x14ac:dyDescent="0.25">
      <c r="BF3298" s="1"/>
    </row>
    <row r="3299" spans="58:58" x14ac:dyDescent="0.25">
      <c r="BF3299" s="1"/>
    </row>
    <row r="3300" spans="58:58" x14ac:dyDescent="0.25">
      <c r="BF3300" s="1"/>
    </row>
    <row r="3301" spans="58:58" x14ac:dyDescent="0.25">
      <c r="BF3301" s="1"/>
    </row>
    <row r="3302" spans="58:58" x14ac:dyDescent="0.25">
      <c r="BF3302" s="1"/>
    </row>
    <row r="3303" spans="58:58" x14ac:dyDescent="0.25">
      <c r="BF3303" s="1"/>
    </row>
    <row r="3304" spans="58:58" x14ac:dyDescent="0.25">
      <c r="BF3304" s="1"/>
    </row>
    <row r="3305" spans="58:58" x14ac:dyDescent="0.25">
      <c r="BF3305" s="1"/>
    </row>
    <row r="3306" spans="58:58" x14ac:dyDescent="0.25">
      <c r="BF3306" s="1"/>
    </row>
    <row r="3307" spans="58:58" x14ac:dyDescent="0.25">
      <c r="BF3307" s="1"/>
    </row>
    <row r="3308" spans="58:58" x14ac:dyDescent="0.25">
      <c r="BF3308" s="1"/>
    </row>
    <row r="3309" spans="58:58" x14ac:dyDescent="0.25">
      <c r="BF3309" s="1"/>
    </row>
    <row r="3310" spans="58:58" x14ac:dyDescent="0.25">
      <c r="BF3310" s="1"/>
    </row>
    <row r="3311" spans="58:58" x14ac:dyDescent="0.25">
      <c r="BF3311" s="1"/>
    </row>
    <row r="3312" spans="58:58" x14ac:dyDescent="0.25">
      <c r="BF3312" s="1"/>
    </row>
    <row r="3313" spans="58:58" x14ac:dyDescent="0.25">
      <c r="BF3313" s="1"/>
    </row>
    <row r="3314" spans="58:58" x14ac:dyDescent="0.25">
      <c r="BF3314" s="1"/>
    </row>
    <row r="3315" spans="58:58" x14ac:dyDescent="0.25">
      <c r="BF3315" s="1"/>
    </row>
    <row r="3316" spans="58:58" x14ac:dyDescent="0.25">
      <c r="BF3316" s="1"/>
    </row>
    <row r="3317" spans="58:58" x14ac:dyDescent="0.25">
      <c r="BF3317" s="1"/>
    </row>
    <row r="3318" spans="58:58" x14ac:dyDescent="0.25">
      <c r="BF3318" s="1"/>
    </row>
    <row r="3319" spans="58:58" x14ac:dyDescent="0.25">
      <c r="BF3319" s="1"/>
    </row>
    <row r="3320" spans="58:58" x14ac:dyDescent="0.25">
      <c r="BF3320" s="1"/>
    </row>
    <row r="3321" spans="58:58" x14ac:dyDescent="0.25">
      <c r="BF3321" s="1"/>
    </row>
    <row r="3322" spans="58:58" x14ac:dyDescent="0.25">
      <c r="BF3322" s="1"/>
    </row>
    <row r="3323" spans="58:58" x14ac:dyDescent="0.25">
      <c r="BF3323" s="1"/>
    </row>
    <row r="3324" spans="58:58" x14ac:dyDescent="0.25">
      <c r="BF3324" s="1"/>
    </row>
    <row r="3325" spans="58:58" x14ac:dyDescent="0.25">
      <c r="BF3325" s="1"/>
    </row>
    <row r="3326" spans="58:58" x14ac:dyDescent="0.25">
      <c r="BF3326" s="1"/>
    </row>
    <row r="3327" spans="58:58" x14ac:dyDescent="0.25">
      <c r="BF3327" s="1"/>
    </row>
    <row r="3328" spans="58:58" x14ac:dyDescent="0.25">
      <c r="BF3328" s="1"/>
    </row>
    <row r="3329" spans="58:58" x14ac:dyDescent="0.25">
      <c r="BF3329" s="1"/>
    </row>
    <row r="3330" spans="58:58" x14ac:dyDescent="0.25">
      <c r="BF3330" s="1"/>
    </row>
    <row r="3331" spans="58:58" x14ac:dyDescent="0.25">
      <c r="BF3331" s="1"/>
    </row>
    <row r="3332" spans="58:58" x14ac:dyDescent="0.25">
      <c r="BF3332" s="1"/>
    </row>
    <row r="3333" spans="58:58" x14ac:dyDescent="0.25">
      <c r="BF3333" s="1"/>
    </row>
    <row r="3334" spans="58:58" x14ac:dyDescent="0.25">
      <c r="BF3334" s="1"/>
    </row>
    <row r="3335" spans="58:58" x14ac:dyDescent="0.25">
      <c r="BF3335" s="1"/>
    </row>
    <row r="3336" spans="58:58" x14ac:dyDescent="0.25">
      <c r="BF3336" s="1"/>
    </row>
    <row r="3337" spans="58:58" x14ac:dyDescent="0.25">
      <c r="BF3337" s="1"/>
    </row>
    <row r="3338" spans="58:58" x14ac:dyDescent="0.25">
      <c r="BF3338" s="1"/>
    </row>
    <row r="3339" spans="58:58" x14ac:dyDescent="0.25">
      <c r="BF3339" s="1"/>
    </row>
    <row r="3340" spans="58:58" x14ac:dyDescent="0.25">
      <c r="BF3340" s="1"/>
    </row>
    <row r="3341" spans="58:58" x14ac:dyDescent="0.25">
      <c r="BF3341" s="1"/>
    </row>
    <row r="3342" spans="58:58" x14ac:dyDescent="0.25">
      <c r="BF3342" s="1"/>
    </row>
    <row r="3343" spans="58:58" x14ac:dyDescent="0.25">
      <c r="BF3343" s="1"/>
    </row>
    <row r="3344" spans="58:58" x14ac:dyDescent="0.25">
      <c r="BF3344" s="1"/>
    </row>
    <row r="3345" spans="58:58" x14ac:dyDescent="0.25">
      <c r="BF3345" s="1"/>
    </row>
    <row r="3346" spans="58:58" x14ac:dyDescent="0.25">
      <c r="BF3346" s="1"/>
    </row>
    <row r="3347" spans="58:58" x14ac:dyDescent="0.25">
      <c r="BF3347" s="1"/>
    </row>
    <row r="3348" spans="58:58" x14ac:dyDescent="0.25">
      <c r="BF3348" s="1"/>
    </row>
    <row r="3349" spans="58:58" x14ac:dyDescent="0.25">
      <c r="BF3349" s="1"/>
    </row>
    <row r="3350" spans="58:58" x14ac:dyDescent="0.25">
      <c r="BF3350" s="1"/>
    </row>
    <row r="3351" spans="58:58" x14ac:dyDescent="0.25">
      <c r="BF3351" s="1"/>
    </row>
    <row r="3352" spans="58:58" x14ac:dyDescent="0.25">
      <c r="BF3352" s="1"/>
    </row>
    <row r="3353" spans="58:58" x14ac:dyDescent="0.25">
      <c r="BF3353" s="1"/>
    </row>
    <row r="3354" spans="58:58" x14ac:dyDescent="0.25">
      <c r="BF3354" s="1"/>
    </row>
    <row r="3355" spans="58:58" x14ac:dyDescent="0.25">
      <c r="BF3355" s="1"/>
    </row>
    <row r="3356" spans="58:58" x14ac:dyDescent="0.25">
      <c r="BF3356" s="1"/>
    </row>
    <row r="3357" spans="58:58" x14ac:dyDescent="0.25">
      <c r="BF3357" s="1"/>
    </row>
    <row r="3358" spans="58:58" x14ac:dyDescent="0.25">
      <c r="BF3358" s="1"/>
    </row>
    <row r="3359" spans="58:58" x14ac:dyDescent="0.25">
      <c r="BF3359" s="1"/>
    </row>
    <row r="3360" spans="58:58" x14ac:dyDescent="0.25">
      <c r="BF3360" s="1"/>
    </row>
    <row r="3361" spans="58:58" x14ac:dyDescent="0.25">
      <c r="BF3361" s="1"/>
    </row>
    <row r="3362" spans="58:58" x14ac:dyDescent="0.25">
      <c r="BF3362" s="1"/>
    </row>
    <row r="3363" spans="58:58" x14ac:dyDescent="0.25">
      <c r="BF3363" s="1"/>
    </row>
    <row r="3364" spans="58:58" x14ac:dyDescent="0.25">
      <c r="BF3364" s="1"/>
    </row>
    <row r="3365" spans="58:58" x14ac:dyDescent="0.25">
      <c r="BF3365" s="1"/>
    </row>
    <row r="3366" spans="58:58" x14ac:dyDescent="0.25">
      <c r="BF3366" s="1"/>
    </row>
    <row r="3367" spans="58:58" x14ac:dyDescent="0.25">
      <c r="BF3367" s="1"/>
    </row>
    <row r="3368" spans="58:58" x14ac:dyDescent="0.25">
      <c r="BF3368" s="1"/>
    </row>
    <row r="3369" spans="58:58" x14ac:dyDescent="0.25">
      <c r="BF3369" s="1"/>
    </row>
    <row r="3370" spans="58:58" x14ac:dyDescent="0.25">
      <c r="BF3370" s="1"/>
    </row>
    <row r="3371" spans="58:58" x14ac:dyDescent="0.25">
      <c r="BF3371" s="1"/>
    </row>
    <row r="3372" spans="58:58" x14ac:dyDescent="0.25">
      <c r="BF3372" s="1"/>
    </row>
    <row r="3373" spans="58:58" x14ac:dyDescent="0.25">
      <c r="BF3373" s="1"/>
    </row>
    <row r="3374" spans="58:58" x14ac:dyDescent="0.25">
      <c r="BF3374" s="1"/>
    </row>
    <row r="3375" spans="58:58" x14ac:dyDescent="0.25">
      <c r="BF3375" s="1"/>
    </row>
    <row r="3376" spans="58:58" x14ac:dyDescent="0.25">
      <c r="BF3376" s="1"/>
    </row>
    <row r="3377" spans="58:58" x14ac:dyDescent="0.25">
      <c r="BF3377" s="1"/>
    </row>
    <row r="3378" spans="58:58" x14ac:dyDescent="0.25">
      <c r="BF3378" s="1"/>
    </row>
    <row r="3379" spans="58:58" x14ac:dyDescent="0.25">
      <c r="BF3379" s="1"/>
    </row>
    <row r="3380" spans="58:58" x14ac:dyDescent="0.25">
      <c r="BF3380" s="1"/>
    </row>
    <row r="3381" spans="58:58" x14ac:dyDescent="0.25">
      <c r="BF3381" s="1"/>
    </row>
    <row r="3382" spans="58:58" x14ac:dyDescent="0.25">
      <c r="BF3382" s="1"/>
    </row>
    <row r="3383" spans="58:58" x14ac:dyDescent="0.25">
      <c r="BF3383" s="1"/>
    </row>
    <row r="3384" spans="58:58" x14ac:dyDescent="0.25">
      <c r="BF3384" s="1"/>
    </row>
    <row r="3385" spans="58:58" x14ac:dyDescent="0.25">
      <c r="BF3385" s="1"/>
    </row>
    <row r="3386" spans="58:58" x14ac:dyDescent="0.25">
      <c r="BF3386" s="1"/>
    </row>
    <row r="3387" spans="58:58" x14ac:dyDescent="0.25">
      <c r="BF3387" s="1"/>
    </row>
    <row r="3388" spans="58:58" x14ac:dyDescent="0.25">
      <c r="BF3388" s="1"/>
    </row>
    <row r="3389" spans="58:58" x14ac:dyDescent="0.25">
      <c r="BF3389" s="1"/>
    </row>
    <row r="3390" spans="58:58" x14ac:dyDescent="0.25">
      <c r="BF3390" s="1"/>
    </row>
    <row r="3391" spans="58:58" x14ac:dyDescent="0.25">
      <c r="BF3391" s="1"/>
    </row>
    <row r="3392" spans="58:58" x14ac:dyDescent="0.25">
      <c r="BF3392" s="1"/>
    </row>
    <row r="3393" spans="58:58" x14ac:dyDescent="0.25">
      <c r="BF3393" s="1"/>
    </row>
    <row r="3394" spans="58:58" x14ac:dyDescent="0.25">
      <c r="BF3394" s="1"/>
    </row>
    <row r="3395" spans="58:58" x14ac:dyDescent="0.25">
      <c r="BF3395" s="1"/>
    </row>
    <row r="3396" spans="58:58" x14ac:dyDescent="0.25">
      <c r="BF3396" s="1"/>
    </row>
    <row r="3397" spans="58:58" x14ac:dyDescent="0.25">
      <c r="BF3397" s="1"/>
    </row>
    <row r="3398" spans="58:58" x14ac:dyDescent="0.25">
      <c r="BF3398" s="1"/>
    </row>
    <row r="3399" spans="58:58" x14ac:dyDescent="0.25">
      <c r="BF3399" s="1"/>
    </row>
    <row r="3400" spans="58:58" x14ac:dyDescent="0.25">
      <c r="BF3400" s="1"/>
    </row>
    <row r="3401" spans="58:58" x14ac:dyDescent="0.25">
      <c r="BF3401" s="1"/>
    </row>
    <row r="3402" spans="58:58" x14ac:dyDescent="0.25">
      <c r="BF3402" s="1"/>
    </row>
    <row r="3403" spans="58:58" x14ac:dyDescent="0.25">
      <c r="BF3403" s="1"/>
    </row>
    <row r="3404" spans="58:58" x14ac:dyDescent="0.25">
      <c r="BF3404" s="1"/>
    </row>
    <row r="3405" spans="58:58" x14ac:dyDescent="0.25">
      <c r="BF3405" s="1"/>
    </row>
    <row r="3406" spans="58:58" x14ac:dyDescent="0.25">
      <c r="BF3406" s="1"/>
    </row>
    <row r="3407" spans="58:58" x14ac:dyDescent="0.25">
      <c r="BF3407" s="1"/>
    </row>
    <row r="3408" spans="58:58" x14ac:dyDescent="0.25">
      <c r="BF3408" s="1"/>
    </row>
    <row r="3409" spans="58:58" x14ac:dyDescent="0.25">
      <c r="BF3409" s="1"/>
    </row>
    <row r="3410" spans="58:58" x14ac:dyDescent="0.25">
      <c r="BF3410" s="1"/>
    </row>
    <row r="3411" spans="58:58" x14ac:dyDescent="0.25">
      <c r="BF3411" s="1"/>
    </row>
    <row r="3412" spans="58:58" x14ac:dyDescent="0.25">
      <c r="BF3412" s="1"/>
    </row>
    <row r="3413" spans="58:58" x14ac:dyDescent="0.25">
      <c r="BF3413" s="1"/>
    </row>
    <row r="3414" spans="58:58" x14ac:dyDescent="0.25">
      <c r="BF3414" s="1"/>
    </row>
    <row r="3415" spans="58:58" x14ac:dyDescent="0.25">
      <c r="BF3415" s="1"/>
    </row>
    <row r="3416" spans="58:58" x14ac:dyDescent="0.25">
      <c r="BF3416" s="1"/>
    </row>
    <row r="3417" spans="58:58" x14ac:dyDescent="0.25">
      <c r="BF3417" s="1"/>
    </row>
    <row r="3418" spans="58:58" x14ac:dyDescent="0.25">
      <c r="BF3418" s="1"/>
    </row>
    <row r="3419" spans="58:58" x14ac:dyDescent="0.25">
      <c r="BF3419" s="1"/>
    </row>
    <row r="3420" spans="58:58" x14ac:dyDescent="0.25">
      <c r="BF3420" s="1"/>
    </row>
    <row r="3421" spans="58:58" x14ac:dyDescent="0.25">
      <c r="BF3421" s="1"/>
    </row>
    <row r="3422" spans="58:58" x14ac:dyDescent="0.25">
      <c r="BF3422" s="1"/>
    </row>
    <row r="3423" spans="58:58" x14ac:dyDescent="0.25">
      <c r="BF3423" s="1"/>
    </row>
    <row r="3424" spans="58:58" x14ac:dyDescent="0.25">
      <c r="BF3424" s="1"/>
    </row>
    <row r="3425" spans="58:58" x14ac:dyDescent="0.25">
      <c r="BF3425" s="1"/>
    </row>
    <row r="3426" spans="58:58" x14ac:dyDescent="0.25">
      <c r="BF3426" s="1"/>
    </row>
    <row r="3427" spans="58:58" x14ac:dyDescent="0.25">
      <c r="BF3427" s="1"/>
    </row>
    <row r="3428" spans="58:58" x14ac:dyDescent="0.25">
      <c r="BF3428" s="1"/>
    </row>
    <row r="3429" spans="58:58" x14ac:dyDescent="0.25">
      <c r="BF3429" s="1"/>
    </row>
    <row r="3430" spans="58:58" x14ac:dyDescent="0.25">
      <c r="BF3430" s="1"/>
    </row>
    <row r="3431" spans="58:58" x14ac:dyDescent="0.25">
      <c r="BF3431" s="1"/>
    </row>
    <row r="3432" spans="58:58" x14ac:dyDescent="0.25">
      <c r="BF3432" s="1"/>
    </row>
    <row r="3433" spans="58:58" x14ac:dyDescent="0.25">
      <c r="BF3433" s="1"/>
    </row>
    <row r="3434" spans="58:58" x14ac:dyDescent="0.25">
      <c r="BF3434" s="1"/>
    </row>
    <row r="3435" spans="58:58" x14ac:dyDescent="0.25">
      <c r="BF3435" s="1"/>
    </row>
    <row r="3436" spans="58:58" x14ac:dyDescent="0.25">
      <c r="BF3436" s="1"/>
    </row>
    <row r="3437" spans="58:58" x14ac:dyDescent="0.25">
      <c r="BF3437" s="1"/>
    </row>
    <row r="3438" spans="58:58" x14ac:dyDescent="0.25">
      <c r="BF3438" s="1"/>
    </row>
    <row r="3439" spans="58:58" x14ac:dyDescent="0.25">
      <c r="BF3439" s="1"/>
    </row>
    <row r="3440" spans="58:58" x14ac:dyDescent="0.25">
      <c r="BF3440" s="1"/>
    </row>
    <row r="3441" spans="58:58" x14ac:dyDescent="0.25">
      <c r="BF3441" s="1"/>
    </row>
    <row r="3442" spans="58:58" x14ac:dyDescent="0.25">
      <c r="BF3442" s="1"/>
    </row>
    <row r="3443" spans="58:58" x14ac:dyDescent="0.25">
      <c r="BF3443" s="1"/>
    </row>
    <row r="3444" spans="58:58" x14ac:dyDescent="0.25">
      <c r="BF3444" s="1"/>
    </row>
    <row r="3445" spans="58:58" x14ac:dyDescent="0.25">
      <c r="BF3445" s="1"/>
    </row>
    <row r="3446" spans="58:58" x14ac:dyDescent="0.25">
      <c r="BF3446" s="1"/>
    </row>
    <row r="3447" spans="58:58" x14ac:dyDescent="0.25">
      <c r="BF3447" s="1"/>
    </row>
    <row r="3448" spans="58:58" x14ac:dyDescent="0.25">
      <c r="BF3448" s="1"/>
    </row>
    <row r="3449" spans="58:58" x14ac:dyDescent="0.25">
      <c r="BF3449" s="1"/>
    </row>
    <row r="3450" spans="58:58" x14ac:dyDescent="0.25">
      <c r="BF3450" s="1"/>
    </row>
    <row r="3451" spans="58:58" x14ac:dyDescent="0.25">
      <c r="BF3451" s="1"/>
    </row>
    <row r="3452" spans="58:58" x14ac:dyDescent="0.25">
      <c r="BF3452" s="1"/>
    </row>
    <row r="3453" spans="58:58" x14ac:dyDescent="0.25">
      <c r="BF3453" s="1"/>
    </row>
    <row r="3454" spans="58:58" x14ac:dyDescent="0.25">
      <c r="BF3454" s="1"/>
    </row>
    <row r="3455" spans="58:58" x14ac:dyDescent="0.25">
      <c r="BF3455" s="1"/>
    </row>
    <row r="3456" spans="58:58" x14ac:dyDescent="0.25">
      <c r="BF3456" s="1"/>
    </row>
    <row r="3457" spans="58:58" x14ac:dyDescent="0.25">
      <c r="BF3457" s="1"/>
    </row>
    <row r="3458" spans="58:58" x14ac:dyDescent="0.25">
      <c r="BF3458" s="1"/>
    </row>
    <row r="3459" spans="58:58" x14ac:dyDescent="0.25">
      <c r="BF3459" s="1"/>
    </row>
    <row r="3460" spans="58:58" x14ac:dyDescent="0.25">
      <c r="BF3460" s="1"/>
    </row>
    <row r="3461" spans="58:58" x14ac:dyDescent="0.25">
      <c r="BF3461" s="1"/>
    </row>
    <row r="3462" spans="58:58" x14ac:dyDescent="0.25">
      <c r="BF3462" s="1"/>
    </row>
    <row r="3463" spans="58:58" x14ac:dyDescent="0.25">
      <c r="BF3463" s="1"/>
    </row>
    <row r="3464" spans="58:58" x14ac:dyDescent="0.25">
      <c r="BF3464" s="1"/>
    </row>
    <row r="3465" spans="58:58" x14ac:dyDescent="0.25">
      <c r="BF3465" s="1"/>
    </row>
    <row r="3466" spans="58:58" x14ac:dyDescent="0.25">
      <c r="BF3466" s="1"/>
    </row>
    <row r="3467" spans="58:58" x14ac:dyDescent="0.25">
      <c r="BF3467" s="1"/>
    </row>
    <row r="3468" spans="58:58" x14ac:dyDescent="0.25">
      <c r="BF3468" s="1"/>
    </row>
    <row r="3469" spans="58:58" x14ac:dyDescent="0.25">
      <c r="BF3469" s="1"/>
    </row>
    <row r="3470" spans="58:58" x14ac:dyDescent="0.25">
      <c r="BF3470" s="1"/>
    </row>
    <row r="3471" spans="58:58" x14ac:dyDescent="0.25">
      <c r="BF3471" s="1"/>
    </row>
    <row r="3472" spans="58:58" x14ac:dyDescent="0.25">
      <c r="BF3472" s="1"/>
    </row>
    <row r="3473" spans="58:58" x14ac:dyDescent="0.25">
      <c r="BF3473" s="1"/>
    </row>
    <row r="3474" spans="58:58" x14ac:dyDescent="0.25">
      <c r="BF3474" s="1"/>
    </row>
  </sheetData>
  <pageMargins left="0.7" right="0.7" top="0.75" bottom="0.75" header="0.3" footer="0.3"/>
  <pageSetup paperSize="9" orientation="portrait" horizontalDpi="300" verticalDpi="300" r:id="rId1"/>
  <customProperties>
    <customPr name="_pios_id" r:id="rId2"/>
  </customProperties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71100-1261-4DC7-A5F3-4432A6E918E4}">
  <sheetPr codeName="Sheet2">
    <tabColor rgb="FFFF0000"/>
  </sheetPr>
  <dimension ref="A1:L445"/>
  <sheetViews>
    <sheetView tabSelected="1" workbookViewId="0">
      <selection activeCell="E7" sqref="E7"/>
    </sheetView>
  </sheetViews>
  <sheetFormatPr defaultRowHeight="15" x14ac:dyDescent="0.25"/>
  <cols>
    <col min="1" max="1" width="8.85546875" bestFit="1" customWidth="1"/>
    <col min="2" max="2" width="9" bestFit="1" customWidth="1"/>
    <col min="3" max="3" width="11.85546875" bestFit="1" customWidth="1"/>
    <col min="4" max="4" width="10.85546875" bestFit="1" customWidth="1"/>
    <col min="5" max="5" width="7" bestFit="1" customWidth="1"/>
    <col min="6" max="6" width="12" bestFit="1" customWidth="1"/>
    <col min="7" max="7" width="11" bestFit="1" customWidth="1"/>
    <col min="8" max="8" width="34.42578125" bestFit="1" customWidth="1"/>
    <col min="9" max="9" width="9.85546875" bestFit="1" customWidth="1"/>
    <col min="10" max="10" width="33.5703125" bestFit="1" customWidth="1"/>
    <col min="11" max="11" width="8.28515625" bestFit="1" customWidth="1"/>
  </cols>
  <sheetData>
    <row r="1" spans="1:12" x14ac:dyDescent="0.25">
      <c r="A1" s="14" t="s">
        <v>5660</v>
      </c>
      <c r="I1" s="13" t="s">
        <v>5725</v>
      </c>
    </row>
    <row r="2" spans="1:12" x14ac:dyDescent="0.25">
      <c r="A2" t="s">
        <v>70</v>
      </c>
      <c r="B2" t="s">
        <v>71</v>
      </c>
    </row>
    <row r="3" spans="1:12" x14ac:dyDescent="0.25">
      <c r="A3" t="s">
        <v>73</v>
      </c>
      <c r="B3" t="s">
        <v>265</v>
      </c>
      <c r="I3" s="16" t="s">
        <v>5726</v>
      </c>
      <c r="J3" s="15"/>
      <c r="K3" s="15"/>
      <c r="L3" s="15"/>
    </row>
    <row r="4" spans="1:12" x14ac:dyDescent="0.25">
      <c r="A4" t="s">
        <v>235</v>
      </c>
      <c r="B4" t="s">
        <v>266</v>
      </c>
      <c r="I4" s="9" t="s">
        <v>269</v>
      </c>
      <c r="J4" s="9"/>
      <c r="K4" s="9"/>
    </row>
    <row r="5" spans="1:12" x14ac:dyDescent="0.25">
      <c r="A5" t="s">
        <v>174</v>
      </c>
      <c r="B5" t="s">
        <v>175</v>
      </c>
      <c r="C5" t="s">
        <v>13</v>
      </c>
      <c r="D5" t="s">
        <v>176</v>
      </c>
      <c r="E5" t="s">
        <v>177</v>
      </c>
      <c r="F5" t="s">
        <v>178</v>
      </c>
      <c r="G5" t="s">
        <v>179</v>
      </c>
      <c r="H5" t="s">
        <v>180</v>
      </c>
      <c r="I5" s="11" t="s">
        <v>268</v>
      </c>
      <c r="J5" s="11" t="s">
        <v>264</v>
      </c>
      <c r="K5" s="11" t="s">
        <v>267</v>
      </c>
    </row>
    <row r="6" spans="1:12" x14ac:dyDescent="0.25">
      <c r="A6" t="s">
        <v>181</v>
      </c>
      <c r="B6" t="s">
        <v>5661</v>
      </c>
      <c r="C6" t="s">
        <v>70</v>
      </c>
      <c r="D6" t="s">
        <v>226</v>
      </c>
      <c r="E6">
        <v>450</v>
      </c>
      <c r="F6">
        <v>26.99</v>
      </c>
      <c r="G6">
        <v>12145.5</v>
      </c>
      <c r="H6" t="s">
        <v>227</v>
      </c>
      <c r="I6" t="str">
        <f>LEFT(E_invoice[[#This Row],[P.Code]],8)</f>
        <v>PSR0V01B</v>
      </c>
      <c r="J6" t="str">
        <f>VLOOKUP(E_invoice[[#This Row],[Customer]],$A$2:$B$44,2,0)</f>
        <v>BRIDGESTONE CORPORATION</v>
      </c>
      <c r="K6" t="str">
        <f>E_invoice[[#This Row],[Customer]]</f>
        <v>100000A</v>
      </c>
    </row>
    <row r="7" spans="1:12" x14ac:dyDescent="0.25">
      <c r="A7" t="s">
        <v>181</v>
      </c>
      <c r="B7" t="s">
        <v>5661</v>
      </c>
      <c r="C7" t="s">
        <v>70</v>
      </c>
      <c r="D7" t="s">
        <v>226</v>
      </c>
      <c r="E7">
        <v>285</v>
      </c>
      <c r="F7">
        <v>26.99</v>
      </c>
      <c r="G7">
        <v>7692.15</v>
      </c>
      <c r="H7" t="s">
        <v>227</v>
      </c>
      <c r="I7" t="str">
        <f>LEFT(E_invoice[[#This Row],[P.Code]],8)</f>
        <v>PSR0V01B</v>
      </c>
      <c r="J7" t="str">
        <f>VLOOKUP(E_invoice[[#This Row],[Customer]],$A$2:$B$44,2,0)</f>
        <v>BRIDGESTONE CORPORATION</v>
      </c>
      <c r="K7" t="str">
        <f>E_invoice[[#This Row],[Customer]]</f>
        <v>100000A</v>
      </c>
    </row>
    <row r="8" spans="1:12" x14ac:dyDescent="0.25">
      <c r="A8" t="s">
        <v>181</v>
      </c>
      <c r="B8" t="s">
        <v>5661</v>
      </c>
      <c r="C8" t="s">
        <v>70</v>
      </c>
      <c r="D8" t="s">
        <v>228</v>
      </c>
      <c r="E8">
        <v>190</v>
      </c>
      <c r="F8">
        <v>34.770000000000003</v>
      </c>
      <c r="G8">
        <v>6606.3</v>
      </c>
      <c r="H8" t="s">
        <v>227</v>
      </c>
      <c r="I8" t="str">
        <f>LEFT(E_invoice[[#This Row],[P.Code]],8)</f>
        <v>PSR0V05B</v>
      </c>
      <c r="J8" t="str">
        <f>VLOOKUP(E_invoice[[#This Row],[Customer]],$A$2:$B$44,2,0)</f>
        <v>BRIDGESTONE CORPORATION</v>
      </c>
      <c r="K8" t="str">
        <f>E_invoice[[#This Row],[Customer]]</f>
        <v>100000A</v>
      </c>
    </row>
    <row r="9" spans="1:12" x14ac:dyDescent="0.25">
      <c r="A9" t="s">
        <v>181</v>
      </c>
      <c r="B9" t="s">
        <v>5661</v>
      </c>
      <c r="C9" t="s">
        <v>70</v>
      </c>
      <c r="D9" t="s">
        <v>228</v>
      </c>
      <c r="E9">
        <v>739</v>
      </c>
      <c r="F9">
        <v>34.770000000000003</v>
      </c>
      <c r="G9">
        <v>25695.03</v>
      </c>
      <c r="H9" t="s">
        <v>227</v>
      </c>
      <c r="I9" t="str">
        <f>LEFT(E_invoice[[#This Row],[P.Code]],8)</f>
        <v>PSR0V05B</v>
      </c>
      <c r="J9" t="str">
        <f>VLOOKUP(E_invoice[[#This Row],[Customer]],$A$2:$B$44,2,0)</f>
        <v>BRIDGESTONE CORPORATION</v>
      </c>
      <c r="K9" t="str">
        <f>E_invoice[[#This Row],[Customer]]</f>
        <v>100000A</v>
      </c>
    </row>
    <row r="10" spans="1:12" x14ac:dyDescent="0.25">
      <c r="A10" t="s">
        <v>181</v>
      </c>
      <c r="B10" t="s">
        <v>5661</v>
      </c>
      <c r="C10" t="s">
        <v>70</v>
      </c>
      <c r="D10" t="s">
        <v>229</v>
      </c>
      <c r="E10">
        <v>516</v>
      </c>
      <c r="F10">
        <v>26.83</v>
      </c>
      <c r="G10">
        <v>13844.28</v>
      </c>
      <c r="H10" t="s">
        <v>227</v>
      </c>
      <c r="I10" t="str">
        <f>LEFT(E_invoice[[#This Row],[P.Code]],8)</f>
        <v>PSR0V229</v>
      </c>
      <c r="J10" t="str">
        <f>VLOOKUP(E_invoice[[#This Row],[Customer]],$A$2:$B$44,2,0)</f>
        <v>BRIDGESTONE CORPORATION</v>
      </c>
      <c r="K10" t="str">
        <f>E_invoice[[#This Row],[Customer]]</f>
        <v>100000A</v>
      </c>
    </row>
    <row r="11" spans="1:12" x14ac:dyDescent="0.25">
      <c r="A11" t="s">
        <v>181</v>
      </c>
      <c r="B11" t="s">
        <v>5661</v>
      </c>
      <c r="C11" t="s">
        <v>70</v>
      </c>
      <c r="D11" t="s">
        <v>230</v>
      </c>
      <c r="E11">
        <v>84</v>
      </c>
      <c r="F11">
        <v>27.98</v>
      </c>
      <c r="G11">
        <v>2350.3200000000002</v>
      </c>
      <c r="H11" t="s">
        <v>227</v>
      </c>
      <c r="I11" t="str">
        <f>LEFT(E_invoice[[#This Row],[P.Code]],8)</f>
        <v>PSR0V234</v>
      </c>
      <c r="J11" t="str">
        <f>VLOOKUP(E_invoice[[#This Row],[Customer]],$A$2:$B$44,2,0)</f>
        <v>BRIDGESTONE CORPORATION</v>
      </c>
      <c r="K11" t="str">
        <f>E_invoice[[#This Row],[Customer]]</f>
        <v>100000A</v>
      </c>
    </row>
    <row r="12" spans="1:12" x14ac:dyDescent="0.25">
      <c r="A12" t="s">
        <v>181</v>
      </c>
      <c r="B12" t="s">
        <v>5662</v>
      </c>
      <c r="C12" t="s">
        <v>73</v>
      </c>
      <c r="D12" t="s">
        <v>260</v>
      </c>
      <c r="E12">
        <v>842</v>
      </c>
      <c r="F12">
        <v>51.99</v>
      </c>
      <c r="G12">
        <v>43775.58</v>
      </c>
      <c r="H12" t="s">
        <v>183</v>
      </c>
      <c r="I12" t="str">
        <f>LEFT(E_invoice[[#This Row],[P.Code]],8)</f>
        <v>PSR0V265</v>
      </c>
      <c r="J12" t="str">
        <f>VLOOKUP(E_invoice[[#This Row],[Customer]],$A$2:$B$44,2,0)</f>
        <v>BRIDGESTONE ASIA PACIFIC PTE. LTD</v>
      </c>
      <c r="K12" t="str">
        <f>E_invoice[[#This Row],[Customer]]</f>
        <v>355000A</v>
      </c>
    </row>
    <row r="13" spans="1:12" x14ac:dyDescent="0.25">
      <c r="A13" t="s">
        <v>181</v>
      </c>
      <c r="B13" t="s">
        <v>5662</v>
      </c>
      <c r="C13" t="s">
        <v>73</v>
      </c>
      <c r="D13" t="s">
        <v>262</v>
      </c>
      <c r="E13">
        <v>35</v>
      </c>
      <c r="F13">
        <v>49.35</v>
      </c>
      <c r="G13">
        <v>1727.25</v>
      </c>
      <c r="H13" t="s">
        <v>183</v>
      </c>
      <c r="I13" t="str">
        <f>LEFT(E_invoice[[#This Row],[P.Code]],8)</f>
        <v>PSR0V267</v>
      </c>
      <c r="J13" t="str">
        <f>VLOOKUP(E_invoice[[#This Row],[Customer]],$A$2:$B$44,2,0)</f>
        <v>BRIDGESTONE ASIA PACIFIC PTE. LTD</v>
      </c>
      <c r="K13" t="str">
        <f>E_invoice[[#This Row],[Customer]]</f>
        <v>355000A</v>
      </c>
    </row>
    <row r="14" spans="1:12" x14ac:dyDescent="0.25">
      <c r="A14" t="s">
        <v>181</v>
      </c>
      <c r="B14" t="s">
        <v>5662</v>
      </c>
      <c r="C14" t="s">
        <v>73</v>
      </c>
      <c r="D14" t="s">
        <v>222</v>
      </c>
      <c r="E14">
        <v>84</v>
      </c>
      <c r="F14">
        <v>31.89</v>
      </c>
      <c r="G14">
        <v>2678.76</v>
      </c>
      <c r="H14" t="s">
        <v>183</v>
      </c>
      <c r="I14" t="str">
        <f>LEFT(E_invoice[[#This Row],[P.Code]],8)</f>
        <v>PSR0V01P</v>
      </c>
      <c r="J14" t="str">
        <f>VLOOKUP(E_invoice[[#This Row],[Customer]],$A$2:$B$44,2,0)</f>
        <v>BRIDGESTONE ASIA PACIFIC PTE. LTD</v>
      </c>
      <c r="K14" t="str">
        <f>E_invoice[[#This Row],[Customer]]</f>
        <v>355000A</v>
      </c>
    </row>
    <row r="15" spans="1:12" x14ac:dyDescent="0.25">
      <c r="A15" t="s">
        <v>181</v>
      </c>
      <c r="B15" t="s">
        <v>5662</v>
      </c>
      <c r="C15" t="s">
        <v>73</v>
      </c>
      <c r="D15" t="s">
        <v>199</v>
      </c>
      <c r="E15">
        <v>47</v>
      </c>
      <c r="F15">
        <v>40.81</v>
      </c>
      <c r="G15">
        <v>1918.07</v>
      </c>
      <c r="H15" t="s">
        <v>183</v>
      </c>
      <c r="I15" t="str">
        <f>LEFT(E_invoice[[#This Row],[P.Code]],8)</f>
        <v>PSR0V02P</v>
      </c>
      <c r="J15" t="str">
        <f>VLOOKUP(E_invoice[[#This Row],[Customer]],$A$2:$B$44,2,0)</f>
        <v>BRIDGESTONE ASIA PACIFIC PTE. LTD</v>
      </c>
      <c r="K15" t="str">
        <f>E_invoice[[#This Row],[Customer]]</f>
        <v>355000A</v>
      </c>
    </row>
    <row r="16" spans="1:12" x14ac:dyDescent="0.25">
      <c r="A16" t="s">
        <v>181</v>
      </c>
      <c r="B16" t="s">
        <v>5662</v>
      </c>
      <c r="C16" t="s">
        <v>73</v>
      </c>
      <c r="D16" t="s">
        <v>260</v>
      </c>
      <c r="E16">
        <v>308</v>
      </c>
      <c r="F16">
        <v>51.99</v>
      </c>
      <c r="G16">
        <v>16012.92</v>
      </c>
      <c r="H16" t="s">
        <v>183</v>
      </c>
      <c r="I16" t="str">
        <f>LEFT(E_invoice[[#This Row],[P.Code]],8)</f>
        <v>PSR0V265</v>
      </c>
      <c r="J16" t="str">
        <f>VLOOKUP(E_invoice[[#This Row],[Customer]],$A$2:$B$44,2,0)</f>
        <v>BRIDGESTONE ASIA PACIFIC PTE. LTD</v>
      </c>
      <c r="K16" t="str">
        <f>E_invoice[[#This Row],[Customer]]</f>
        <v>355000A</v>
      </c>
    </row>
    <row r="17" spans="1:11" x14ac:dyDescent="0.25">
      <c r="A17" t="s">
        <v>181</v>
      </c>
      <c r="B17" t="s">
        <v>5662</v>
      </c>
      <c r="C17" t="s">
        <v>73</v>
      </c>
      <c r="D17" t="s">
        <v>246</v>
      </c>
      <c r="E17">
        <v>85</v>
      </c>
      <c r="F17">
        <v>41.6</v>
      </c>
      <c r="G17">
        <v>3536</v>
      </c>
      <c r="H17" t="s">
        <v>183</v>
      </c>
      <c r="I17" t="str">
        <f>LEFT(E_invoice[[#This Row],[P.Code]],8)</f>
        <v>PSR0V47D</v>
      </c>
      <c r="J17" t="str">
        <f>VLOOKUP(E_invoice[[#This Row],[Customer]],$A$2:$B$44,2,0)</f>
        <v>BRIDGESTONE ASIA PACIFIC PTE. LTD</v>
      </c>
      <c r="K17" t="str">
        <f>E_invoice[[#This Row],[Customer]]</f>
        <v>355000A</v>
      </c>
    </row>
    <row r="18" spans="1:11" x14ac:dyDescent="0.25">
      <c r="A18" t="s">
        <v>181</v>
      </c>
      <c r="B18" t="s">
        <v>5662</v>
      </c>
      <c r="C18" t="s">
        <v>73</v>
      </c>
      <c r="D18" t="s">
        <v>212</v>
      </c>
      <c r="E18">
        <v>261</v>
      </c>
      <c r="F18">
        <v>46.68</v>
      </c>
      <c r="G18">
        <v>12183.48</v>
      </c>
      <c r="H18" t="s">
        <v>183</v>
      </c>
      <c r="I18" t="str">
        <f>LEFT(E_invoice[[#This Row],[P.Code]],8)</f>
        <v>PSR0V174</v>
      </c>
      <c r="J18" t="str">
        <f>VLOOKUP(E_invoice[[#This Row],[Customer]],$A$2:$B$44,2,0)</f>
        <v>BRIDGESTONE ASIA PACIFIC PTE. LTD</v>
      </c>
      <c r="K18" t="str">
        <f>E_invoice[[#This Row],[Customer]]</f>
        <v>355000A</v>
      </c>
    </row>
    <row r="19" spans="1:11" x14ac:dyDescent="0.25">
      <c r="A19" t="s">
        <v>181</v>
      </c>
      <c r="B19" t="s">
        <v>5662</v>
      </c>
      <c r="C19" t="s">
        <v>73</v>
      </c>
      <c r="D19" t="s">
        <v>217</v>
      </c>
      <c r="E19">
        <v>11</v>
      </c>
      <c r="F19">
        <v>59.37</v>
      </c>
      <c r="G19">
        <v>653.07000000000005</v>
      </c>
      <c r="H19" t="s">
        <v>183</v>
      </c>
      <c r="I19" t="str">
        <f>LEFT(E_invoice[[#This Row],[P.Code]],8)</f>
        <v>PSR0V23D</v>
      </c>
      <c r="J19" t="str">
        <f>VLOOKUP(E_invoice[[#This Row],[Customer]],$A$2:$B$44,2,0)</f>
        <v>BRIDGESTONE ASIA PACIFIC PTE. LTD</v>
      </c>
      <c r="K19" t="str">
        <f>E_invoice[[#This Row],[Customer]]</f>
        <v>355000A</v>
      </c>
    </row>
    <row r="20" spans="1:11" x14ac:dyDescent="0.25">
      <c r="A20" t="s">
        <v>181</v>
      </c>
      <c r="B20" t="s">
        <v>5662</v>
      </c>
      <c r="C20" t="s">
        <v>73</v>
      </c>
      <c r="D20" t="s">
        <v>249</v>
      </c>
      <c r="E20">
        <v>1</v>
      </c>
      <c r="F20">
        <v>59.58</v>
      </c>
      <c r="G20">
        <v>59.58</v>
      </c>
      <c r="H20" t="s">
        <v>183</v>
      </c>
      <c r="I20" t="str">
        <f>LEFT(E_invoice[[#This Row],[P.Code]],8)</f>
        <v>PSR0V14D</v>
      </c>
      <c r="J20" t="str">
        <f>VLOOKUP(E_invoice[[#This Row],[Customer]],$A$2:$B$44,2,0)</f>
        <v>BRIDGESTONE ASIA PACIFIC PTE. LTD</v>
      </c>
      <c r="K20" t="str">
        <f>E_invoice[[#This Row],[Customer]]</f>
        <v>355000A</v>
      </c>
    </row>
    <row r="21" spans="1:11" x14ac:dyDescent="0.25">
      <c r="A21" t="s">
        <v>181</v>
      </c>
      <c r="B21" t="s">
        <v>5662</v>
      </c>
      <c r="C21" t="s">
        <v>73</v>
      </c>
      <c r="D21" t="s">
        <v>192</v>
      </c>
      <c r="E21">
        <v>43</v>
      </c>
      <c r="F21">
        <v>47.75</v>
      </c>
      <c r="G21">
        <v>2053.25</v>
      </c>
      <c r="H21" t="s">
        <v>183</v>
      </c>
      <c r="I21" t="str">
        <f>LEFT(E_invoice[[#This Row],[P.Code]],8)</f>
        <v>PSR0V15D</v>
      </c>
      <c r="J21" t="str">
        <f>VLOOKUP(E_invoice[[#This Row],[Customer]],$A$2:$B$44,2,0)</f>
        <v>BRIDGESTONE ASIA PACIFIC PTE. LTD</v>
      </c>
      <c r="K21" t="str">
        <f>E_invoice[[#This Row],[Customer]]</f>
        <v>355000A</v>
      </c>
    </row>
    <row r="22" spans="1:11" x14ac:dyDescent="0.25">
      <c r="A22" t="s">
        <v>181</v>
      </c>
      <c r="B22" t="s">
        <v>5662</v>
      </c>
      <c r="C22" t="s">
        <v>73</v>
      </c>
      <c r="D22" t="s">
        <v>206</v>
      </c>
      <c r="E22">
        <v>13</v>
      </c>
      <c r="F22">
        <v>51.35</v>
      </c>
      <c r="G22">
        <v>667.55</v>
      </c>
      <c r="H22" t="s">
        <v>183</v>
      </c>
      <c r="I22" t="str">
        <f>LEFT(E_invoice[[#This Row],[P.Code]],8)</f>
        <v>PSR0V16D</v>
      </c>
      <c r="J22" t="str">
        <f>VLOOKUP(E_invoice[[#This Row],[Customer]],$A$2:$B$44,2,0)</f>
        <v>BRIDGESTONE ASIA PACIFIC PTE. LTD</v>
      </c>
      <c r="K22" t="str">
        <f>E_invoice[[#This Row],[Customer]]</f>
        <v>355000A</v>
      </c>
    </row>
    <row r="23" spans="1:11" x14ac:dyDescent="0.25">
      <c r="A23" t="s">
        <v>181</v>
      </c>
      <c r="B23" t="s">
        <v>5662</v>
      </c>
      <c r="C23" t="s">
        <v>73</v>
      </c>
      <c r="D23" t="s">
        <v>201</v>
      </c>
      <c r="E23">
        <v>88</v>
      </c>
      <c r="F23">
        <v>46.66</v>
      </c>
      <c r="G23">
        <v>4106.08</v>
      </c>
      <c r="H23" t="s">
        <v>183</v>
      </c>
      <c r="I23" t="str">
        <f>LEFT(E_invoice[[#This Row],[P.Code]],8)</f>
        <v>PSR0V51D</v>
      </c>
      <c r="J23" t="str">
        <f>VLOOKUP(E_invoice[[#This Row],[Customer]],$A$2:$B$44,2,0)</f>
        <v>BRIDGESTONE ASIA PACIFIC PTE. LTD</v>
      </c>
      <c r="K23" t="str">
        <f>E_invoice[[#This Row],[Customer]]</f>
        <v>355000A</v>
      </c>
    </row>
    <row r="24" spans="1:11" x14ac:dyDescent="0.25">
      <c r="A24" t="s">
        <v>181</v>
      </c>
      <c r="B24" t="s">
        <v>5662</v>
      </c>
      <c r="C24" t="s">
        <v>73</v>
      </c>
      <c r="D24" t="s">
        <v>189</v>
      </c>
      <c r="E24">
        <v>113</v>
      </c>
      <c r="F24">
        <v>44.99</v>
      </c>
      <c r="G24">
        <v>5083.87</v>
      </c>
      <c r="H24" t="s">
        <v>183</v>
      </c>
      <c r="I24" t="str">
        <f>LEFT(E_invoice[[#This Row],[P.Code]],8)</f>
        <v>PSR0V48D</v>
      </c>
      <c r="J24" t="str">
        <f>VLOOKUP(E_invoice[[#This Row],[Customer]],$A$2:$B$44,2,0)</f>
        <v>BRIDGESTONE ASIA PACIFIC PTE. LTD</v>
      </c>
      <c r="K24" t="str">
        <f>E_invoice[[#This Row],[Customer]]</f>
        <v>355000A</v>
      </c>
    </row>
    <row r="25" spans="1:11" x14ac:dyDescent="0.25">
      <c r="A25" t="s">
        <v>181</v>
      </c>
      <c r="B25" t="s">
        <v>5662</v>
      </c>
      <c r="C25" t="s">
        <v>73</v>
      </c>
      <c r="D25" t="s">
        <v>220</v>
      </c>
      <c r="E25">
        <v>57</v>
      </c>
      <c r="F25">
        <v>37.93</v>
      </c>
      <c r="G25">
        <v>2162.0100000000002</v>
      </c>
      <c r="H25" t="s">
        <v>183</v>
      </c>
      <c r="I25" t="str">
        <f>LEFT(E_invoice[[#This Row],[P.Code]],8)</f>
        <v>PSR0V46D</v>
      </c>
      <c r="J25" t="str">
        <f>VLOOKUP(E_invoice[[#This Row],[Customer]],$A$2:$B$44,2,0)</f>
        <v>BRIDGESTONE ASIA PACIFIC PTE. LTD</v>
      </c>
      <c r="K25" t="str">
        <f>E_invoice[[#This Row],[Customer]]</f>
        <v>355000A</v>
      </c>
    </row>
    <row r="26" spans="1:11" x14ac:dyDescent="0.25">
      <c r="A26" t="s">
        <v>181</v>
      </c>
      <c r="B26" t="s">
        <v>5662</v>
      </c>
      <c r="C26" t="s">
        <v>73</v>
      </c>
      <c r="D26" t="s">
        <v>205</v>
      </c>
      <c r="E26">
        <v>32</v>
      </c>
      <c r="F26">
        <v>44.85</v>
      </c>
      <c r="G26">
        <v>1435.2</v>
      </c>
      <c r="H26" t="s">
        <v>183</v>
      </c>
      <c r="I26" t="str">
        <f>LEFT(E_invoice[[#This Row],[P.Code]],8)</f>
        <v>PSR0V149</v>
      </c>
      <c r="J26" t="str">
        <f>VLOOKUP(E_invoice[[#This Row],[Customer]],$A$2:$B$44,2,0)</f>
        <v>BRIDGESTONE ASIA PACIFIC PTE. LTD</v>
      </c>
      <c r="K26" t="str">
        <f>E_invoice[[#This Row],[Customer]]</f>
        <v>355000A</v>
      </c>
    </row>
    <row r="27" spans="1:11" x14ac:dyDescent="0.25">
      <c r="A27" t="s">
        <v>181</v>
      </c>
      <c r="B27" t="s">
        <v>5662</v>
      </c>
      <c r="C27" t="s">
        <v>73</v>
      </c>
      <c r="D27" t="s">
        <v>225</v>
      </c>
      <c r="E27">
        <v>104</v>
      </c>
      <c r="F27">
        <v>41.34</v>
      </c>
      <c r="G27">
        <v>4299.3599999999997</v>
      </c>
      <c r="H27" t="s">
        <v>183</v>
      </c>
      <c r="I27" t="str">
        <f>LEFT(E_invoice[[#This Row],[P.Code]],8)</f>
        <v>PSR0V170</v>
      </c>
      <c r="J27" t="str">
        <f>VLOOKUP(E_invoice[[#This Row],[Customer]],$A$2:$B$44,2,0)</f>
        <v>BRIDGESTONE ASIA PACIFIC PTE. LTD</v>
      </c>
      <c r="K27" t="str">
        <f>E_invoice[[#This Row],[Customer]]</f>
        <v>355000A</v>
      </c>
    </row>
    <row r="28" spans="1:11" x14ac:dyDescent="0.25">
      <c r="A28" t="s">
        <v>181</v>
      </c>
      <c r="B28" t="s">
        <v>5662</v>
      </c>
      <c r="C28" t="s">
        <v>73</v>
      </c>
      <c r="D28" t="s">
        <v>213</v>
      </c>
      <c r="E28">
        <v>42</v>
      </c>
      <c r="F28">
        <v>54.94</v>
      </c>
      <c r="G28">
        <v>2307.48</v>
      </c>
      <c r="H28" t="s">
        <v>183</v>
      </c>
      <c r="I28" t="str">
        <f>LEFT(E_invoice[[#This Row],[P.Code]],8)</f>
        <v>PSR0V13D</v>
      </c>
      <c r="J28" t="str">
        <f>VLOOKUP(E_invoice[[#This Row],[Customer]],$A$2:$B$44,2,0)</f>
        <v>BRIDGESTONE ASIA PACIFIC PTE. LTD</v>
      </c>
      <c r="K28" t="str">
        <f>E_invoice[[#This Row],[Customer]]</f>
        <v>355000A</v>
      </c>
    </row>
    <row r="29" spans="1:11" x14ac:dyDescent="0.25">
      <c r="A29" t="s">
        <v>181</v>
      </c>
      <c r="B29" t="s">
        <v>5662</v>
      </c>
      <c r="C29" t="s">
        <v>73</v>
      </c>
      <c r="D29" t="s">
        <v>188</v>
      </c>
      <c r="E29">
        <v>33</v>
      </c>
      <c r="F29">
        <v>45.47</v>
      </c>
      <c r="G29">
        <v>1500.51</v>
      </c>
      <c r="H29" t="s">
        <v>183</v>
      </c>
      <c r="I29" t="str">
        <f>LEFT(E_invoice[[#This Row],[P.Code]],8)</f>
        <v>PSR0V03P</v>
      </c>
      <c r="J29" t="str">
        <f>VLOOKUP(E_invoice[[#This Row],[Customer]],$A$2:$B$44,2,0)</f>
        <v>BRIDGESTONE ASIA PACIFIC PTE. LTD</v>
      </c>
      <c r="K29" t="str">
        <f>E_invoice[[#This Row],[Customer]]</f>
        <v>355000A</v>
      </c>
    </row>
    <row r="30" spans="1:11" x14ac:dyDescent="0.25">
      <c r="A30" t="s">
        <v>181</v>
      </c>
      <c r="B30" t="s">
        <v>5662</v>
      </c>
      <c r="C30" t="s">
        <v>73</v>
      </c>
      <c r="D30" t="s">
        <v>234</v>
      </c>
      <c r="E30">
        <v>1</v>
      </c>
      <c r="F30">
        <v>54.91</v>
      </c>
      <c r="G30">
        <v>54.91</v>
      </c>
      <c r="H30" t="s">
        <v>183</v>
      </c>
      <c r="I30" t="str">
        <f>LEFT(E_invoice[[#This Row],[P.Code]],8)</f>
        <v>PSR0V164</v>
      </c>
      <c r="J30" t="str">
        <f>VLOOKUP(E_invoice[[#This Row],[Customer]],$A$2:$B$44,2,0)</f>
        <v>BRIDGESTONE ASIA PACIFIC PTE. LTD</v>
      </c>
      <c r="K30" t="str">
        <f>E_invoice[[#This Row],[Customer]]</f>
        <v>355000A</v>
      </c>
    </row>
    <row r="31" spans="1:11" x14ac:dyDescent="0.25">
      <c r="A31" t="s">
        <v>181</v>
      </c>
      <c r="B31" t="s">
        <v>5662</v>
      </c>
      <c r="C31" t="s">
        <v>73</v>
      </c>
      <c r="D31" t="s">
        <v>233</v>
      </c>
      <c r="E31">
        <v>33</v>
      </c>
      <c r="F31">
        <v>44.87</v>
      </c>
      <c r="G31">
        <v>1480.71</v>
      </c>
      <c r="H31" t="s">
        <v>183</v>
      </c>
      <c r="I31" t="str">
        <f>LEFT(E_invoice[[#This Row],[P.Code]],8)</f>
        <v>PSR0V49D</v>
      </c>
      <c r="J31" t="str">
        <f>VLOOKUP(E_invoice[[#This Row],[Customer]],$A$2:$B$44,2,0)</f>
        <v>BRIDGESTONE ASIA PACIFIC PTE. LTD</v>
      </c>
      <c r="K31" t="str">
        <f>E_invoice[[#This Row],[Customer]]</f>
        <v>355000A</v>
      </c>
    </row>
    <row r="32" spans="1:11" x14ac:dyDescent="0.25">
      <c r="A32" t="s">
        <v>181</v>
      </c>
      <c r="B32" t="s">
        <v>5662</v>
      </c>
      <c r="C32" t="s">
        <v>73</v>
      </c>
      <c r="D32" t="s">
        <v>197</v>
      </c>
      <c r="E32">
        <v>25</v>
      </c>
      <c r="F32">
        <v>53.12</v>
      </c>
      <c r="G32">
        <v>1328</v>
      </c>
      <c r="H32" t="s">
        <v>183</v>
      </c>
      <c r="I32" t="str">
        <f>LEFT(E_invoice[[#This Row],[P.Code]],8)</f>
        <v>PSR0V19D</v>
      </c>
      <c r="J32" t="str">
        <f>VLOOKUP(E_invoice[[#This Row],[Customer]],$A$2:$B$44,2,0)</f>
        <v>BRIDGESTONE ASIA PACIFIC PTE. LTD</v>
      </c>
      <c r="K32" t="str">
        <f>E_invoice[[#This Row],[Customer]]</f>
        <v>355000A</v>
      </c>
    </row>
    <row r="33" spans="1:11" x14ac:dyDescent="0.25">
      <c r="A33" t="s">
        <v>181</v>
      </c>
      <c r="B33" t="s">
        <v>5662</v>
      </c>
      <c r="C33" t="s">
        <v>73</v>
      </c>
      <c r="D33" t="s">
        <v>186</v>
      </c>
      <c r="E33">
        <v>12</v>
      </c>
      <c r="F33">
        <v>55.61</v>
      </c>
      <c r="G33">
        <v>667.32</v>
      </c>
      <c r="H33" t="s">
        <v>183</v>
      </c>
      <c r="I33" t="str">
        <f>LEFT(E_invoice[[#This Row],[P.Code]],8)</f>
        <v>PSR0V29D</v>
      </c>
      <c r="J33" t="str">
        <f>VLOOKUP(E_invoice[[#This Row],[Customer]],$A$2:$B$44,2,0)</f>
        <v>BRIDGESTONE ASIA PACIFIC PTE. LTD</v>
      </c>
      <c r="K33" t="str">
        <f>E_invoice[[#This Row],[Customer]]</f>
        <v>355000A</v>
      </c>
    </row>
    <row r="34" spans="1:11" x14ac:dyDescent="0.25">
      <c r="A34" t="s">
        <v>181</v>
      </c>
      <c r="B34" t="s">
        <v>5663</v>
      </c>
      <c r="C34" t="s">
        <v>70</v>
      </c>
      <c r="D34" t="s">
        <v>226</v>
      </c>
      <c r="E34">
        <v>300</v>
      </c>
      <c r="F34">
        <v>26.99</v>
      </c>
      <c r="G34">
        <v>8097</v>
      </c>
      <c r="H34" t="s">
        <v>227</v>
      </c>
      <c r="I34" t="str">
        <f>LEFT(E_invoice[[#This Row],[P.Code]],8)</f>
        <v>PSR0V01B</v>
      </c>
      <c r="J34" t="str">
        <f>VLOOKUP(E_invoice[[#This Row],[Customer]],$A$2:$B$44,2,0)</f>
        <v>BRIDGESTONE CORPORATION</v>
      </c>
      <c r="K34" t="str">
        <f>E_invoice[[#This Row],[Customer]]</f>
        <v>100000A</v>
      </c>
    </row>
    <row r="35" spans="1:11" x14ac:dyDescent="0.25">
      <c r="A35" t="s">
        <v>181</v>
      </c>
      <c r="B35" t="s">
        <v>5663</v>
      </c>
      <c r="C35" t="s">
        <v>70</v>
      </c>
      <c r="D35" t="s">
        <v>228</v>
      </c>
      <c r="E35">
        <v>200</v>
      </c>
      <c r="F35">
        <v>34.770000000000003</v>
      </c>
      <c r="G35">
        <v>6954</v>
      </c>
      <c r="H35" t="s">
        <v>227</v>
      </c>
      <c r="I35" t="str">
        <f>LEFT(E_invoice[[#This Row],[P.Code]],8)</f>
        <v>PSR0V05B</v>
      </c>
      <c r="J35" t="str">
        <f>VLOOKUP(E_invoice[[#This Row],[Customer]],$A$2:$B$44,2,0)</f>
        <v>BRIDGESTONE CORPORATION</v>
      </c>
      <c r="K35" t="str">
        <f>E_invoice[[#This Row],[Customer]]</f>
        <v>100000A</v>
      </c>
    </row>
    <row r="36" spans="1:11" x14ac:dyDescent="0.25">
      <c r="A36" t="s">
        <v>181</v>
      </c>
      <c r="B36" t="s">
        <v>5663</v>
      </c>
      <c r="C36" t="s">
        <v>70</v>
      </c>
      <c r="D36" t="s">
        <v>229</v>
      </c>
      <c r="E36">
        <v>2322</v>
      </c>
      <c r="F36">
        <v>26.83</v>
      </c>
      <c r="G36">
        <v>62299.26</v>
      </c>
      <c r="H36" t="s">
        <v>227</v>
      </c>
      <c r="I36" t="str">
        <f>LEFT(E_invoice[[#This Row],[P.Code]],8)</f>
        <v>PSR0V229</v>
      </c>
      <c r="J36" t="str">
        <f>VLOOKUP(E_invoice[[#This Row],[Customer]],$A$2:$B$44,2,0)</f>
        <v>BRIDGESTONE CORPORATION</v>
      </c>
      <c r="K36" t="str">
        <f>E_invoice[[#This Row],[Customer]]</f>
        <v>100000A</v>
      </c>
    </row>
    <row r="37" spans="1:11" x14ac:dyDescent="0.25">
      <c r="A37" t="s">
        <v>181</v>
      </c>
      <c r="B37" t="s">
        <v>5663</v>
      </c>
      <c r="C37" t="s">
        <v>70</v>
      </c>
      <c r="D37" t="s">
        <v>230</v>
      </c>
      <c r="E37">
        <v>3024</v>
      </c>
      <c r="F37">
        <v>27.98</v>
      </c>
      <c r="G37">
        <v>84611.520000000004</v>
      </c>
      <c r="H37" t="s">
        <v>227</v>
      </c>
      <c r="I37" t="str">
        <f>LEFT(E_invoice[[#This Row],[P.Code]],8)</f>
        <v>PSR0V234</v>
      </c>
      <c r="J37" t="str">
        <f>VLOOKUP(E_invoice[[#This Row],[Customer]],$A$2:$B$44,2,0)</f>
        <v>BRIDGESTONE CORPORATION</v>
      </c>
      <c r="K37" t="str">
        <f>E_invoice[[#This Row],[Customer]]</f>
        <v>100000A</v>
      </c>
    </row>
    <row r="38" spans="1:11" x14ac:dyDescent="0.25">
      <c r="A38" t="s">
        <v>181</v>
      </c>
      <c r="B38" t="s">
        <v>5664</v>
      </c>
      <c r="C38" t="s">
        <v>70</v>
      </c>
      <c r="D38" t="s">
        <v>236</v>
      </c>
      <c r="E38">
        <v>1440</v>
      </c>
      <c r="F38">
        <v>52.96</v>
      </c>
      <c r="G38">
        <v>76262.399999999994</v>
      </c>
      <c r="H38" t="s">
        <v>237</v>
      </c>
      <c r="I38" t="str">
        <f>LEFT(E_invoice[[#This Row],[P.Code]],8)</f>
        <v>PSR0VF6F</v>
      </c>
      <c r="J38" t="str">
        <f>VLOOKUP(E_invoice[[#This Row],[Customer]],$A$2:$B$44,2,0)</f>
        <v>BRIDGESTONE CORPORATION</v>
      </c>
      <c r="K38" t="str">
        <f>E_invoice[[#This Row],[Customer]]</f>
        <v>100000A</v>
      </c>
    </row>
    <row r="39" spans="1:11" x14ac:dyDescent="0.25">
      <c r="A39" t="s">
        <v>181</v>
      </c>
      <c r="B39" t="s">
        <v>5664</v>
      </c>
      <c r="C39" t="s">
        <v>70</v>
      </c>
      <c r="D39" t="s">
        <v>243</v>
      </c>
      <c r="E39">
        <v>366</v>
      </c>
      <c r="F39">
        <v>43.56</v>
      </c>
      <c r="G39">
        <v>15942.96</v>
      </c>
      <c r="H39" t="s">
        <v>237</v>
      </c>
      <c r="I39" t="str">
        <f>LEFT(E_invoice[[#This Row],[P.Code]],8)</f>
        <v>PSR0VH4F</v>
      </c>
      <c r="J39" t="str">
        <f>VLOOKUP(E_invoice[[#This Row],[Customer]],$A$2:$B$44,2,0)</f>
        <v>BRIDGESTONE CORPORATION</v>
      </c>
      <c r="K39" t="str">
        <f>E_invoice[[#This Row],[Customer]]</f>
        <v>100000A</v>
      </c>
    </row>
    <row r="40" spans="1:11" x14ac:dyDescent="0.25">
      <c r="A40" t="s">
        <v>181</v>
      </c>
      <c r="B40" t="s">
        <v>5664</v>
      </c>
      <c r="C40" t="s">
        <v>70</v>
      </c>
      <c r="D40" t="s">
        <v>242</v>
      </c>
      <c r="E40">
        <v>575</v>
      </c>
      <c r="F40">
        <v>38.81</v>
      </c>
      <c r="G40">
        <v>22315.75</v>
      </c>
      <c r="H40" t="s">
        <v>237</v>
      </c>
      <c r="I40" t="str">
        <f>LEFT(E_invoice[[#This Row],[P.Code]],8)</f>
        <v>PSR0VJ5F</v>
      </c>
      <c r="J40" t="str">
        <f>VLOOKUP(E_invoice[[#This Row],[Customer]],$A$2:$B$44,2,0)</f>
        <v>BRIDGESTONE CORPORATION</v>
      </c>
      <c r="K40" t="str">
        <f>E_invoice[[#This Row],[Customer]]</f>
        <v>100000A</v>
      </c>
    </row>
    <row r="41" spans="1:11" x14ac:dyDescent="0.25">
      <c r="A41" t="s">
        <v>181</v>
      </c>
      <c r="B41" t="s">
        <v>5665</v>
      </c>
      <c r="C41" t="s">
        <v>73</v>
      </c>
      <c r="D41" t="s">
        <v>214</v>
      </c>
      <c r="E41">
        <v>11</v>
      </c>
      <c r="F41">
        <v>46.11</v>
      </c>
      <c r="G41">
        <v>507.21</v>
      </c>
      <c r="H41" t="s">
        <v>183</v>
      </c>
      <c r="I41" t="str">
        <f>LEFT(E_invoice[[#This Row],[P.Code]],8)</f>
        <v>PSR0V52D</v>
      </c>
      <c r="J41" t="str">
        <f>VLOOKUP(E_invoice[[#This Row],[Customer]],$A$2:$B$44,2,0)</f>
        <v>BRIDGESTONE ASIA PACIFIC PTE. LTD</v>
      </c>
      <c r="K41" t="str">
        <f>E_invoice[[#This Row],[Customer]]</f>
        <v>355000A</v>
      </c>
    </row>
    <row r="42" spans="1:11" x14ac:dyDescent="0.25">
      <c r="A42" t="s">
        <v>181</v>
      </c>
      <c r="B42" t="s">
        <v>5665</v>
      </c>
      <c r="C42" t="s">
        <v>73</v>
      </c>
      <c r="D42" t="s">
        <v>216</v>
      </c>
      <c r="E42">
        <v>9</v>
      </c>
      <c r="F42">
        <v>47.95</v>
      </c>
      <c r="G42">
        <v>431.55</v>
      </c>
      <c r="H42" t="s">
        <v>183</v>
      </c>
      <c r="I42" t="str">
        <f>LEFT(E_invoice[[#This Row],[P.Code]],8)</f>
        <v>PSR0V07S</v>
      </c>
      <c r="J42" t="str">
        <f>VLOOKUP(E_invoice[[#This Row],[Customer]],$A$2:$B$44,2,0)</f>
        <v>BRIDGESTONE ASIA PACIFIC PTE. LTD</v>
      </c>
      <c r="K42" t="str">
        <f>E_invoice[[#This Row],[Customer]]</f>
        <v>355000A</v>
      </c>
    </row>
    <row r="43" spans="1:11" x14ac:dyDescent="0.25">
      <c r="A43" t="s">
        <v>181</v>
      </c>
      <c r="B43" t="s">
        <v>5665</v>
      </c>
      <c r="C43" t="s">
        <v>73</v>
      </c>
      <c r="D43" t="s">
        <v>260</v>
      </c>
      <c r="E43">
        <v>696</v>
      </c>
      <c r="F43">
        <v>51.99</v>
      </c>
      <c r="G43">
        <v>36185.040000000001</v>
      </c>
      <c r="H43" t="s">
        <v>183</v>
      </c>
      <c r="I43" t="str">
        <f>LEFT(E_invoice[[#This Row],[P.Code]],8)</f>
        <v>PSR0V265</v>
      </c>
      <c r="J43" t="str">
        <f>VLOOKUP(E_invoice[[#This Row],[Customer]],$A$2:$B$44,2,0)</f>
        <v>BRIDGESTONE ASIA PACIFIC PTE. LTD</v>
      </c>
      <c r="K43" t="str">
        <f>E_invoice[[#This Row],[Customer]]</f>
        <v>355000A</v>
      </c>
    </row>
    <row r="44" spans="1:11" x14ac:dyDescent="0.25">
      <c r="A44" t="s">
        <v>181</v>
      </c>
      <c r="B44" t="s">
        <v>5665</v>
      </c>
      <c r="C44" t="s">
        <v>73</v>
      </c>
      <c r="D44" t="s">
        <v>262</v>
      </c>
      <c r="E44">
        <v>46</v>
      </c>
      <c r="F44">
        <v>49.35</v>
      </c>
      <c r="G44">
        <v>2270.1</v>
      </c>
      <c r="H44" t="s">
        <v>183</v>
      </c>
      <c r="I44" t="str">
        <f>LEFT(E_invoice[[#This Row],[P.Code]],8)</f>
        <v>PSR0V267</v>
      </c>
      <c r="J44" t="str">
        <f>VLOOKUP(E_invoice[[#This Row],[Customer]],$A$2:$B$44,2,0)</f>
        <v>BRIDGESTONE ASIA PACIFIC PTE. LTD</v>
      </c>
      <c r="K44" t="str">
        <f>E_invoice[[#This Row],[Customer]]</f>
        <v>355000A</v>
      </c>
    </row>
    <row r="45" spans="1:11" x14ac:dyDescent="0.25">
      <c r="A45" t="s">
        <v>181</v>
      </c>
      <c r="B45" t="s">
        <v>5665</v>
      </c>
      <c r="C45" t="s">
        <v>73</v>
      </c>
      <c r="D45" t="s">
        <v>234</v>
      </c>
      <c r="E45">
        <v>3</v>
      </c>
      <c r="F45">
        <v>54.91</v>
      </c>
      <c r="G45">
        <v>164.73</v>
      </c>
      <c r="H45" t="s">
        <v>183</v>
      </c>
      <c r="I45" t="str">
        <f>LEFT(E_invoice[[#This Row],[P.Code]],8)</f>
        <v>PSR0V164</v>
      </c>
      <c r="J45" t="str">
        <f>VLOOKUP(E_invoice[[#This Row],[Customer]],$A$2:$B$44,2,0)</f>
        <v>BRIDGESTONE ASIA PACIFIC PTE. LTD</v>
      </c>
      <c r="K45" t="str">
        <f>E_invoice[[#This Row],[Customer]]</f>
        <v>355000A</v>
      </c>
    </row>
    <row r="46" spans="1:11" x14ac:dyDescent="0.25">
      <c r="A46" t="s">
        <v>181</v>
      </c>
      <c r="B46" t="s">
        <v>5665</v>
      </c>
      <c r="C46" t="s">
        <v>73</v>
      </c>
      <c r="D46" t="s">
        <v>200</v>
      </c>
      <c r="E46">
        <v>28</v>
      </c>
      <c r="F46">
        <v>35.47</v>
      </c>
      <c r="G46">
        <v>993.16</v>
      </c>
      <c r="H46" t="s">
        <v>183</v>
      </c>
      <c r="I46" t="str">
        <f>LEFT(E_invoice[[#This Row],[P.Code]],8)</f>
        <v>PSR0V06P</v>
      </c>
      <c r="J46" t="str">
        <f>VLOOKUP(E_invoice[[#This Row],[Customer]],$A$2:$B$44,2,0)</f>
        <v>BRIDGESTONE ASIA PACIFIC PTE. LTD</v>
      </c>
      <c r="K46" t="str">
        <f>E_invoice[[#This Row],[Customer]]</f>
        <v>355000A</v>
      </c>
    </row>
    <row r="47" spans="1:11" x14ac:dyDescent="0.25">
      <c r="A47" t="s">
        <v>181</v>
      </c>
      <c r="B47" t="s">
        <v>5665</v>
      </c>
      <c r="C47" t="s">
        <v>73</v>
      </c>
      <c r="D47" t="s">
        <v>205</v>
      </c>
      <c r="E47">
        <v>16</v>
      </c>
      <c r="F47">
        <v>44.85</v>
      </c>
      <c r="G47">
        <v>717.6</v>
      </c>
      <c r="H47" t="s">
        <v>183</v>
      </c>
      <c r="I47" t="str">
        <f>LEFT(E_invoice[[#This Row],[P.Code]],8)</f>
        <v>PSR0V149</v>
      </c>
      <c r="J47" t="str">
        <f>VLOOKUP(E_invoice[[#This Row],[Customer]],$A$2:$B$44,2,0)</f>
        <v>BRIDGESTONE ASIA PACIFIC PTE. LTD</v>
      </c>
      <c r="K47" t="str">
        <f>E_invoice[[#This Row],[Customer]]</f>
        <v>355000A</v>
      </c>
    </row>
    <row r="48" spans="1:11" x14ac:dyDescent="0.25">
      <c r="A48" t="s">
        <v>181</v>
      </c>
      <c r="B48" t="s">
        <v>5665</v>
      </c>
      <c r="C48" t="s">
        <v>73</v>
      </c>
      <c r="D48" t="s">
        <v>189</v>
      </c>
      <c r="E48">
        <v>94</v>
      </c>
      <c r="F48">
        <v>44.99</v>
      </c>
      <c r="G48">
        <v>4229.0600000000004</v>
      </c>
      <c r="H48" t="s">
        <v>183</v>
      </c>
      <c r="I48" t="str">
        <f>LEFT(E_invoice[[#This Row],[P.Code]],8)</f>
        <v>PSR0V48D</v>
      </c>
      <c r="J48" t="str">
        <f>VLOOKUP(E_invoice[[#This Row],[Customer]],$A$2:$B$44,2,0)</f>
        <v>BRIDGESTONE ASIA PACIFIC PTE. LTD</v>
      </c>
      <c r="K48" t="str">
        <f>E_invoice[[#This Row],[Customer]]</f>
        <v>355000A</v>
      </c>
    </row>
    <row r="49" spans="1:11" x14ac:dyDescent="0.25">
      <c r="A49" t="s">
        <v>181</v>
      </c>
      <c r="B49" t="s">
        <v>5665</v>
      </c>
      <c r="C49" t="s">
        <v>73</v>
      </c>
      <c r="D49" t="s">
        <v>188</v>
      </c>
      <c r="E49">
        <v>88</v>
      </c>
      <c r="F49">
        <v>45.47</v>
      </c>
      <c r="G49">
        <v>4001.36</v>
      </c>
      <c r="H49" t="s">
        <v>183</v>
      </c>
      <c r="I49" t="str">
        <f>LEFT(E_invoice[[#This Row],[P.Code]],8)</f>
        <v>PSR0V03P</v>
      </c>
      <c r="J49" t="str">
        <f>VLOOKUP(E_invoice[[#This Row],[Customer]],$A$2:$B$44,2,0)</f>
        <v>BRIDGESTONE ASIA PACIFIC PTE. LTD</v>
      </c>
      <c r="K49" t="str">
        <f>E_invoice[[#This Row],[Customer]]</f>
        <v>355000A</v>
      </c>
    </row>
    <row r="50" spans="1:11" x14ac:dyDescent="0.25">
      <c r="A50" t="s">
        <v>181</v>
      </c>
      <c r="B50" t="s">
        <v>5665</v>
      </c>
      <c r="C50" t="s">
        <v>73</v>
      </c>
      <c r="D50" t="s">
        <v>223</v>
      </c>
      <c r="E50">
        <v>48</v>
      </c>
      <c r="F50">
        <v>59.39</v>
      </c>
      <c r="G50">
        <v>2850.72</v>
      </c>
      <c r="H50" t="s">
        <v>183</v>
      </c>
      <c r="I50" t="str">
        <f>LEFT(E_invoice[[#This Row],[P.Code]],8)</f>
        <v>PSR0V256</v>
      </c>
      <c r="J50" t="str">
        <f>VLOOKUP(E_invoice[[#This Row],[Customer]],$A$2:$B$44,2,0)</f>
        <v>BRIDGESTONE ASIA PACIFIC PTE. LTD</v>
      </c>
      <c r="K50" t="str">
        <f>E_invoice[[#This Row],[Customer]]</f>
        <v>355000A</v>
      </c>
    </row>
    <row r="51" spans="1:11" x14ac:dyDescent="0.25">
      <c r="A51" t="s">
        <v>181</v>
      </c>
      <c r="B51" t="s">
        <v>5665</v>
      </c>
      <c r="C51" t="s">
        <v>73</v>
      </c>
      <c r="D51" t="s">
        <v>260</v>
      </c>
      <c r="E51">
        <v>337</v>
      </c>
      <c r="F51">
        <v>51.99</v>
      </c>
      <c r="G51">
        <v>17520.63</v>
      </c>
      <c r="H51" t="s">
        <v>183</v>
      </c>
      <c r="I51" t="str">
        <f>LEFT(E_invoice[[#This Row],[P.Code]],8)</f>
        <v>PSR0V265</v>
      </c>
      <c r="J51" t="str">
        <f>VLOOKUP(E_invoice[[#This Row],[Customer]],$A$2:$B$44,2,0)</f>
        <v>BRIDGESTONE ASIA PACIFIC PTE. LTD</v>
      </c>
      <c r="K51" t="str">
        <f>E_invoice[[#This Row],[Customer]]</f>
        <v>355000A</v>
      </c>
    </row>
    <row r="52" spans="1:11" x14ac:dyDescent="0.25">
      <c r="A52" t="s">
        <v>181</v>
      </c>
      <c r="B52" t="s">
        <v>5665</v>
      </c>
      <c r="C52" t="s">
        <v>73</v>
      </c>
      <c r="D52" t="s">
        <v>192</v>
      </c>
      <c r="E52">
        <v>12</v>
      </c>
      <c r="F52">
        <v>47.75</v>
      </c>
      <c r="G52">
        <v>573</v>
      </c>
      <c r="H52" t="s">
        <v>183</v>
      </c>
      <c r="I52" t="str">
        <f>LEFT(E_invoice[[#This Row],[P.Code]],8)</f>
        <v>PSR0V15D</v>
      </c>
      <c r="J52" t="str">
        <f>VLOOKUP(E_invoice[[#This Row],[Customer]],$A$2:$B$44,2,0)</f>
        <v>BRIDGESTONE ASIA PACIFIC PTE. LTD</v>
      </c>
      <c r="K52" t="str">
        <f>E_invoice[[#This Row],[Customer]]</f>
        <v>355000A</v>
      </c>
    </row>
    <row r="53" spans="1:11" x14ac:dyDescent="0.25">
      <c r="A53" t="s">
        <v>181</v>
      </c>
      <c r="B53" t="s">
        <v>5665</v>
      </c>
      <c r="C53" t="s">
        <v>73</v>
      </c>
      <c r="D53" t="s">
        <v>186</v>
      </c>
      <c r="E53">
        <v>9</v>
      </c>
      <c r="F53">
        <v>55.61</v>
      </c>
      <c r="G53">
        <v>500.49</v>
      </c>
      <c r="H53" t="s">
        <v>183</v>
      </c>
      <c r="I53" t="str">
        <f>LEFT(E_invoice[[#This Row],[P.Code]],8)</f>
        <v>PSR0V29D</v>
      </c>
      <c r="J53" t="str">
        <f>VLOOKUP(E_invoice[[#This Row],[Customer]],$A$2:$B$44,2,0)</f>
        <v>BRIDGESTONE ASIA PACIFIC PTE. LTD</v>
      </c>
      <c r="K53" t="str">
        <f>E_invoice[[#This Row],[Customer]]</f>
        <v>355000A</v>
      </c>
    </row>
    <row r="54" spans="1:11" x14ac:dyDescent="0.25">
      <c r="A54" t="s">
        <v>181</v>
      </c>
      <c r="B54" t="s">
        <v>5665</v>
      </c>
      <c r="C54" t="s">
        <v>73</v>
      </c>
      <c r="D54" t="s">
        <v>249</v>
      </c>
      <c r="E54">
        <v>2</v>
      </c>
      <c r="F54">
        <v>59.58</v>
      </c>
      <c r="G54">
        <v>119.16</v>
      </c>
      <c r="H54" t="s">
        <v>183</v>
      </c>
      <c r="I54" t="str">
        <f>LEFT(E_invoice[[#This Row],[P.Code]],8)</f>
        <v>PSR0V14D</v>
      </c>
      <c r="J54" t="str">
        <f>VLOOKUP(E_invoice[[#This Row],[Customer]],$A$2:$B$44,2,0)</f>
        <v>BRIDGESTONE ASIA PACIFIC PTE. LTD</v>
      </c>
      <c r="K54" t="str">
        <f>E_invoice[[#This Row],[Customer]]</f>
        <v>355000A</v>
      </c>
    </row>
    <row r="55" spans="1:11" x14ac:dyDescent="0.25">
      <c r="A55" t="s">
        <v>181</v>
      </c>
      <c r="B55" t="s">
        <v>5665</v>
      </c>
      <c r="C55" t="s">
        <v>73</v>
      </c>
      <c r="D55" t="s">
        <v>203</v>
      </c>
      <c r="E55">
        <v>16</v>
      </c>
      <c r="F55">
        <v>47.04</v>
      </c>
      <c r="G55">
        <v>752.64</v>
      </c>
      <c r="H55" t="s">
        <v>183</v>
      </c>
      <c r="I55" t="str">
        <f>LEFT(E_invoice[[#This Row],[P.Code]],8)</f>
        <v>PSR0V12D</v>
      </c>
      <c r="J55" t="str">
        <f>VLOOKUP(E_invoice[[#This Row],[Customer]],$A$2:$B$44,2,0)</f>
        <v>BRIDGESTONE ASIA PACIFIC PTE. LTD</v>
      </c>
      <c r="K55" t="str">
        <f>E_invoice[[#This Row],[Customer]]</f>
        <v>355000A</v>
      </c>
    </row>
    <row r="56" spans="1:11" x14ac:dyDescent="0.25">
      <c r="A56" t="s">
        <v>181</v>
      </c>
      <c r="B56" t="s">
        <v>5665</v>
      </c>
      <c r="C56" t="s">
        <v>73</v>
      </c>
      <c r="D56" t="s">
        <v>207</v>
      </c>
      <c r="E56">
        <v>29</v>
      </c>
      <c r="F56">
        <v>43.68</v>
      </c>
      <c r="G56">
        <v>1266.72</v>
      </c>
      <c r="H56" t="s">
        <v>183</v>
      </c>
      <c r="I56" t="str">
        <f>LEFT(E_invoice[[#This Row],[P.Code]],8)</f>
        <v>PSR0V50D</v>
      </c>
      <c r="J56" t="str">
        <f>VLOOKUP(E_invoice[[#This Row],[Customer]],$A$2:$B$44,2,0)</f>
        <v>BRIDGESTONE ASIA PACIFIC PTE. LTD</v>
      </c>
      <c r="K56" t="str">
        <f>E_invoice[[#This Row],[Customer]]</f>
        <v>355000A</v>
      </c>
    </row>
    <row r="57" spans="1:11" x14ac:dyDescent="0.25">
      <c r="A57" t="s">
        <v>239</v>
      </c>
      <c r="B57" t="s">
        <v>5666</v>
      </c>
      <c r="C57" t="s">
        <v>73</v>
      </c>
      <c r="D57" t="s">
        <v>196</v>
      </c>
      <c r="E57">
        <v>66</v>
      </c>
      <c r="F57">
        <v>59.81</v>
      </c>
      <c r="G57">
        <v>3947.46</v>
      </c>
      <c r="H57" t="s">
        <v>231</v>
      </c>
      <c r="I57" t="str">
        <f>LEFT(E_invoice[[#This Row],[P.Code]],8)</f>
        <v>PSR0V213</v>
      </c>
      <c r="J57" t="str">
        <f>VLOOKUP(E_invoice[[#This Row],[Customer]],$A$2:$B$44,2,0)</f>
        <v>BRIDGESTONE ASIA PACIFIC PTE. LTD</v>
      </c>
      <c r="K57" t="str">
        <f>E_invoice[[#This Row],[Customer]]</f>
        <v>355000A</v>
      </c>
    </row>
    <row r="58" spans="1:11" x14ac:dyDescent="0.25">
      <c r="A58" t="s">
        <v>239</v>
      </c>
      <c r="B58" t="s">
        <v>5666</v>
      </c>
      <c r="C58" t="s">
        <v>73</v>
      </c>
      <c r="D58" t="s">
        <v>220</v>
      </c>
      <c r="E58">
        <v>20</v>
      </c>
      <c r="F58">
        <v>37.93</v>
      </c>
      <c r="G58">
        <v>758.6</v>
      </c>
      <c r="H58" t="s">
        <v>231</v>
      </c>
      <c r="I58" t="str">
        <f>LEFT(E_invoice[[#This Row],[P.Code]],8)</f>
        <v>PSR0V46D</v>
      </c>
      <c r="J58" t="str">
        <f>VLOOKUP(E_invoice[[#This Row],[Customer]],$A$2:$B$44,2,0)</f>
        <v>BRIDGESTONE ASIA PACIFIC PTE. LTD</v>
      </c>
      <c r="K58" t="str">
        <f>E_invoice[[#This Row],[Customer]]</f>
        <v>355000A</v>
      </c>
    </row>
    <row r="59" spans="1:11" x14ac:dyDescent="0.25">
      <c r="A59" t="s">
        <v>239</v>
      </c>
      <c r="B59" t="s">
        <v>5666</v>
      </c>
      <c r="C59" t="s">
        <v>73</v>
      </c>
      <c r="D59" t="s">
        <v>246</v>
      </c>
      <c r="E59">
        <v>100</v>
      </c>
      <c r="F59">
        <v>41.6</v>
      </c>
      <c r="G59">
        <v>4160</v>
      </c>
      <c r="H59" t="s">
        <v>231</v>
      </c>
      <c r="I59" t="str">
        <f>LEFT(E_invoice[[#This Row],[P.Code]],8)</f>
        <v>PSR0V47D</v>
      </c>
      <c r="J59" t="str">
        <f>VLOOKUP(E_invoice[[#This Row],[Customer]],$A$2:$B$44,2,0)</f>
        <v>BRIDGESTONE ASIA PACIFIC PTE. LTD</v>
      </c>
      <c r="K59" t="str">
        <f>E_invoice[[#This Row],[Customer]]</f>
        <v>355000A</v>
      </c>
    </row>
    <row r="60" spans="1:11" x14ac:dyDescent="0.25">
      <c r="A60" t="s">
        <v>239</v>
      </c>
      <c r="B60" t="s">
        <v>5666</v>
      </c>
      <c r="C60" t="s">
        <v>73</v>
      </c>
      <c r="D60" t="s">
        <v>211</v>
      </c>
      <c r="E60">
        <v>10</v>
      </c>
      <c r="F60">
        <v>41.23</v>
      </c>
      <c r="G60">
        <v>412.3</v>
      </c>
      <c r="H60" t="s">
        <v>231</v>
      </c>
      <c r="I60" t="str">
        <f>LEFT(E_invoice[[#This Row],[P.Code]],8)</f>
        <v>PSR0V165</v>
      </c>
      <c r="J60" t="str">
        <f>VLOOKUP(E_invoice[[#This Row],[Customer]],$A$2:$B$44,2,0)</f>
        <v>BRIDGESTONE ASIA PACIFIC PTE. LTD</v>
      </c>
      <c r="K60" t="str">
        <f>E_invoice[[#This Row],[Customer]]</f>
        <v>355000A</v>
      </c>
    </row>
    <row r="61" spans="1:11" x14ac:dyDescent="0.25">
      <c r="A61" t="s">
        <v>239</v>
      </c>
      <c r="B61" t="s">
        <v>5666</v>
      </c>
      <c r="C61" t="s">
        <v>73</v>
      </c>
      <c r="D61" t="s">
        <v>232</v>
      </c>
      <c r="E61">
        <v>50</v>
      </c>
      <c r="F61">
        <v>71.06</v>
      </c>
      <c r="G61">
        <v>3553</v>
      </c>
      <c r="H61" t="s">
        <v>231</v>
      </c>
      <c r="I61" t="str">
        <f>LEFT(E_invoice[[#This Row],[P.Code]],8)</f>
        <v>PSR0V208</v>
      </c>
      <c r="J61" t="str">
        <f>VLOOKUP(E_invoice[[#This Row],[Customer]],$A$2:$B$44,2,0)</f>
        <v>BRIDGESTONE ASIA PACIFIC PTE. LTD</v>
      </c>
      <c r="K61" t="str">
        <f>E_invoice[[#This Row],[Customer]]</f>
        <v>355000A</v>
      </c>
    </row>
    <row r="62" spans="1:11" x14ac:dyDescent="0.25">
      <c r="A62" t="s">
        <v>239</v>
      </c>
      <c r="B62" t="s">
        <v>5666</v>
      </c>
      <c r="C62" t="s">
        <v>73</v>
      </c>
      <c r="D62" t="s">
        <v>214</v>
      </c>
      <c r="E62">
        <v>10</v>
      </c>
      <c r="F62">
        <v>46.11</v>
      </c>
      <c r="G62">
        <v>461.1</v>
      </c>
      <c r="H62" t="s">
        <v>231</v>
      </c>
      <c r="I62" t="str">
        <f>LEFT(E_invoice[[#This Row],[P.Code]],8)</f>
        <v>PSR0V52D</v>
      </c>
      <c r="J62" t="str">
        <f>VLOOKUP(E_invoice[[#This Row],[Customer]],$A$2:$B$44,2,0)</f>
        <v>BRIDGESTONE ASIA PACIFIC PTE. LTD</v>
      </c>
      <c r="K62" t="str">
        <f>E_invoice[[#This Row],[Customer]]</f>
        <v>355000A</v>
      </c>
    </row>
    <row r="63" spans="1:11" x14ac:dyDescent="0.25">
      <c r="A63" t="s">
        <v>239</v>
      </c>
      <c r="B63" t="s">
        <v>5666</v>
      </c>
      <c r="C63" t="s">
        <v>73</v>
      </c>
      <c r="D63" t="s">
        <v>203</v>
      </c>
      <c r="E63">
        <v>40</v>
      </c>
      <c r="F63">
        <v>47.04</v>
      </c>
      <c r="G63">
        <v>1881.6</v>
      </c>
      <c r="H63" t="s">
        <v>231</v>
      </c>
      <c r="I63" t="str">
        <f>LEFT(E_invoice[[#This Row],[P.Code]],8)</f>
        <v>PSR0V12D</v>
      </c>
      <c r="J63" t="str">
        <f>VLOOKUP(E_invoice[[#This Row],[Customer]],$A$2:$B$44,2,0)</f>
        <v>BRIDGESTONE ASIA PACIFIC PTE. LTD</v>
      </c>
      <c r="K63" t="str">
        <f>E_invoice[[#This Row],[Customer]]</f>
        <v>355000A</v>
      </c>
    </row>
    <row r="64" spans="1:11" x14ac:dyDescent="0.25">
      <c r="A64" t="s">
        <v>239</v>
      </c>
      <c r="B64" t="s">
        <v>5666</v>
      </c>
      <c r="C64" t="s">
        <v>73</v>
      </c>
      <c r="D64" t="s">
        <v>189</v>
      </c>
      <c r="E64">
        <v>55</v>
      </c>
      <c r="F64">
        <v>44.99</v>
      </c>
      <c r="G64">
        <v>2474.4499999999998</v>
      </c>
      <c r="H64" t="s">
        <v>231</v>
      </c>
      <c r="I64" t="str">
        <f>LEFT(E_invoice[[#This Row],[P.Code]],8)</f>
        <v>PSR0V48D</v>
      </c>
      <c r="J64" t="str">
        <f>VLOOKUP(E_invoice[[#This Row],[Customer]],$A$2:$B$44,2,0)</f>
        <v>BRIDGESTONE ASIA PACIFIC PTE. LTD</v>
      </c>
      <c r="K64" t="str">
        <f>E_invoice[[#This Row],[Customer]]</f>
        <v>355000A</v>
      </c>
    </row>
    <row r="65" spans="1:11" x14ac:dyDescent="0.25">
      <c r="A65" t="s">
        <v>239</v>
      </c>
      <c r="B65" t="s">
        <v>5666</v>
      </c>
      <c r="C65" t="s">
        <v>73</v>
      </c>
      <c r="D65" t="s">
        <v>202</v>
      </c>
      <c r="E65">
        <v>30</v>
      </c>
      <c r="F65">
        <v>39.29</v>
      </c>
      <c r="G65">
        <v>1178.7</v>
      </c>
      <c r="H65" t="s">
        <v>231</v>
      </c>
      <c r="I65" t="str">
        <f>LEFT(E_invoice[[#This Row],[P.Code]],8)</f>
        <v>PSR0V11S</v>
      </c>
      <c r="J65" t="str">
        <f>VLOOKUP(E_invoice[[#This Row],[Customer]],$A$2:$B$44,2,0)</f>
        <v>BRIDGESTONE ASIA PACIFIC PTE. LTD</v>
      </c>
      <c r="K65" t="str">
        <f>E_invoice[[#This Row],[Customer]]</f>
        <v>355000A</v>
      </c>
    </row>
    <row r="66" spans="1:11" x14ac:dyDescent="0.25">
      <c r="A66" t="s">
        <v>239</v>
      </c>
      <c r="B66" t="s">
        <v>5666</v>
      </c>
      <c r="C66" t="s">
        <v>73</v>
      </c>
      <c r="D66" t="s">
        <v>233</v>
      </c>
      <c r="E66">
        <v>40</v>
      </c>
      <c r="F66">
        <v>44.87</v>
      </c>
      <c r="G66">
        <v>1794.8</v>
      </c>
      <c r="H66" t="s">
        <v>231</v>
      </c>
      <c r="I66" t="str">
        <f>LEFT(E_invoice[[#This Row],[P.Code]],8)</f>
        <v>PSR0V49D</v>
      </c>
      <c r="J66" t="str">
        <f>VLOOKUP(E_invoice[[#This Row],[Customer]],$A$2:$B$44,2,0)</f>
        <v>BRIDGESTONE ASIA PACIFIC PTE. LTD</v>
      </c>
      <c r="K66" t="str">
        <f>E_invoice[[#This Row],[Customer]]</f>
        <v>355000A</v>
      </c>
    </row>
    <row r="67" spans="1:11" x14ac:dyDescent="0.25">
      <c r="A67" t="s">
        <v>239</v>
      </c>
      <c r="B67" t="s">
        <v>5666</v>
      </c>
      <c r="C67" t="s">
        <v>73</v>
      </c>
      <c r="D67" t="s">
        <v>207</v>
      </c>
      <c r="E67">
        <v>290</v>
      </c>
      <c r="F67">
        <v>43.68</v>
      </c>
      <c r="G67">
        <v>12667.2</v>
      </c>
      <c r="H67" t="s">
        <v>231</v>
      </c>
      <c r="I67" t="str">
        <f>LEFT(E_invoice[[#This Row],[P.Code]],8)</f>
        <v>PSR0V50D</v>
      </c>
      <c r="J67" t="str">
        <f>VLOOKUP(E_invoice[[#This Row],[Customer]],$A$2:$B$44,2,0)</f>
        <v>BRIDGESTONE ASIA PACIFIC PTE. LTD</v>
      </c>
      <c r="K67" t="str">
        <f>E_invoice[[#This Row],[Customer]]</f>
        <v>355000A</v>
      </c>
    </row>
    <row r="68" spans="1:11" x14ac:dyDescent="0.25">
      <c r="A68" t="s">
        <v>239</v>
      </c>
      <c r="B68" t="s">
        <v>5667</v>
      </c>
      <c r="C68" t="s">
        <v>235</v>
      </c>
      <c r="D68" t="s">
        <v>253</v>
      </c>
      <c r="E68">
        <v>756</v>
      </c>
      <c r="F68">
        <v>966000</v>
      </c>
      <c r="G68">
        <v>730296000</v>
      </c>
      <c r="H68" t="s">
        <v>130</v>
      </c>
      <c r="I68" t="str">
        <f>LEFT(E_invoice[[#This Row],[P.Code]],8)</f>
        <v>PSR0V248</v>
      </c>
      <c r="J68" t="str">
        <f>VLOOKUP(E_invoice[[#This Row],[Customer]],$A$2:$B$44,2,0)</f>
        <v>Bridgestone Tire Sale Viet Nam LLC</v>
      </c>
      <c r="K68" t="str">
        <f>E_invoice[[#This Row],[Customer]]</f>
        <v>355001A</v>
      </c>
    </row>
    <row r="69" spans="1:11" x14ac:dyDescent="0.25">
      <c r="A69" t="s">
        <v>239</v>
      </c>
      <c r="B69" t="s">
        <v>5668</v>
      </c>
      <c r="C69" t="s">
        <v>73</v>
      </c>
      <c r="D69" t="s">
        <v>215</v>
      </c>
      <c r="E69">
        <v>15</v>
      </c>
      <c r="F69">
        <v>31.73</v>
      </c>
      <c r="G69">
        <v>475.95</v>
      </c>
      <c r="H69" t="s">
        <v>183</v>
      </c>
      <c r="I69" t="str">
        <f>LEFT(E_invoice[[#This Row],[P.Code]],8)</f>
        <v>PSR0V45D</v>
      </c>
      <c r="J69" t="str">
        <f>VLOOKUP(E_invoice[[#This Row],[Customer]],$A$2:$B$44,2,0)</f>
        <v>BRIDGESTONE ASIA PACIFIC PTE. LTD</v>
      </c>
      <c r="K69" t="str">
        <f>E_invoice[[#This Row],[Customer]]</f>
        <v>355000A</v>
      </c>
    </row>
    <row r="70" spans="1:11" x14ac:dyDescent="0.25">
      <c r="A70" t="s">
        <v>239</v>
      </c>
      <c r="B70" t="s">
        <v>5668</v>
      </c>
      <c r="C70" t="s">
        <v>73</v>
      </c>
      <c r="D70" t="s">
        <v>211</v>
      </c>
      <c r="E70">
        <v>14</v>
      </c>
      <c r="F70">
        <v>41.23</v>
      </c>
      <c r="G70">
        <v>577.22</v>
      </c>
      <c r="H70" t="s">
        <v>183</v>
      </c>
      <c r="I70" t="str">
        <f>LEFT(E_invoice[[#This Row],[P.Code]],8)</f>
        <v>PSR0V165</v>
      </c>
      <c r="J70" t="str">
        <f>VLOOKUP(E_invoice[[#This Row],[Customer]],$A$2:$B$44,2,0)</f>
        <v>BRIDGESTONE ASIA PACIFIC PTE. LTD</v>
      </c>
      <c r="K70" t="str">
        <f>E_invoice[[#This Row],[Customer]]</f>
        <v>355000A</v>
      </c>
    </row>
    <row r="71" spans="1:11" x14ac:dyDescent="0.25">
      <c r="A71" t="s">
        <v>239</v>
      </c>
      <c r="B71" t="s">
        <v>5668</v>
      </c>
      <c r="C71" t="s">
        <v>73</v>
      </c>
      <c r="D71" t="s">
        <v>223</v>
      </c>
      <c r="E71">
        <v>265</v>
      </c>
      <c r="F71">
        <v>59.39</v>
      </c>
      <c r="G71">
        <v>15738.35</v>
      </c>
      <c r="H71" t="s">
        <v>183</v>
      </c>
      <c r="I71" t="str">
        <f>LEFT(E_invoice[[#This Row],[P.Code]],8)</f>
        <v>PSR0V256</v>
      </c>
      <c r="J71" t="str">
        <f>VLOOKUP(E_invoice[[#This Row],[Customer]],$A$2:$B$44,2,0)</f>
        <v>BRIDGESTONE ASIA PACIFIC PTE. LTD</v>
      </c>
      <c r="K71" t="str">
        <f>E_invoice[[#This Row],[Customer]]</f>
        <v>355000A</v>
      </c>
    </row>
    <row r="72" spans="1:11" x14ac:dyDescent="0.25">
      <c r="A72" t="s">
        <v>239</v>
      </c>
      <c r="B72" t="s">
        <v>5668</v>
      </c>
      <c r="C72" t="s">
        <v>73</v>
      </c>
      <c r="D72" t="s">
        <v>217</v>
      </c>
      <c r="E72">
        <v>53</v>
      </c>
      <c r="F72">
        <v>59.37</v>
      </c>
      <c r="G72">
        <v>3146.61</v>
      </c>
      <c r="H72" t="s">
        <v>183</v>
      </c>
      <c r="I72" t="str">
        <f>LEFT(E_invoice[[#This Row],[P.Code]],8)</f>
        <v>PSR0V23D</v>
      </c>
      <c r="J72" t="str">
        <f>VLOOKUP(E_invoice[[#This Row],[Customer]],$A$2:$B$44,2,0)</f>
        <v>BRIDGESTONE ASIA PACIFIC PTE. LTD</v>
      </c>
      <c r="K72" t="str">
        <f>E_invoice[[#This Row],[Customer]]</f>
        <v>355000A</v>
      </c>
    </row>
    <row r="73" spans="1:11" x14ac:dyDescent="0.25">
      <c r="A73" t="s">
        <v>239</v>
      </c>
      <c r="B73" t="s">
        <v>5668</v>
      </c>
      <c r="C73" t="s">
        <v>73</v>
      </c>
      <c r="D73" t="s">
        <v>246</v>
      </c>
      <c r="E73">
        <v>231</v>
      </c>
      <c r="F73">
        <v>41.6</v>
      </c>
      <c r="G73">
        <v>9609.6</v>
      </c>
      <c r="H73" t="s">
        <v>183</v>
      </c>
      <c r="I73" t="str">
        <f>LEFT(E_invoice[[#This Row],[P.Code]],8)</f>
        <v>PSR0V47D</v>
      </c>
      <c r="J73" t="str">
        <f>VLOOKUP(E_invoice[[#This Row],[Customer]],$A$2:$B$44,2,0)</f>
        <v>BRIDGESTONE ASIA PACIFIC PTE. LTD</v>
      </c>
      <c r="K73" t="str">
        <f>E_invoice[[#This Row],[Customer]]</f>
        <v>355000A</v>
      </c>
    </row>
    <row r="74" spans="1:11" x14ac:dyDescent="0.25">
      <c r="A74" t="s">
        <v>239</v>
      </c>
      <c r="B74" t="s">
        <v>5668</v>
      </c>
      <c r="C74" t="s">
        <v>73</v>
      </c>
      <c r="D74" t="s">
        <v>214</v>
      </c>
      <c r="E74">
        <v>57</v>
      </c>
      <c r="F74">
        <v>46.11</v>
      </c>
      <c r="G74">
        <v>2628.27</v>
      </c>
      <c r="H74" t="s">
        <v>183</v>
      </c>
      <c r="I74" t="str">
        <f>LEFT(E_invoice[[#This Row],[P.Code]],8)</f>
        <v>PSR0V52D</v>
      </c>
      <c r="J74" t="str">
        <f>VLOOKUP(E_invoice[[#This Row],[Customer]],$A$2:$B$44,2,0)</f>
        <v>BRIDGESTONE ASIA PACIFIC PTE. LTD</v>
      </c>
      <c r="K74" t="str">
        <f>E_invoice[[#This Row],[Customer]]</f>
        <v>355000A</v>
      </c>
    </row>
    <row r="75" spans="1:11" x14ac:dyDescent="0.25">
      <c r="A75" t="s">
        <v>239</v>
      </c>
      <c r="B75" t="s">
        <v>5668</v>
      </c>
      <c r="C75" t="s">
        <v>73</v>
      </c>
      <c r="D75" t="s">
        <v>208</v>
      </c>
      <c r="E75">
        <v>256</v>
      </c>
      <c r="F75">
        <v>51.9</v>
      </c>
      <c r="G75">
        <v>13286.4</v>
      </c>
      <c r="H75" t="s">
        <v>183</v>
      </c>
      <c r="I75" t="str">
        <f>LEFT(E_invoice[[#This Row],[P.Code]],8)</f>
        <v>PSR0V186</v>
      </c>
      <c r="J75" t="str">
        <f>VLOOKUP(E_invoice[[#This Row],[Customer]],$A$2:$B$44,2,0)</f>
        <v>BRIDGESTONE ASIA PACIFIC PTE. LTD</v>
      </c>
      <c r="K75" t="str">
        <f>E_invoice[[#This Row],[Customer]]</f>
        <v>355000A</v>
      </c>
    </row>
    <row r="76" spans="1:11" x14ac:dyDescent="0.25">
      <c r="A76" t="s">
        <v>239</v>
      </c>
      <c r="B76" t="s">
        <v>5668</v>
      </c>
      <c r="C76" t="s">
        <v>73</v>
      </c>
      <c r="D76" t="s">
        <v>201</v>
      </c>
      <c r="E76">
        <v>83</v>
      </c>
      <c r="F76">
        <v>46.66</v>
      </c>
      <c r="G76">
        <v>3872.78</v>
      </c>
      <c r="H76" t="s">
        <v>183</v>
      </c>
      <c r="I76" t="str">
        <f>LEFT(E_invoice[[#This Row],[P.Code]],8)</f>
        <v>PSR0V51D</v>
      </c>
      <c r="J76" t="str">
        <f>VLOOKUP(E_invoice[[#This Row],[Customer]],$A$2:$B$44,2,0)</f>
        <v>BRIDGESTONE ASIA PACIFIC PTE. LTD</v>
      </c>
      <c r="K76" t="str">
        <f>E_invoice[[#This Row],[Customer]]</f>
        <v>355000A</v>
      </c>
    </row>
    <row r="77" spans="1:11" x14ac:dyDescent="0.25">
      <c r="A77" t="s">
        <v>239</v>
      </c>
      <c r="B77" t="s">
        <v>5668</v>
      </c>
      <c r="C77" t="s">
        <v>73</v>
      </c>
      <c r="D77" t="s">
        <v>220</v>
      </c>
      <c r="E77">
        <v>122</v>
      </c>
      <c r="F77">
        <v>37.93</v>
      </c>
      <c r="G77">
        <v>4627.46</v>
      </c>
      <c r="H77" t="s">
        <v>183</v>
      </c>
      <c r="I77" t="str">
        <f>LEFT(E_invoice[[#This Row],[P.Code]],8)</f>
        <v>PSR0V46D</v>
      </c>
      <c r="J77" t="str">
        <f>VLOOKUP(E_invoice[[#This Row],[Customer]],$A$2:$B$44,2,0)</f>
        <v>BRIDGESTONE ASIA PACIFIC PTE. LTD</v>
      </c>
      <c r="K77" t="str">
        <f>E_invoice[[#This Row],[Customer]]</f>
        <v>355000A</v>
      </c>
    </row>
    <row r="78" spans="1:11" x14ac:dyDescent="0.25">
      <c r="A78" t="s">
        <v>239</v>
      </c>
      <c r="B78" t="s">
        <v>5668</v>
      </c>
      <c r="C78" t="s">
        <v>73</v>
      </c>
      <c r="D78" t="s">
        <v>225</v>
      </c>
      <c r="E78">
        <v>136</v>
      </c>
      <c r="F78">
        <v>41.34</v>
      </c>
      <c r="G78">
        <v>5622.24</v>
      </c>
      <c r="H78" t="s">
        <v>183</v>
      </c>
      <c r="I78" t="str">
        <f>LEFT(E_invoice[[#This Row],[P.Code]],8)</f>
        <v>PSR0V170</v>
      </c>
      <c r="J78" t="str">
        <f>VLOOKUP(E_invoice[[#This Row],[Customer]],$A$2:$B$44,2,0)</f>
        <v>BRIDGESTONE ASIA PACIFIC PTE. LTD</v>
      </c>
      <c r="K78" t="str">
        <f>E_invoice[[#This Row],[Customer]]</f>
        <v>355000A</v>
      </c>
    </row>
    <row r="79" spans="1:11" x14ac:dyDescent="0.25">
      <c r="A79" t="s">
        <v>239</v>
      </c>
      <c r="B79" t="s">
        <v>5668</v>
      </c>
      <c r="C79" t="s">
        <v>73</v>
      </c>
      <c r="D79" t="s">
        <v>203</v>
      </c>
      <c r="E79">
        <v>58</v>
      </c>
      <c r="F79">
        <v>47.04</v>
      </c>
      <c r="G79">
        <v>2728.32</v>
      </c>
      <c r="H79" t="s">
        <v>183</v>
      </c>
      <c r="I79" t="str">
        <f>LEFT(E_invoice[[#This Row],[P.Code]],8)</f>
        <v>PSR0V12D</v>
      </c>
      <c r="J79" t="str">
        <f>VLOOKUP(E_invoice[[#This Row],[Customer]],$A$2:$B$44,2,0)</f>
        <v>BRIDGESTONE ASIA PACIFIC PTE. LTD</v>
      </c>
      <c r="K79" t="str">
        <f>E_invoice[[#This Row],[Customer]]</f>
        <v>355000A</v>
      </c>
    </row>
    <row r="80" spans="1:11" x14ac:dyDescent="0.25">
      <c r="A80" t="s">
        <v>239</v>
      </c>
      <c r="B80" t="s">
        <v>5668</v>
      </c>
      <c r="C80" t="s">
        <v>73</v>
      </c>
      <c r="D80" t="s">
        <v>182</v>
      </c>
      <c r="E80">
        <v>25</v>
      </c>
      <c r="F80">
        <v>65.459999999999994</v>
      </c>
      <c r="G80">
        <v>1636.5</v>
      </c>
      <c r="H80" t="s">
        <v>183</v>
      </c>
      <c r="I80" t="str">
        <f>LEFT(E_invoice[[#This Row],[P.Code]],8)</f>
        <v>PSR0V42D</v>
      </c>
      <c r="J80" t="str">
        <f>VLOOKUP(E_invoice[[#This Row],[Customer]],$A$2:$B$44,2,0)</f>
        <v>BRIDGESTONE ASIA PACIFIC PTE. LTD</v>
      </c>
      <c r="K80" t="str">
        <f>E_invoice[[#This Row],[Customer]]</f>
        <v>355000A</v>
      </c>
    </row>
    <row r="81" spans="1:11" x14ac:dyDescent="0.25">
      <c r="A81" t="s">
        <v>239</v>
      </c>
      <c r="B81" t="s">
        <v>5668</v>
      </c>
      <c r="C81" t="s">
        <v>73</v>
      </c>
      <c r="D81" t="s">
        <v>232</v>
      </c>
      <c r="E81">
        <v>24</v>
      </c>
      <c r="F81">
        <v>71.06</v>
      </c>
      <c r="G81">
        <v>1705.44</v>
      </c>
      <c r="H81" t="s">
        <v>183</v>
      </c>
      <c r="I81" t="str">
        <f>LEFT(E_invoice[[#This Row],[P.Code]],8)</f>
        <v>PSR0V208</v>
      </c>
      <c r="J81" t="str">
        <f>VLOOKUP(E_invoice[[#This Row],[Customer]],$A$2:$B$44,2,0)</f>
        <v>BRIDGESTONE ASIA PACIFIC PTE. LTD</v>
      </c>
      <c r="K81" t="str">
        <f>E_invoice[[#This Row],[Customer]]</f>
        <v>355000A</v>
      </c>
    </row>
    <row r="82" spans="1:11" x14ac:dyDescent="0.25">
      <c r="A82" t="s">
        <v>239</v>
      </c>
      <c r="B82" t="s">
        <v>5668</v>
      </c>
      <c r="C82" t="s">
        <v>73</v>
      </c>
      <c r="D82" t="s">
        <v>188</v>
      </c>
      <c r="E82">
        <v>70</v>
      </c>
      <c r="F82">
        <v>45.47</v>
      </c>
      <c r="G82">
        <v>3182.9</v>
      </c>
      <c r="H82" t="s">
        <v>183</v>
      </c>
      <c r="I82" t="str">
        <f>LEFT(E_invoice[[#This Row],[P.Code]],8)</f>
        <v>PSR0V03P</v>
      </c>
      <c r="J82" t="str">
        <f>VLOOKUP(E_invoice[[#This Row],[Customer]],$A$2:$B$44,2,0)</f>
        <v>BRIDGESTONE ASIA PACIFIC PTE. LTD</v>
      </c>
      <c r="K82" t="str">
        <f>E_invoice[[#This Row],[Customer]]</f>
        <v>355000A</v>
      </c>
    </row>
    <row r="83" spans="1:11" x14ac:dyDescent="0.25">
      <c r="A83" t="s">
        <v>239</v>
      </c>
      <c r="B83" t="s">
        <v>5669</v>
      </c>
      <c r="C83" t="s">
        <v>70</v>
      </c>
      <c r="D83" t="s">
        <v>236</v>
      </c>
      <c r="E83">
        <v>680</v>
      </c>
      <c r="F83">
        <v>52.96</v>
      </c>
      <c r="G83">
        <v>36012.800000000003</v>
      </c>
      <c r="H83" t="s">
        <v>237</v>
      </c>
      <c r="I83" t="str">
        <f>LEFT(E_invoice[[#This Row],[P.Code]],8)</f>
        <v>PSR0VF6F</v>
      </c>
      <c r="J83" t="str">
        <f>VLOOKUP(E_invoice[[#This Row],[Customer]],$A$2:$B$44,2,0)</f>
        <v>BRIDGESTONE CORPORATION</v>
      </c>
      <c r="K83" t="str">
        <f>E_invoice[[#This Row],[Customer]]</f>
        <v>100000A</v>
      </c>
    </row>
    <row r="84" spans="1:11" x14ac:dyDescent="0.25">
      <c r="A84" t="s">
        <v>239</v>
      </c>
      <c r="B84" t="s">
        <v>5669</v>
      </c>
      <c r="C84" t="s">
        <v>70</v>
      </c>
      <c r="D84" t="s">
        <v>261</v>
      </c>
      <c r="E84">
        <v>60</v>
      </c>
      <c r="F84">
        <v>49.29</v>
      </c>
      <c r="G84">
        <v>2957.4</v>
      </c>
      <c r="H84" t="s">
        <v>237</v>
      </c>
      <c r="I84" t="str">
        <f>LEFT(E_invoice[[#This Row],[P.Code]],8)</f>
        <v>PSR0VG8F</v>
      </c>
      <c r="J84" t="str">
        <f>VLOOKUP(E_invoice[[#This Row],[Customer]],$A$2:$B$44,2,0)</f>
        <v>BRIDGESTONE CORPORATION</v>
      </c>
      <c r="K84" t="str">
        <f>E_invoice[[#This Row],[Customer]]</f>
        <v>100000A</v>
      </c>
    </row>
    <row r="85" spans="1:11" x14ac:dyDescent="0.25">
      <c r="A85" t="s">
        <v>239</v>
      </c>
      <c r="B85" t="s">
        <v>5669</v>
      </c>
      <c r="C85" t="s">
        <v>70</v>
      </c>
      <c r="D85" t="s">
        <v>240</v>
      </c>
      <c r="E85">
        <v>1080</v>
      </c>
      <c r="F85">
        <v>39.36</v>
      </c>
      <c r="G85">
        <v>42508.800000000003</v>
      </c>
      <c r="H85" t="s">
        <v>237</v>
      </c>
      <c r="I85" t="str">
        <f>LEFT(E_invoice[[#This Row],[P.Code]],8)</f>
        <v>PSR0VH2F</v>
      </c>
      <c r="J85" t="str">
        <f>VLOOKUP(E_invoice[[#This Row],[Customer]],$A$2:$B$44,2,0)</f>
        <v>BRIDGESTONE CORPORATION</v>
      </c>
      <c r="K85" t="str">
        <f>E_invoice[[#This Row],[Customer]]</f>
        <v>100000A</v>
      </c>
    </row>
    <row r="86" spans="1:11" x14ac:dyDescent="0.25">
      <c r="A86" t="s">
        <v>239</v>
      </c>
      <c r="B86" t="s">
        <v>5669</v>
      </c>
      <c r="C86" t="s">
        <v>70</v>
      </c>
      <c r="D86" t="s">
        <v>238</v>
      </c>
      <c r="E86">
        <v>695</v>
      </c>
      <c r="F86">
        <v>38.76</v>
      </c>
      <c r="G86">
        <v>26938.2</v>
      </c>
      <c r="H86" t="s">
        <v>237</v>
      </c>
      <c r="I86" t="str">
        <f>LEFT(E_invoice[[#This Row],[P.Code]],8)</f>
        <v>PSR0VH3F</v>
      </c>
      <c r="J86" t="str">
        <f>VLOOKUP(E_invoice[[#This Row],[Customer]],$A$2:$B$44,2,0)</f>
        <v>BRIDGESTONE CORPORATION</v>
      </c>
      <c r="K86" t="str">
        <f>E_invoice[[#This Row],[Customer]]</f>
        <v>100000A</v>
      </c>
    </row>
    <row r="87" spans="1:11" x14ac:dyDescent="0.25">
      <c r="A87" t="s">
        <v>239</v>
      </c>
      <c r="B87" t="s">
        <v>5669</v>
      </c>
      <c r="C87" t="s">
        <v>70</v>
      </c>
      <c r="D87" t="s">
        <v>238</v>
      </c>
      <c r="E87">
        <v>972</v>
      </c>
      <c r="F87">
        <v>38.76</v>
      </c>
      <c r="G87">
        <v>37674.720000000001</v>
      </c>
      <c r="H87" t="s">
        <v>237</v>
      </c>
      <c r="I87" t="str">
        <f>LEFT(E_invoice[[#This Row],[P.Code]],8)</f>
        <v>PSR0VH3F</v>
      </c>
      <c r="J87" t="str">
        <f>VLOOKUP(E_invoice[[#This Row],[Customer]],$A$2:$B$44,2,0)</f>
        <v>BRIDGESTONE CORPORATION</v>
      </c>
      <c r="K87" t="str">
        <f>E_invoice[[#This Row],[Customer]]</f>
        <v>100000A</v>
      </c>
    </row>
    <row r="88" spans="1:11" x14ac:dyDescent="0.25">
      <c r="A88" t="s">
        <v>239</v>
      </c>
      <c r="B88" t="s">
        <v>5669</v>
      </c>
      <c r="C88" t="s">
        <v>70</v>
      </c>
      <c r="D88" t="s">
        <v>243</v>
      </c>
      <c r="E88">
        <v>515</v>
      </c>
      <c r="F88">
        <v>43.56</v>
      </c>
      <c r="G88">
        <v>22433.4</v>
      </c>
      <c r="H88" t="s">
        <v>237</v>
      </c>
      <c r="I88" t="str">
        <f>LEFT(E_invoice[[#This Row],[P.Code]],8)</f>
        <v>PSR0VH4F</v>
      </c>
      <c r="J88" t="str">
        <f>VLOOKUP(E_invoice[[#This Row],[Customer]],$A$2:$B$44,2,0)</f>
        <v>BRIDGESTONE CORPORATION</v>
      </c>
      <c r="K88" t="str">
        <f>E_invoice[[#This Row],[Customer]]</f>
        <v>100000A</v>
      </c>
    </row>
    <row r="89" spans="1:11" x14ac:dyDescent="0.25">
      <c r="A89" t="s">
        <v>239</v>
      </c>
      <c r="B89" t="s">
        <v>5669</v>
      </c>
      <c r="C89" t="s">
        <v>70</v>
      </c>
      <c r="D89" t="s">
        <v>241</v>
      </c>
      <c r="E89">
        <v>490</v>
      </c>
      <c r="F89">
        <v>44.04</v>
      </c>
      <c r="G89">
        <v>21579.599999999999</v>
      </c>
      <c r="H89" t="s">
        <v>237</v>
      </c>
      <c r="I89" t="str">
        <f>LEFT(E_invoice[[#This Row],[P.Code]],8)</f>
        <v>PSR0VH9F</v>
      </c>
      <c r="J89" t="str">
        <f>VLOOKUP(E_invoice[[#This Row],[Customer]],$A$2:$B$44,2,0)</f>
        <v>BRIDGESTONE CORPORATION</v>
      </c>
      <c r="K89" t="str">
        <f>E_invoice[[#This Row],[Customer]]</f>
        <v>100000A</v>
      </c>
    </row>
    <row r="90" spans="1:11" x14ac:dyDescent="0.25">
      <c r="A90" t="s">
        <v>239</v>
      </c>
      <c r="B90" t="s">
        <v>5670</v>
      </c>
      <c r="C90" t="s">
        <v>235</v>
      </c>
      <c r="D90" t="s">
        <v>251</v>
      </c>
      <c r="E90">
        <v>2882</v>
      </c>
      <c r="F90">
        <v>729000</v>
      </c>
      <c r="G90">
        <v>2100978000</v>
      </c>
      <c r="H90" t="s">
        <v>130</v>
      </c>
      <c r="I90" t="str">
        <f>LEFT(E_invoice[[#This Row],[P.Code]],8)</f>
        <v>PSR0V194</v>
      </c>
      <c r="J90" t="str">
        <f>VLOOKUP(E_invoice[[#This Row],[Customer]],$A$2:$B$44,2,0)</f>
        <v>Bridgestone Tire Sale Viet Nam LLC</v>
      </c>
      <c r="K90" t="str">
        <f>E_invoice[[#This Row],[Customer]]</f>
        <v>355001A</v>
      </c>
    </row>
    <row r="91" spans="1:11" x14ac:dyDescent="0.25">
      <c r="A91" t="s">
        <v>239</v>
      </c>
      <c r="B91" t="s">
        <v>5670</v>
      </c>
      <c r="C91" t="s">
        <v>235</v>
      </c>
      <c r="D91" t="s">
        <v>252</v>
      </c>
      <c r="E91">
        <v>1269</v>
      </c>
      <c r="F91">
        <v>793000</v>
      </c>
      <c r="G91">
        <v>1006317000</v>
      </c>
      <c r="H91" t="s">
        <v>130</v>
      </c>
      <c r="I91" t="str">
        <f>LEFT(E_invoice[[#This Row],[P.Code]],8)</f>
        <v>PSR0V247</v>
      </c>
      <c r="J91" t="str">
        <f>VLOOKUP(E_invoice[[#This Row],[Customer]],$A$2:$B$44,2,0)</f>
        <v>Bridgestone Tire Sale Viet Nam LLC</v>
      </c>
      <c r="K91" t="str">
        <f>E_invoice[[#This Row],[Customer]]</f>
        <v>355001A</v>
      </c>
    </row>
    <row r="92" spans="1:11" x14ac:dyDescent="0.25">
      <c r="A92" t="s">
        <v>239</v>
      </c>
      <c r="B92" t="s">
        <v>5670</v>
      </c>
      <c r="C92" t="s">
        <v>235</v>
      </c>
      <c r="D92" t="s">
        <v>259</v>
      </c>
      <c r="E92">
        <v>330</v>
      </c>
      <c r="F92">
        <v>2143000</v>
      </c>
      <c r="G92">
        <v>707190000</v>
      </c>
      <c r="H92" t="s">
        <v>130</v>
      </c>
      <c r="I92" t="str">
        <f>LEFT(E_invoice[[#This Row],[P.Code]],8)</f>
        <v>PSR0V225</v>
      </c>
      <c r="J92" t="str">
        <f>VLOOKUP(E_invoice[[#This Row],[Customer]],$A$2:$B$44,2,0)</f>
        <v>Bridgestone Tire Sale Viet Nam LLC</v>
      </c>
      <c r="K92" t="str">
        <f>E_invoice[[#This Row],[Customer]]</f>
        <v>355001A</v>
      </c>
    </row>
    <row r="93" spans="1:11" x14ac:dyDescent="0.25">
      <c r="A93" t="s">
        <v>239</v>
      </c>
      <c r="B93" t="s">
        <v>5670</v>
      </c>
      <c r="C93" t="s">
        <v>235</v>
      </c>
      <c r="D93" t="s">
        <v>251</v>
      </c>
      <c r="E93">
        <v>2038</v>
      </c>
      <c r="F93">
        <v>729000</v>
      </c>
      <c r="G93">
        <v>1485702000</v>
      </c>
      <c r="H93" t="s">
        <v>130</v>
      </c>
      <c r="I93" t="str">
        <f>LEFT(E_invoice[[#This Row],[P.Code]],8)</f>
        <v>PSR0V194</v>
      </c>
      <c r="J93" t="str">
        <f>VLOOKUP(E_invoice[[#This Row],[Customer]],$A$2:$B$44,2,0)</f>
        <v>Bridgestone Tire Sale Viet Nam LLC</v>
      </c>
      <c r="K93" t="str">
        <f>E_invoice[[#This Row],[Customer]]</f>
        <v>355001A</v>
      </c>
    </row>
    <row r="94" spans="1:11" x14ac:dyDescent="0.25">
      <c r="A94" t="s">
        <v>239</v>
      </c>
      <c r="B94" t="s">
        <v>5670</v>
      </c>
      <c r="C94" t="s">
        <v>235</v>
      </c>
      <c r="D94" t="s">
        <v>252</v>
      </c>
      <c r="E94">
        <v>369</v>
      </c>
      <c r="F94">
        <v>793000</v>
      </c>
      <c r="G94">
        <v>292617000</v>
      </c>
      <c r="H94" t="s">
        <v>130</v>
      </c>
      <c r="I94" t="str">
        <f>LEFT(E_invoice[[#This Row],[P.Code]],8)</f>
        <v>PSR0V247</v>
      </c>
      <c r="J94" t="str">
        <f>VLOOKUP(E_invoice[[#This Row],[Customer]],$A$2:$B$44,2,0)</f>
        <v>Bridgestone Tire Sale Viet Nam LLC</v>
      </c>
      <c r="K94" t="str">
        <f>E_invoice[[#This Row],[Customer]]</f>
        <v>355001A</v>
      </c>
    </row>
    <row r="95" spans="1:11" x14ac:dyDescent="0.25">
      <c r="A95" t="s">
        <v>239</v>
      </c>
      <c r="B95" t="s">
        <v>5670</v>
      </c>
      <c r="C95" t="s">
        <v>235</v>
      </c>
      <c r="D95" t="s">
        <v>256</v>
      </c>
      <c r="E95">
        <v>450</v>
      </c>
      <c r="F95">
        <v>2459000</v>
      </c>
      <c r="G95">
        <v>1106550000</v>
      </c>
      <c r="H95" t="s">
        <v>130</v>
      </c>
      <c r="I95" t="str">
        <f>LEFT(E_invoice[[#This Row],[P.Code]],8)</f>
        <v>PSR0V224</v>
      </c>
      <c r="J95" t="str">
        <f>VLOOKUP(E_invoice[[#This Row],[Customer]],$A$2:$B$44,2,0)</f>
        <v>Bridgestone Tire Sale Viet Nam LLC</v>
      </c>
      <c r="K95" t="str">
        <f>E_invoice[[#This Row],[Customer]]</f>
        <v>355001A</v>
      </c>
    </row>
    <row r="96" spans="1:11" x14ac:dyDescent="0.25">
      <c r="A96" t="s">
        <v>239</v>
      </c>
      <c r="B96" t="s">
        <v>5671</v>
      </c>
      <c r="C96" t="s">
        <v>70</v>
      </c>
      <c r="D96" t="s">
        <v>236</v>
      </c>
      <c r="E96">
        <v>720</v>
      </c>
      <c r="F96">
        <v>52.96</v>
      </c>
      <c r="G96">
        <v>38131.199999999997</v>
      </c>
      <c r="H96" t="s">
        <v>237</v>
      </c>
      <c r="I96" t="str">
        <f>LEFT(E_invoice[[#This Row],[P.Code]],8)</f>
        <v>PSR0VF6F</v>
      </c>
      <c r="J96" t="str">
        <f>VLOOKUP(E_invoice[[#This Row],[Customer]],$A$2:$B$44,2,0)</f>
        <v>BRIDGESTONE CORPORATION</v>
      </c>
      <c r="K96" t="str">
        <f>E_invoice[[#This Row],[Customer]]</f>
        <v>100000A</v>
      </c>
    </row>
    <row r="97" spans="1:11" x14ac:dyDescent="0.25">
      <c r="A97" t="s">
        <v>239</v>
      </c>
      <c r="B97" t="s">
        <v>5671</v>
      </c>
      <c r="C97" t="s">
        <v>70</v>
      </c>
      <c r="D97" t="s">
        <v>240</v>
      </c>
      <c r="E97">
        <v>1080</v>
      </c>
      <c r="F97">
        <v>39.36</v>
      </c>
      <c r="G97">
        <v>42508.800000000003</v>
      </c>
      <c r="H97" t="s">
        <v>237</v>
      </c>
      <c r="I97" t="str">
        <f>LEFT(E_invoice[[#This Row],[P.Code]],8)</f>
        <v>PSR0VH2F</v>
      </c>
      <c r="J97" t="str">
        <f>VLOOKUP(E_invoice[[#This Row],[Customer]],$A$2:$B$44,2,0)</f>
        <v>BRIDGESTONE CORPORATION</v>
      </c>
      <c r="K97" t="str">
        <f>E_invoice[[#This Row],[Customer]]</f>
        <v>100000A</v>
      </c>
    </row>
    <row r="98" spans="1:11" x14ac:dyDescent="0.25">
      <c r="A98" t="s">
        <v>239</v>
      </c>
      <c r="B98" t="s">
        <v>5671</v>
      </c>
      <c r="C98" t="s">
        <v>70</v>
      </c>
      <c r="D98" t="s">
        <v>238</v>
      </c>
      <c r="E98">
        <v>972</v>
      </c>
      <c r="F98">
        <v>38.76</v>
      </c>
      <c r="G98">
        <v>37674.720000000001</v>
      </c>
      <c r="H98" t="s">
        <v>237</v>
      </c>
      <c r="I98" t="str">
        <f>LEFT(E_invoice[[#This Row],[P.Code]],8)</f>
        <v>PSR0VH3F</v>
      </c>
      <c r="J98" t="str">
        <f>VLOOKUP(E_invoice[[#This Row],[Customer]],$A$2:$B$44,2,0)</f>
        <v>BRIDGESTONE CORPORATION</v>
      </c>
      <c r="K98" t="str">
        <f>E_invoice[[#This Row],[Customer]]</f>
        <v>100000A</v>
      </c>
    </row>
    <row r="99" spans="1:11" x14ac:dyDescent="0.25">
      <c r="A99" t="s">
        <v>239</v>
      </c>
      <c r="B99" t="s">
        <v>5671</v>
      </c>
      <c r="C99" t="s">
        <v>70</v>
      </c>
      <c r="D99" t="s">
        <v>243</v>
      </c>
      <c r="E99">
        <v>867</v>
      </c>
      <c r="F99">
        <v>43.56</v>
      </c>
      <c r="G99">
        <v>37766.519999999997</v>
      </c>
      <c r="H99" t="s">
        <v>237</v>
      </c>
      <c r="I99" t="str">
        <f>LEFT(E_invoice[[#This Row],[P.Code]],8)</f>
        <v>PSR0VH4F</v>
      </c>
      <c r="J99" t="str">
        <f>VLOOKUP(E_invoice[[#This Row],[Customer]],$A$2:$B$44,2,0)</f>
        <v>BRIDGESTONE CORPORATION</v>
      </c>
      <c r="K99" t="str">
        <f>E_invoice[[#This Row],[Customer]]</f>
        <v>100000A</v>
      </c>
    </row>
    <row r="100" spans="1:11" x14ac:dyDescent="0.25">
      <c r="A100" t="s">
        <v>239</v>
      </c>
      <c r="B100" t="s">
        <v>5672</v>
      </c>
      <c r="C100" t="s">
        <v>70</v>
      </c>
      <c r="D100" t="s">
        <v>236</v>
      </c>
      <c r="E100">
        <v>720</v>
      </c>
      <c r="F100">
        <v>52.96</v>
      </c>
      <c r="G100">
        <v>38131.199999999997</v>
      </c>
      <c r="H100" t="s">
        <v>237</v>
      </c>
      <c r="I100" t="str">
        <f>LEFT(E_invoice[[#This Row],[P.Code]],8)</f>
        <v>PSR0VF6F</v>
      </c>
      <c r="J100" t="str">
        <f>VLOOKUP(E_invoice[[#This Row],[Customer]],$A$2:$B$44,2,0)</f>
        <v>BRIDGESTONE CORPORATION</v>
      </c>
      <c r="K100" t="str">
        <f>E_invoice[[#This Row],[Customer]]</f>
        <v>100000A</v>
      </c>
    </row>
    <row r="101" spans="1:11" x14ac:dyDescent="0.25">
      <c r="A101" t="s">
        <v>239</v>
      </c>
      <c r="B101" t="s">
        <v>5672</v>
      </c>
      <c r="C101" t="s">
        <v>70</v>
      </c>
      <c r="D101" t="s">
        <v>261</v>
      </c>
      <c r="E101">
        <v>5</v>
      </c>
      <c r="F101">
        <v>49.29</v>
      </c>
      <c r="G101">
        <v>246.45</v>
      </c>
      <c r="H101" t="s">
        <v>237</v>
      </c>
      <c r="I101" t="str">
        <f>LEFT(E_invoice[[#This Row],[P.Code]],8)</f>
        <v>PSR0VG8F</v>
      </c>
      <c r="J101" t="str">
        <f>VLOOKUP(E_invoice[[#This Row],[Customer]],$A$2:$B$44,2,0)</f>
        <v>BRIDGESTONE CORPORATION</v>
      </c>
      <c r="K101" t="str">
        <f>E_invoice[[#This Row],[Customer]]</f>
        <v>100000A</v>
      </c>
    </row>
    <row r="102" spans="1:11" x14ac:dyDescent="0.25">
      <c r="A102" t="s">
        <v>239</v>
      </c>
      <c r="B102" t="s">
        <v>5672</v>
      </c>
      <c r="C102" t="s">
        <v>70</v>
      </c>
      <c r="D102" t="s">
        <v>240</v>
      </c>
      <c r="E102">
        <v>2160</v>
      </c>
      <c r="F102">
        <v>39.36</v>
      </c>
      <c r="G102">
        <v>85017.600000000006</v>
      </c>
      <c r="H102" t="s">
        <v>237</v>
      </c>
      <c r="I102" t="str">
        <f>LEFT(E_invoice[[#This Row],[P.Code]],8)</f>
        <v>PSR0VH2F</v>
      </c>
      <c r="J102" t="str">
        <f>VLOOKUP(E_invoice[[#This Row],[Customer]],$A$2:$B$44,2,0)</f>
        <v>BRIDGESTONE CORPORATION</v>
      </c>
      <c r="K102" t="str">
        <f>E_invoice[[#This Row],[Customer]]</f>
        <v>100000A</v>
      </c>
    </row>
    <row r="103" spans="1:11" x14ac:dyDescent="0.25">
      <c r="A103" t="s">
        <v>239</v>
      </c>
      <c r="B103" t="s">
        <v>5672</v>
      </c>
      <c r="C103" t="s">
        <v>70</v>
      </c>
      <c r="D103" t="s">
        <v>238</v>
      </c>
      <c r="E103">
        <v>1904</v>
      </c>
      <c r="F103">
        <v>38.76</v>
      </c>
      <c r="G103">
        <v>73799.039999999994</v>
      </c>
      <c r="H103" t="s">
        <v>237</v>
      </c>
      <c r="I103" t="str">
        <f>LEFT(E_invoice[[#This Row],[P.Code]],8)</f>
        <v>PSR0VH3F</v>
      </c>
      <c r="J103" t="str">
        <f>VLOOKUP(E_invoice[[#This Row],[Customer]],$A$2:$B$44,2,0)</f>
        <v>BRIDGESTONE CORPORATION</v>
      </c>
      <c r="K103" t="str">
        <f>E_invoice[[#This Row],[Customer]]</f>
        <v>100000A</v>
      </c>
    </row>
    <row r="104" spans="1:11" x14ac:dyDescent="0.25">
      <c r="A104" t="s">
        <v>239</v>
      </c>
      <c r="B104" t="s">
        <v>5672</v>
      </c>
      <c r="C104" t="s">
        <v>70</v>
      </c>
      <c r="D104" t="s">
        <v>242</v>
      </c>
      <c r="E104">
        <v>20</v>
      </c>
      <c r="F104">
        <v>38.81</v>
      </c>
      <c r="G104">
        <v>776.2</v>
      </c>
      <c r="H104" t="s">
        <v>237</v>
      </c>
      <c r="I104" t="str">
        <f>LEFT(E_invoice[[#This Row],[P.Code]],8)</f>
        <v>PSR0VJ5F</v>
      </c>
      <c r="J104" t="str">
        <f>VLOOKUP(E_invoice[[#This Row],[Customer]],$A$2:$B$44,2,0)</f>
        <v>BRIDGESTONE CORPORATION</v>
      </c>
      <c r="K104" t="str">
        <f>E_invoice[[#This Row],[Customer]]</f>
        <v>100000A</v>
      </c>
    </row>
    <row r="105" spans="1:11" x14ac:dyDescent="0.25">
      <c r="A105" t="s">
        <v>239</v>
      </c>
      <c r="B105" t="s">
        <v>5673</v>
      </c>
      <c r="C105" t="s">
        <v>70</v>
      </c>
      <c r="D105" t="s">
        <v>228</v>
      </c>
      <c r="E105">
        <v>310</v>
      </c>
      <c r="F105">
        <v>34.770000000000003</v>
      </c>
      <c r="G105">
        <v>10778.7</v>
      </c>
      <c r="H105" t="s">
        <v>227</v>
      </c>
      <c r="I105" t="str">
        <f>LEFT(E_invoice[[#This Row],[P.Code]],8)</f>
        <v>PSR0V05B</v>
      </c>
      <c r="J105" t="str">
        <f>VLOOKUP(E_invoice[[#This Row],[Customer]],$A$2:$B$44,2,0)</f>
        <v>BRIDGESTONE CORPORATION</v>
      </c>
      <c r="K105" t="str">
        <f>E_invoice[[#This Row],[Customer]]</f>
        <v>100000A</v>
      </c>
    </row>
    <row r="106" spans="1:11" x14ac:dyDescent="0.25">
      <c r="A106" t="s">
        <v>239</v>
      </c>
      <c r="B106" t="s">
        <v>5673</v>
      </c>
      <c r="C106" t="s">
        <v>70</v>
      </c>
      <c r="D106" t="s">
        <v>229</v>
      </c>
      <c r="E106">
        <v>2492</v>
      </c>
      <c r="F106">
        <v>26.83</v>
      </c>
      <c r="G106">
        <v>66860.36</v>
      </c>
      <c r="H106" t="s">
        <v>227</v>
      </c>
      <c r="I106" t="str">
        <f>LEFT(E_invoice[[#This Row],[P.Code]],8)</f>
        <v>PSR0V229</v>
      </c>
      <c r="J106" t="str">
        <f>VLOOKUP(E_invoice[[#This Row],[Customer]],$A$2:$B$44,2,0)</f>
        <v>BRIDGESTONE CORPORATION</v>
      </c>
      <c r="K106" t="str">
        <f>E_invoice[[#This Row],[Customer]]</f>
        <v>100000A</v>
      </c>
    </row>
    <row r="107" spans="1:11" x14ac:dyDescent="0.25">
      <c r="A107" t="s">
        <v>239</v>
      </c>
      <c r="B107" t="s">
        <v>5673</v>
      </c>
      <c r="C107" t="s">
        <v>70</v>
      </c>
      <c r="D107" t="s">
        <v>244</v>
      </c>
      <c r="E107">
        <v>2</v>
      </c>
      <c r="F107">
        <v>52.02</v>
      </c>
      <c r="G107">
        <v>104.04</v>
      </c>
      <c r="H107" t="s">
        <v>227</v>
      </c>
      <c r="I107" t="str">
        <f>LEFT(E_invoice[[#This Row],[P.Code]],8)</f>
        <v>PSR0V27B</v>
      </c>
      <c r="J107" t="str">
        <f>VLOOKUP(E_invoice[[#This Row],[Customer]],$A$2:$B$44,2,0)</f>
        <v>BRIDGESTONE CORPORATION</v>
      </c>
      <c r="K107" t="str">
        <f>E_invoice[[#This Row],[Customer]]</f>
        <v>100000A</v>
      </c>
    </row>
    <row r="108" spans="1:11" x14ac:dyDescent="0.25">
      <c r="A108" t="s">
        <v>239</v>
      </c>
      <c r="B108" t="s">
        <v>5674</v>
      </c>
      <c r="C108" t="s">
        <v>70</v>
      </c>
      <c r="D108" t="s">
        <v>236</v>
      </c>
      <c r="E108">
        <v>720</v>
      </c>
      <c r="F108">
        <v>52.96</v>
      </c>
      <c r="G108">
        <v>38131.199999999997</v>
      </c>
      <c r="H108" t="s">
        <v>237</v>
      </c>
      <c r="I108" t="str">
        <f>LEFT(E_invoice[[#This Row],[P.Code]],8)</f>
        <v>PSR0VF6F</v>
      </c>
      <c r="J108" t="str">
        <f>VLOOKUP(E_invoice[[#This Row],[Customer]],$A$2:$B$44,2,0)</f>
        <v>BRIDGESTONE CORPORATION</v>
      </c>
      <c r="K108" t="str">
        <f>E_invoice[[#This Row],[Customer]]</f>
        <v>100000A</v>
      </c>
    </row>
    <row r="109" spans="1:11" x14ac:dyDescent="0.25">
      <c r="A109" t="s">
        <v>239</v>
      </c>
      <c r="B109" t="s">
        <v>5674</v>
      </c>
      <c r="C109" t="s">
        <v>70</v>
      </c>
      <c r="D109" t="s">
        <v>240</v>
      </c>
      <c r="E109">
        <v>2160</v>
      </c>
      <c r="F109">
        <v>39.36</v>
      </c>
      <c r="G109">
        <v>85017.600000000006</v>
      </c>
      <c r="H109" t="s">
        <v>237</v>
      </c>
      <c r="I109" t="str">
        <f>LEFT(E_invoice[[#This Row],[P.Code]],8)</f>
        <v>PSR0VH2F</v>
      </c>
      <c r="J109" t="str">
        <f>VLOOKUP(E_invoice[[#This Row],[Customer]],$A$2:$B$44,2,0)</f>
        <v>BRIDGESTONE CORPORATION</v>
      </c>
      <c r="K109" t="str">
        <f>E_invoice[[#This Row],[Customer]]</f>
        <v>100000A</v>
      </c>
    </row>
    <row r="110" spans="1:11" x14ac:dyDescent="0.25">
      <c r="A110" t="s">
        <v>239</v>
      </c>
      <c r="B110" t="s">
        <v>5674</v>
      </c>
      <c r="C110" t="s">
        <v>70</v>
      </c>
      <c r="D110" t="s">
        <v>238</v>
      </c>
      <c r="E110">
        <v>1944</v>
      </c>
      <c r="F110">
        <v>38.76</v>
      </c>
      <c r="G110">
        <v>75349.440000000002</v>
      </c>
      <c r="H110" t="s">
        <v>237</v>
      </c>
      <c r="I110" t="str">
        <f>LEFT(E_invoice[[#This Row],[P.Code]],8)</f>
        <v>PSR0VH3F</v>
      </c>
      <c r="J110" t="str">
        <f>VLOOKUP(E_invoice[[#This Row],[Customer]],$A$2:$B$44,2,0)</f>
        <v>BRIDGESTONE CORPORATION</v>
      </c>
      <c r="K110" t="str">
        <f>E_invoice[[#This Row],[Customer]]</f>
        <v>100000A</v>
      </c>
    </row>
    <row r="111" spans="1:11" x14ac:dyDescent="0.25">
      <c r="A111" t="s">
        <v>239</v>
      </c>
      <c r="B111" t="s">
        <v>5674</v>
      </c>
      <c r="C111" t="s">
        <v>70</v>
      </c>
      <c r="D111" t="s">
        <v>243</v>
      </c>
      <c r="E111">
        <v>867</v>
      </c>
      <c r="F111">
        <v>43.56</v>
      </c>
      <c r="G111">
        <v>37766.519999999997</v>
      </c>
      <c r="H111" t="s">
        <v>237</v>
      </c>
      <c r="I111" t="str">
        <f>LEFT(E_invoice[[#This Row],[P.Code]],8)</f>
        <v>PSR0VH4F</v>
      </c>
      <c r="J111" t="str">
        <f>VLOOKUP(E_invoice[[#This Row],[Customer]],$A$2:$B$44,2,0)</f>
        <v>BRIDGESTONE CORPORATION</v>
      </c>
      <c r="K111" t="str">
        <f>E_invoice[[#This Row],[Customer]]</f>
        <v>100000A</v>
      </c>
    </row>
    <row r="112" spans="1:11" x14ac:dyDescent="0.25">
      <c r="A112" t="s">
        <v>239</v>
      </c>
      <c r="B112" t="s">
        <v>5675</v>
      </c>
      <c r="C112" t="s">
        <v>70</v>
      </c>
      <c r="D112" t="s">
        <v>226</v>
      </c>
      <c r="E112">
        <v>300</v>
      </c>
      <c r="F112">
        <v>26.99</v>
      </c>
      <c r="G112">
        <v>8097</v>
      </c>
      <c r="H112" t="s">
        <v>227</v>
      </c>
      <c r="I112" t="str">
        <f>LEFT(E_invoice[[#This Row],[P.Code]],8)</f>
        <v>PSR0V01B</v>
      </c>
      <c r="J112" t="str">
        <f>VLOOKUP(E_invoice[[#This Row],[Customer]],$A$2:$B$44,2,0)</f>
        <v>BRIDGESTONE CORPORATION</v>
      </c>
      <c r="K112" t="str">
        <f>E_invoice[[#This Row],[Customer]]</f>
        <v>100000A</v>
      </c>
    </row>
    <row r="113" spans="1:11" x14ac:dyDescent="0.25">
      <c r="A113" t="s">
        <v>239</v>
      </c>
      <c r="B113" t="s">
        <v>5675</v>
      </c>
      <c r="C113" t="s">
        <v>70</v>
      </c>
      <c r="D113" t="s">
        <v>228</v>
      </c>
      <c r="E113">
        <v>300</v>
      </c>
      <c r="F113">
        <v>34.770000000000003</v>
      </c>
      <c r="G113">
        <v>10431</v>
      </c>
      <c r="H113" t="s">
        <v>227</v>
      </c>
      <c r="I113" t="str">
        <f>LEFT(E_invoice[[#This Row],[P.Code]],8)</f>
        <v>PSR0V05B</v>
      </c>
      <c r="J113" t="str">
        <f>VLOOKUP(E_invoice[[#This Row],[Customer]],$A$2:$B$44,2,0)</f>
        <v>BRIDGESTONE CORPORATION</v>
      </c>
      <c r="K113" t="str">
        <f>E_invoice[[#This Row],[Customer]]</f>
        <v>100000A</v>
      </c>
    </row>
    <row r="114" spans="1:11" x14ac:dyDescent="0.25">
      <c r="A114" t="s">
        <v>239</v>
      </c>
      <c r="B114" t="s">
        <v>5675</v>
      </c>
      <c r="C114" t="s">
        <v>70</v>
      </c>
      <c r="D114" t="s">
        <v>229</v>
      </c>
      <c r="E114">
        <v>1966</v>
      </c>
      <c r="F114">
        <v>26.83</v>
      </c>
      <c r="G114">
        <v>52747.78</v>
      </c>
      <c r="H114" t="s">
        <v>227</v>
      </c>
      <c r="I114" t="str">
        <f>LEFT(E_invoice[[#This Row],[P.Code]],8)</f>
        <v>PSR0V229</v>
      </c>
      <c r="J114" t="str">
        <f>VLOOKUP(E_invoice[[#This Row],[Customer]],$A$2:$B$44,2,0)</f>
        <v>BRIDGESTONE CORPORATION</v>
      </c>
      <c r="K114" t="str">
        <f>E_invoice[[#This Row],[Customer]]</f>
        <v>100000A</v>
      </c>
    </row>
    <row r="115" spans="1:11" x14ac:dyDescent="0.25">
      <c r="A115" t="s">
        <v>239</v>
      </c>
      <c r="B115" t="s">
        <v>5675</v>
      </c>
      <c r="C115" t="s">
        <v>70</v>
      </c>
      <c r="D115" t="s">
        <v>229</v>
      </c>
      <c r="E115">
        <v>575</v>
      </c>
      <c r="F115">
        <v>26.83</v>
      </c>
      <c r="G115">
        <v>15427.25</v>
      </c>
      <c r="H115" t="s">
        <v>227</v>
      </c>
      <c r="I115" t="str">
        <f>LEFT(E_invoice[[#This Row],[P.Code]],8)</f>
        <v>PSR0V229</v>
      </c>
      <c r="J115" t="str">
        <f>VLOOKUP(E_invoice[[#This Row],[Customer]],$A$2:$B$44,2,0)</f>
        <v>BRIDGESTONE CORPORATION</v>
      </c>
      <c r="K115" t="str">
        <f>E_invoice[[#This Row],[Customer]]</f>
        <v>100000A</v>
      </c>
    </row>
    <row r="116" spans="1:11" x14ac:dyDescent="0.25">
      <c r="A116" t="s">
        <v>239</v>
      </c>
      <c r="B116" t="s">
        <v>5675</v>
      </c>
      <c r="C116" t="s">
        <v>70</v>
      </c>
      <c r="D116" t="s">
        <v>230</v>
      </c>
      <c r="E116">
        <v>1089</v>
      </c>
      <c r="F116">
        <v>27.98</v>
      </c>
      <c r="G116">
        <v>30470.22</v>
      </c>
      <c r="H116" t="s">
        <v>227</v>
      </c>
      <c r="I116" t="str">
        <f>LEFT(E_invoice[[#This Row],[P.Code]],8)</f>
        <v>PSR0V234</v>
      </c>
      <c r="J116" t="str">
        <f>VLOOKUP(E_invoice[[#This Row],[Customer]],$A$2:$B$44,2,0)</f>
        <v>BRIDGESTONE CORPORATION</v>
      </c>
      <c r="K116" t="str">
        <f>E_invoice[[#This Row],[Customer]]</f>
        <v>100000A</v>
      </c>
    </row>
    <row r="117" spans="1:11" x14ac:dyDescent="0.25">
      <c r="A117" t="s">
        <v>239</v>
      </c>
      <c r="B117" t="s">
        <v>5675</v>
      </c>
      <c r="C117" t="s">
        <v>70</v>
      </c>
      <c r="D117" t="s">
        <v>244</v>
      </c>
      <c r="E117">
        <v>10</v>
      </c>
      <c r="F117">
        <v>52.02</v>
      </c>
      <c r="G117">
        <v>520.20000000000005</v>
      </c>
      <c r="H117" t="s">
        <v>227</v>
      </c>
      <c r="I117" t="str">
        <f>LEFT(E_invoice[[#This Row],[P.Code]],8)</f>
        <v>PSR0V27B</v>
      </c>
      <c r="J117" t="str">
        <f>VLOOKUP(E_invoice[[#This Row],[Customer]],$A$2:$B$44,2,0)</f>
        <v>BRIDGESTONE CORPORATION</v>
      </c>
      <c r="K117" t="str">
        <f>E_invoice[[#This Row],[Customer]]</f>
        <v>100000A</v>
      </c>
    </row>
    <row r="118" spans="1:11" x14ac:dyDescent="0.25">
      <c r="A118" t="s">
        <v>239</v>
      </c>
      <c r="B118" t="s">
        <v>5676</v>
      </c>
      <c r="C118" t="s">
        <v>70</v>
      </c>
      <c r="D118" t="s">
        <v>247</v>
      </c>
      <c r="E118">
        <v>200</v>
      </c>
      <c r="F118">
        <v>33.299999999999997</v>
      </c>
      <c r="G118">
        <v>6660</v>
      </c>
      <c r="H118" t="s">
        <v>227</v>
      </c>
      <c r="I118" t="str">
        <f>LEFT(E_invoice[[#This Row],[P.Code]],8)</f>
        <v>PSR0V179</v>
      </c>
      <c r="J118" t="str">
        <f>VLOOKUP(E_invoice[[#This Row],[Customer]],$A$2:$B$44,2,0)</f>
        <v>BRIDGESTONE CORPORATION</v>
      </c>
      <c r="K118" t="str">
        <f>E_invoice[[#This Row],[Customer]]</f>
        <v>100000A</v>
      </c>
    </row>
    <row r="119" spans="1:11" x14ac:dyDescent="0.25">
      <c r="A119" t="s">
        <v>239</v>
      </c>
      <c r="B119" t="s">
        <v>5676</v>
      </c>
      <c r="C119" t="s">
        <v>70</v>
      </c>
      <c r="D119" t="s">
        <v>229</v>
      </c>
      <c r="E119">
        <v>2072</v>
      </c>
      <c r="F119">
        <v>26.83</v>
      </c>
      <c r="G119">
        <v>55591.76</v>
      </c>
      <c r="H119" t="s">
        <v>227</v>
      </c>
      <c r="I119" t="str">
        <f>LEFT(E_invoice[[#This Row],[P.Code]],8)</f>
        <v>PSR0V229</v>
      </c>
      <c r="J119" t="str">
        <f>VLOOKUP(E_invoice[[#This Row],[Customer]],$A$2:$B$44,2,0)</f>
        <v>BRIDGESTONE CORPORATION</v>
      </c>
      <c r="K119" t="str">
        <f>E_invoice[[#This Row],[Customer]]</f>
        <v>100000A</v>
      </c>
    </row>
    <row r="120" spans="1:11" x14ac:dyDescent="0.25">
      <c r="A120" t="s">
        <v>239</v>
      </c>
      <c r="B120" t="s">
        <v>5676</v>
      </c>
      <c r="C120" t="s">
        <v>70</v>
      </c>
      <c r="D120" t="s">
        <v>248</v>
      </c>
      <c r="E120">
        <v>300</v>
      </c>
      <c r="F120">
        <v>34.68</v>
      </c>
      <c r="G120">
        <v>10404</v>
      </c>
      <c r="H120" t="s">
        <v>227</v>
      </c>
      <c r="I120" t="str">
        <f>LEFT(E_invoice[[#This Row],[P.Code]],8)</f>
        <v>PSR0V240</v>
      </c>
      <c r="J120" t="str">
        <f>VLOOKUP(E_invoice[[#This Row],[Customer]],$A$2:$B$44,2,0)</f>
        <v>BRIDGESTONE CORPORATION</v>
      </c>
      <c r="K120" t="str">
        <f>E_invoice[[#This Row],[Customer]]</f>
        <v>100000A</v>
      </c>
    </row>
    <row r="121" spans="1:11" x14ac:dyDescent="0.25">
      <c r="A121" t="s">
        <v>239</v>
      </c>
      <c r="B121" t="s">
        <v>5676</v>
      </c>
      <c r="C121" t="s">
        <v>70</v>
      </c>
      <c r="D121" t="s">
        <v>244</v>
      </c>
      <c r="E121">
        <v>100</v>
      </c>
      <c r="F121">
        <v>52.02</v>
      </c>
      <c r="G121">
        <v>5202</v>
      </c>
      <c r="H121" t="s">
        <v>227</v>
      </c>
      <c r="I121" t="str">
        <f>LEFT(E_invoice[[#This Row],[P.Code]],8)</f>
        <v>PSR0V27B</v>
      </c>
      <c r="J121" t="str">
        <f>VLOOKUP(E_invoice[[#This Row],[Customer]],$A$2:$B$44,2,0)</f>
        <v>BRIDGESTONE CORPORATION</v>
      </c>
      <c r="K121" t="str">
        <f>E_invoice[[#This Row],[Customer]]</f>
        <v>100000A</v>
      </c>
    </row>
    <row r="122" spans="1:11" x14ac:dyDescent="0.25">
      <c r="A122" t="s">
        <v>239</v>
      </c>
      <c r="B122" t="s">
        <v>5677</v>
      </c>
      <c r="C122" t="s">
        <v>70</v>
      </c>
      <c r="D122" t="s">
        <v>228</v>
      </c>
      <c r="E122">
        <v>210</v>
      </c>
      <c r="F122">
        <v>34.770000000000003</v>
      </c>
      <c r="G122">
        <v>7301.7</v>
      </c>
      <c r="H122" t="s">
        <v>227</v>
      </c>
      <c r="I122" t="str">
        <f>LEFT(E_invoice[[#This Row],[P.Code]],8)</f>
        <v>PSR0V05B</v>
      </c>
      <c r="J122" t="str">
        <f>VLOOKUP(E_invoice[[#This Row],[Customer]],$A$2:$B$44,2,0)</f>
        <v>BRIDGESTONE CORPORATION</v>
      </c>
      <c r="K122" t="str">
        <f>E_invoice[[#This Row],[Customer]]</f>
        <v>100000A</v>
      </c>
    </row>
    <row r="123" spans="1:11" x14ac:dyDescent="0.25">
      <c r="A123" t="s">
        <v>239</v>
      </c>
      <c r="B123" t="s">
        <v>5677</v>
      </c>
      <c r="C123" t="s">
        <v>70</v>
      </c>
      <c r="D123" t="s">
        <v>229</v>
      </c>
      <c r="E123">
        <v>36</v>
      </c>
      <c r="F123">
        <v>26.83</v>
      </c>
      <c r="G123">
        <v>965.88</v>
      </c>
      <c r="H123" t="s">
        <v>227</v>
      </c>
      <c r="I123" t="str">
        <f>LEFT(E_invoice[[#This Row],[P.Code]],8)</f>
        <v>PSR0V229</v>
      </c>
      <c r="J123" t="str">
        <f>VLOOKUP(E_invoice[[#This Row],[Customer]],$A$2:$B$44,2,0)</f>
        <v>BRIDGESTONE CORPORATION</v>
      </c>
      <c r="K123" t="str">
        <f>E_invoice[[#This Row],[Customer]]</f>
        <v>100000A</v>
      </c>
    </row>
    <row r="124" spans="1:11" x14ac:dyDescent="0.25">
      <c r="A124" t="s">
        <v>239</v>
      </c>
      <c r="B124" t="s">
        <v>5677</v>
      </c>
      <c r="C124" t="s">
        <v>70</v>
      </c>
      <c r="D124" t="s">
        <v>230</v>
      </c>
      <c r="E124">
        <v>2622</v>
      </c>
      <c r="F124">
        <v>27.98</v>
      </c>
      <c r="G124">
        <v>73363.56</v>
      </c>
      <c r="H124" t="s">
        <v>227</v>
      </c>
      <c r="I124" t="str">
        <f>LEFT(E_invoice[[#This Row],[P.Code]],8)</f>
        <v>PSR0V234</v>
      </c>
      <c r="J124" t="str">
        <f>VLOOKUP(E_invoice[[#This Row],[Customer]],$A$2:$B$44,2,0)</f>
        <v>BRIDGESTONE CORPORATION</v>
      </c>
      <c r="K124" t="str">
        <f>E_invoice[[#This Row],[Customer]]</f>
        <v>100000A</v>
      </c>
    </row>
    <row r="125" spans="1:11" x14ac:dyDescent="0.25">
      <c r="A125" t="s">
        <v>239</v>
      </c>
      <c r="B125" t="s">
        <v>5678</v>
      </c>
      <c r="C125" t="s">
        <v>235</v>
      </c>
      <c r="D125" t="s">
        <v>263</v>
      </c>
      <c r="E125">
        <v>22</v>
      </c>
      <c r="F125">
        <v>778000</v>
      </c>
      <c r="G125">
        <v>17116000</v>
      </c>
      <c r="H125" t="s">
        <v>130</v>
      </c>
      <c r="I125" t="str">
        <f>LEFT(E_invoice[[#This Row],[P.Code]],8)</f>
        <v>PSR0V190</v>
      </c>
      <c r="J125" t="str">
        <f>VLOOKUP(E_invoice[[#This Row],[Customer]],$A$2:$B$44,2,0)</f>
        <v>Bridgestone Tire Sale Viet Nam LLC</v>
      </c>
      <c r="K125" t="str">
        <f>E_invoice[[#This Row],[Customer]]</f>
        <v>355001A</v>
      </c>
    </row>
    <row r="126" spans="1:11" x14ac:dyDescent="0.25">
      <c r="A126" t="s">
        <v>239</v>
      </c>
      <c r="B126" t="s">
        <v>5678</v>
      </c>
      <c r="C126" t="s">
        <v>235</v>
      </c>
      <c r="D126" t="s">
        <v>257</v>
      </c>
      <c r="E126">
        <v>263</v>
      </c>
      <c r="F126">
        <v>1257000</v>
      </c>
      <c r="G126">
        <v>330591000</v>
      </c>
      <c r="H126" t="s">
        <v>130</v>
      </c>
      <c r="I126" t="str">
        <f>LEFT(E_invoice[[#This Row],[P.Code]],8)</f>
        <v>PSR0V126</v>
      </c>
      <c r="J126" t="str">
        <f>VLOOKUP(E_invoice[[#This Row],[Customer]],$A$2:$B$44,2,0)</f>
        <v>Bridgestone Tire Sale Viet Nam LLC</v>
      </c>
      <c r="K126" t="str">
        <f>E_invoice[[#This Row],[Customer]]</f>
        <v>355001A</v>
      </c>
    </row>
    <row r="127" spans="1:11" x14ac:dyDescent="0.25">
      <c r="A127" t="s">
        <v>239</v>
      </c>
      <c r="B127" t="s">
        <v>5678</v>
      </c>
      <c r="C127" t="s">
        <v>235</v>
      </c>
      <c r="D127" t="s">
        <v>263</v>
      </c>
      <c r="E127">
        <v>20</v>
      </c>
      <c r="F127">
        <v>778000</v>
      </c>
      <c r="G127">
        <v>15560000</v>
      </c>
      <c r="H127" t="s">
        <v>130</v>
      </c>
      <c r="I127" t="str">
        <f>LEFT(E_invoice[[#This Row],[P.Code]],8)</f>
        <v>PSR0V190</v>
      </c>
      <c r="J127" t="str">
        <f>VLOOKUP(E_invoice[[#This Row],[Customer]],$A$2:$B$44,2,0)</f>
        <v>Bridgestone Tire Sale Viet Nam LLC</v>
      </c>
      <c r="K127" t="str">
        <f>E_invoice[[#This Row],[Customer]]</f>
        <v>355001A</v>
      </c>
    </row>
    <row r="128" spans="1:11" x14ac:dyDescent="0.25">
      <c r="A128" t="s">
        <v>239</v>
      </c>
      <c r="B128" t="s">
        <v>5678</v>
      </c>
      <c r="C128" t="s">
        <v>235</v>
      </c>
      <c r="D128" t="s">
        <v>251</v>
      </c>
      <c r="E128">
        <v>77</v>
      </c>
      <c r="F128">
        <v>729000</v>
      </c>
      <c r="G128">
        <v>56133000</v>
      </c>
      <c r="H128" t="s">
        <v>130</v>
      </c>
      <c r="I128" t="str">
        <f>LEFT(E_invoice[[#This Row],[P.Code]],8)</f>
        <v>PSR0V194</v>
      </c>
      <c r="J128" t="str">
        <f>VLOOKUP(E_invoice[[#This Row],[Customer]],$A$2:$B$44,2,0)</f>
        <v>Bridgestone Tire Sale Viet Nam LLC</v>
      </c>
      <c r="K128" t="str">
        <f>E_invoice[[#This Row],[Customer]]</f>
        <v>355001A</v>
      </c>
    </row>
    <row r="129" spans="1:11" x14ac:dyDescent="0.25">
      <c r="A129" t="s">
        <v>239</v>
      </c>
      <c r="B129" t="s">
        <v>5678</v>
      </c>
      <c r="C129" t="s">
        <v>235</v>
      </c>
      <c r="D129" t="s">
        <v>257</v>
      </c>
      <c r="E129">
        <v>203</v>
      </c>
      <c r="F129">
        <v>1257000</v>
      </c>
      <c r="G129">
        <v>255171000</v>
      </c>
      <c r="H129" t="s">
        <v>130</v>
      </c>
      <c r="I129" t="str">
        <f>LEFT(E_invoice[[#This Row],[P.Code]],8)</f>
        <v>PSR0V126</v>
      </c>
      <c r="J129" t="str">
        <f>VLOOKUP(E_invoice[[#This Row],[Customer]],$A$2:$B$44,2,0)</f>
        <v>Bridgestone Tire Sale Viet Nam LLC</v>
      </c>
      <c r="K129" t="str">
        <f>E_invoice[[#This Row],[Customer]]</f>
        <v>355001A</v>
      </c>
    </row>
    <row r="130" spans="1:11" x14ac:dyDescent="0.25">
      <c r="A130" t="s">
        <v>239</v>
      </c>
      <c r="B130" t="s">
        <v>5678</v>
      </c>
      <c r="C130" t="s">
        <v>235</v>
      </c>
      <c r="D130" t="s">
        <v>252</v>
      </c>
      <c r="E130">
        <v>45</v>
      </c>
      <c r="F130">
        <v>793000</v>
      </c>
      <c r="G130">
        <v>35685000</v>
      </c>
      <c r="H130" t="s">
        <v>130</v>
      </c>
      <c r="I130" t="str">
        <f>LEFT(E_invoice[[#This Row],[P.Code]],8)</f>
        <v>PSR0V247</v>
      </c>
      <c r="J130" t="str">
        <f>VLOOKUP(E_invoice[[#This Row],[Customer]],$A$2:$B$44,2,0)</f>
        <v>Bridgestone Tire Sale Viet Nam LLC</v>
      </c>
      <c r="K130" t="str">
        <f>E_invoice[[#This Row],[Customer]]</f>
        <v>355001A</v>
      </c>
    </row>
    <row r="131" spans="1:11" x14ac:dyDescent="0.25">
      <c r="A131" t="s">
        <v>239</v>
      </c>
      <c r="B131" t="s">
        <v>5678</v>
      </c>
      <c r="C131" t="s">
        <v>235</v>
      </c>
      <c r="D131" t="s">
        <v>251</v>
      </c>
      <c r="E131">
        <v>140</v>
      </c>
      <c r="F131">
        <v>729000</v>
      </c>
      <c r="G131">
        <v>102060000</v>
      </c>
      <c r="H131" t="s">
        <v>130</v>
      </c>
      <c r="I131" t="str">
        <f>LEFT(E_invoice[[#This Row],[P.Code]],8)</f>
        <v>PSR0V194</v>
      </c>
      <c r="J131" t="str">
        <f>VLOOKUP(E_invoice[[#This Row],[Customer]],$A$2:$B$44,2,0)</f>
        <v>Bridgestone Tire Sale Viet Nam LLC</v>
      </c>
      <c r="K131" t="str">
        <f>E_invoice[[#This Row],[Customer]]</f>
        <v>355001A</v>
      </c>
    </row>
    <row r="132" spans="1:11" x14ac:dyDescent="0.25">
      <c r="A132" t="s">
        <v>239</v>
      </c>
      <c r="B132" t="s">
        <v>5678</v>
      </c>
      <c r="C132" t="s">
        <v>235</v>
      </c>
      <c r="D132" t="s">
        <v>263</v>
      </c>
      <c r="E132">
        <v>70</v>
      </c>
      <c r="F132">
        <v>778000</v>
      </c>
      <c r="G132">
        <v>54460000</v>
      </c>
      <c r="H132" t="s">
        <v>130</v>
      </c>
      <c r="I132" t="str">
        <f>LEFT(E_invoice[[#This Row],[P.Code]],8)</f>
        <v>PSR0V190</v>
      </c>
      <c r="J132" t="str">
        <f>VLOOKUP(E_invoice[[#This Row],[Customer]],$A$2:$B$44,2,0)</f>
        <v>Bridgestone Tire Sale Viet Nam LLC</v>
      </c>
      <c r="K132" t="str">
        <f>E_invoice[[#This Row],[Customer]]</f>
        <v>355001A</v>
      </c>
    </row>
    <row r="133" spans="1:11" x14ac:dyDescent="0.25">
      <c r="A133" t="s">
        <v>239</v>
      </c>
      <c r="B133" t="s">
        <v>5679</v>
      </c>
      <c r="C133" t="s">
        <v>70</v>
      </c>
      <c r="D133" t="s">
        <v>229</v>
      </c>
      <c r="E133">
        <v>3894</v>
      </c>
      <c r="F133">
        <v>26.83</v>
      </c>
      <c r="G133">
        <v>104476.02</v>
      </c>
      <c r="H133" t="s">
        <v>227</v>
      </c>
      <c r="I133" t="str">
        <f>LEFT(E_invoice[[#This Row],[P.Code]],8)</f>
        <v>PSR0V229</v>
      </c>
      <c r="J133" t="str">
        <f>VLOOKUP(E_invoice[[#This Row],[Customer]],$A$2:$B$44,2,0)</f>
        <v>BRIDGESTONE CORPORATION</v>
      </c>
      <c r="K133" t="str">
        <f>E_invoice[[#This Row],[Customer]]</f>
        <v>100000A</v>
      </c>
    </row>
    <row r="134" spans="1:11" x14ac:dyDescent="0.25">
      <c r="A134" t="s">
        <v>239</v>
      </c>
      <c r="B134" t="s">
        <v>5679</v>
      </c>
      <c r="C134" t="s">
        <v>70</v>
      </c>
      <c r="D134" t="s">
        <v>230</v>
      </c>
      <c r="E134">
        <v>378</v>
      </c>
      <c r="F134">
        <v>27.98</v>
      </c>
      <c r="G134">
        <v>10576.44</v>
      </c>
      <c r="H134" t="s">
        <v>227</v>
      </c>
      <c r="I134" t="str">
        <f>LEFT(E_invoice[[#This Row],[P.Code]],8)</f>
        <v>PSR0V234</v>
      </c>
      <c r="J134" t="str">
        <f>VLOOKUP(E_invoice[[#This Row],[Customer]],$A$2:$B$44,2,0)</f>
        <v>BRIDGESTONE CORPORATION</v>
      </c>
      <c r="K134" t="str">
        <f>E_invoice[[#This Row],[Customer]]</f>
        <v>100000A</v>
      </c>
    </row>
    <row r="135" spans="1:11" x14ac:dyDescent="0.25">
      <c r="A135" t="s">
        <v>239</v>
      </c>
      <c r="B135" t="s">
        <v>5679</v>
      </c>
      <c r="C135" t="s">
        <v>70</v>
      </c>
      <c r="D135" t="s">
        <v>244</v>
      </c>
      <c r="E135">
        <v>100</v>
      </c>
      <c r="F135">
        <v>52.02</v>
      </c>
      <c r="G135">
        <v>5202</v>
      </c>
      <c r="H135" t="s">
        <v>227</v>
      </c>
      <c r="I135" t="str">
        <f>LEFT(E_invoice[[#This Row],[P.Code]],8)</f>
        <v>PSR0V27B</v>
      </c>
      <c r="J135" t="str">
        <f>VLOOKUP(E_invoice[[#This Row],[Customer]],$A$2:$B$44,2,0)</f>
        <v>BRIDGESTONE CORPORATION</v>
      </c>
      <c r="K135" t="str">
        <f>E_invoice[[#This Row],[Customer]]</f>
        <v>100000A</v>
      </c>
    </row>
    <row r="136" spans="1:11" x14ac:dyDescent="0.25">
      <c r="A136" t="s">
        <v>239</v>
      </c>
      <c r="B136" t="s">
        <v>5680</v>
      </c>
      <c r="C136" t="s">
        <v>73</v>
      </c>
      <c r="D136" t="s">
        <v>190</v>
      </c>
      <c r="E136">
        <v>6</v>
      </c>
      <c r="F136">
        <v>56.73</v>
      </c>
      <c r="G136">
        <v>340.38</v>
      </c>
      <c r="H136" t="s">
        <v>231</v>
      </c>
      <c r="I136" t="str">
        <f>LEFT(E_invoice[[#This Row],[P.Code]],8)</f>
        <v>PSR0V18D</v>
      </c>
      <c r="J136" t="str">
        <f>VLOOKUP(E_invoice[[#This Row],[Customer]],$A$2:$B$44,2,0)</f>
        <v>BRIDGESTONE ASIA PACIFIC PTE. LTD</v>
      </c>
      <c r="K136" t="str">
        <f>E_invoice[[#This Row],[Customer]]</f>
        <v>355000A</v>
      </c>
    </row>
    <row r="137" spans="1:11" x14ac:dyDescent="0.25">
      <c r="A137" t="s">
        <v>239</v>
      </c>
      <c r="B137" t="s">
        <v>5680</v>
      </c>
      <c r="C137" t="s">
        <v>73</v>
      </c>
      <c r="D137" t="s">
        <v>216</v>
      </c>
      <c r="E137">
        <v>78</v>
      </c>
      <c r="F137">
        <v>47.95</v>
      </c>
      <c r="G137">
        <v>3740.1</v>
      </c>
      <c r="H137" t="s">
        <v>231</v>
      </c>
      <c r="I137" t="str">
        <f>LEFT(E_invoice[[#This Row],[P.Code]],8)</f>
        <v>PSR0V07S</v>
      </c>
      <c r="J137" t="str">
        <f>VLOOKUP(E_invoice[[#This Row],[Customer]],$A$2:$B$44,2,0)</f>
        <v>BRIDGESTONE ASIA PACIFIC PTE. LTD</v>
      </c>
      <c r="K137" t="str">
        <f>E_invoice[[#This Row],[Customer]]</f>
        <v>355000A</v>
      </c>
    </row>
    <row r="138" spans="1:11" x14ac:dyDescent="0.25">
      <c r="A138" t="s">
        <v>239</v>
      </c>
      <c r="B138" t="s">
        <v>5680</v>
      </c>
      <c r="C138" t="s">
        <v>73</v>
      </c>
      <c r="D138" t="s">
        <v>220</v>
      </c>
      <c r="E138">
        <v>44</v>
      </c>
      <c r="F138">
        <v>37.93</v>
      </c>
      <c r="G138">
        <v>1668.92</v>
      </c>
      <c r="H138" t="s">
        <v>231</v>
      </c>
      <c r="I138" t="str">
        <f>LEFT(E_invoice[[#This Row],[P.Code]],8)</f>
        <v>PSR0V46D</v>
      </c>
      <c r="J138" t="str">
        <f>VLOOKUP(E_invoice[[#This Row],[Customer]],$A$2:$B$44,2,0)</f>
        <v>BRIDGESTONE ASIA PACIFIC PTE. LTD</v>
      </c>
      <c r="K138" t="str">
        <f>E_invoice[[#This Row],[Customer]]</f>
        <v>355000A</v>
      </c>
    </row>
    <row r="139" spans="1:11" x14ac:dyDescent="0.25">
      <c r="A139" t="s">
        <v>239</v>
      </c>
      <c r="B139" t="s">
        <v>5680</v>
      </c>
      <c r="C139" t="s">
        <v>73</v>
      </c>
      <c r="D139" t="s">
        <v>196</v>
      </c>
      <c r="E139">
        <v>106</v>
      </c>
      <c r="F139">
        <v>59.81</v>
      </c>
      <c r="G139">
        <v>6339.86</v>
      </c>
      <c r="H139" t="s">
        <v>231</v>
      </c>
      <c r="I139" t="str">
        <f>LEFT(E_invoice[[#This Row],[P.Code]],8)</f>
        <v>PSR0V213</v>
      </c>
      <c r="J139" t="str">
        <f>VLOOKUP(E_invoice[[#This Row],[Customer]],$A$2:$B$44,2,0)</f>
        <v>BRIDGESTONE ASIA PACIFIC PTE. LTD</v>
      </c>
      <c r="K139" t="str">
        <f>E_invoice[[#This Row],[Customer]]</f>
        <v>355000A</v>
      </c>
    </row>
    <row r="140" spans="1:11" x14ac:dyDescent="0.25">
      <c r="A140" t="s">
        <v>239</v>
      </c>
      <c r="B140" t="s">
        <v>5680</v>
      </c>
      <c r="C140" t="s">
        <v>73</v>
      </c>
      <c r="D140" t="s">
        <v>232</v>
      </c>
      <c r="E140">
        <v>40</v>
      </c>
      <c r="F140">
        <v>71.06</v>
      </c>
      <c r="G140">
        <v>2842.4</v>
      </c>
      <c r="H140" t="s">
        <v>231</v>
      </c>
      <c r="I140" t="str">
        <f>LEFT(E_invoice[[#This Row],[P.Code]],8)</f>
        <v>PSR0V208</v>
      </c>
      <c r="J140" t="str">
        <f>VLOOKUP(E_invoice[[#This Row],[Customer]],$A$2:$B$44,2,0)</f>
        <v>BRIDGESTONE ASIA PACIFIC PTE. LTD</v>
      </c>
      <c r="K140" t="str">
        <f>E_invoice[[#This Row],[Customer]]</f>
        <v>355000A</v>
      </c>
    </row>
    <row r="141" spans="1:11" x14ac:dyDescent="0.25">
      <c r="A141" t="s">
        <v>239</v>
      </c>
      <c r="B141" t="s">
        <v>5680</v>
      </c>
      <c r="C141" t="s">
        <v>73</v>
      </c>
      <c r="D141" t="s">
        <v>190</v>
      </c>
      <c r="E141">
        <v>22</v>
      </c>
      <c r="F141">
        <v>56.73</v>
      </c>
      <c r="G141">
        <v>1248.06</v>
      </c>
      <c r="H141" t="s">
        <v>231</v>
      </c>
      <c r="I141" t="str">
        <f>LEFT(E_invoice[[#This Row],[P.Code]],8)</f>
        <v>PSR0V18D</v>
      </c>
      <c r="J141" t="str">
        <f>VLOOKUP(E_invoice[[#This Row],[Customer]],$A$2:$B$44,2,0)</f>
        <v>BRIDGESTONE ASIA PACIFIC PTE. LTD</v>
      </c>
      <c r="K141" t="str">
        <f>E_invoice[[#This Row],[Customer]]</f>
        <v>355000A</v>
      </c>
    </row>
    <row r="142" spans="1:11" x14ac:dyDescent="0.25">
      <c r="A142" t="s">
        <v>239</v>
      </c>
      <c r="B142" t="s">
        <v>5680</v>
      </c>
      <c r="C142" t="s">
        <v>73</v>
      </c>
      <c r="D142" t="s">
        <v>202</v>
      </c>
      <c r="E142">
        <v>30</v>
      </c>
      <c r="F142">
        <v>39.29</v>
      </c>
      <c r="G142">
        <v>1178.7</v>
      </c>
      <c r="H142" t="s">
        <v>231</v>
      </c>
      <c r="I142" t="str">
        <f>LEFT(E_invoice[[#This Row],[P.Code]],8)</f>
        <v>PSR0V11S</v>
      </c>
      <c r="J142" t="str">
        <f>VLOOKUP(E_invoice[[#This Row],[Customer]],$A$2:$B$44,2,0)</f>
        <v>BRIDGESTONE ASIA PACIFIC PTE. LTD</v>
      </c>
      <c r="K142" t="str">
        <f>E_invoice[[#This Row],[Customer]]</f>
        <v>355000A</v>
      </c>
    </row>
    <row r="143" spans="1:11" x14ac:dyDescent="0.25">
      <c r="A143" t="s">
        <v>239</v>
      </c>
      <c r="B143" t="s">
        <v>5680</v>
      </c>
      <c r="C143" t="s">
        <v>73</v>
      </c>
      <c r="D143" t="s">
        <v>194</v>
      </c>
      <c r="E143">
        <v>20</v>
      </c>
      <c r="F143">
        <v>33.58</v>
      </c>
      <c r="G143">
        <v>671.6</v>
      </c>
      <c r="H143" t="s">
        <v>231</v>
      </c>
      <c r="I143" t="str">
        <f>LEFT(E_invoice[[#This Row],[P.Code]],8)</f>
        <v>PSR0V25S</v>
      </c>
      <c r="J143" t="str">
        <f>VLOOKUP(E_invoice[[#This Row],[Customer]],$A$2:$B$44,2,0)</f>
        <v>BRIDGESTONE ASIA PACIFIC PTE. LTD</v>
      </c>
      <c r="K143" t="str">
        <f>E_invoice[[#This Row],[Customer]]</f>
        <v>355000A</v>
      </c>
    </row>
    <row r="144" spans="1:11" x14ac:dyDescent="0.25">
      <c r="A144" t="s">
        <v>239</v>
      </c>
      <c r="B144" t="s">
        <v>5680</v>
      </c>
      <c r="C144" t="s">
        <v>73</v>
      </c>
      <c r="D144" t="s">
        <v>182</v>
      </c>
      <c r="E144">
        <v>26</v>
      </c>
      <c r="F144">
        <v>65.459999999999994</v>
      </c>
      <c r="G144">
        <v>1701.96</v>
      </c>
      <c r="H144" t="s">
        <v>231</v>
      </c>
      <c r="I144" t="str">
        <f>LEFT(E_invoice[[#This Row],[P.Code]],8)</f>
        <v>PSR0V42D</v>
      </c>
      <c r="J144" t="str">
        <f>VLOOKUP(E_invoice[[#This Row],[Customer]],$A$2:$B$44,2,0)</f>
        <v>BRIDGESTONE ASIA PACIFIC PTE. LTD</v>
      </c>
      <c r="K144" t="str">
        <f>E_invoice[[#This Row],[Customer]]</f>
        <v>355000A</v>
      </c>
    </row>
    <row r="145" spans="1:11" x14ac:dyDescent="0.25">
      <c r="A145" t="s">
        <v>239</v>
      </c>
      <c r="B145" t="s">
        <v>5680</v>
      </c>
      <c r="C145" t="s">
        <v>73</v>
      </c>
      <c r="D145" t="s">
        <v>211</v>
      </c>
      <c r="E145">
        <v>22</v>
      </c>
      <c r="F145">
        <v>41.23</v>
      </c>
      <c r="G145">
        <v>907.06</v>
      </c>
      <c r="H145" t="s">
        <v>231</v>
      </c>
      <c r="I145" t="str">
        <f>LEFT(E_invoice[[#This Row],[P.Code]],8)</f>
        <v>PSR0V165</v>
      </c>
      <c r="J145" t="str">
        <f>VLOOKUP(E_invoice[[#This Row],[Customer]],$A$2:$B$44,2,0)</f>
        <v>BRIDGESTONE ASIA PACIFIC PTE. LTD</v>
      </c>
      <c r="K145" t="str">
        <f>E_invoice[[#This Row],[Customer]]</f>
        <v>355000A</v>
      </c>
    </row>
    <row r="146" spans="1:11" x14ac:dyDescent="0.25">
      <c r="A146" t="s">
        <v>239</v>
      </c>
      <c r="B146" t="s">
        <v>5680</v>
      </c>
      <c r="C146" t="s">
        <v>73</v>
      </c>
      <c r="D146" t="s">
        <v>203</v>
      </c>
      <c r="E146">
        <v>10</v>
      </c>
      <c r="F146">
        <v>47.04</v>
      </c>
      <c r="G146">
        <v>470.4</v>
      </c>
      <c r="H146" t="s">
        <v>231</v>
      </c>
      <c r="I146" t="str">
        <f>LEFT(E_invoice[[#This Row],[P.Code]],8)</f>
        <v>PSR0V12D</v>
      </c>
      <c r="J146" t="str">
        <f>VLOOKUP(E_invoice[[#This Row],[Customer]],$A$2:$B$44,2,0)</f>
        <v>BRIDGESTONE ASIA PACIFIC PTE. LTD</v>
      </c>
      <c r="K146" t="str">
        <f>E_invoice[[#This Row],[Customer]]</f>
        <v>355000A</v>
      </c>
    </row>
    <row r="147" spans="1:11" x14ac:dyDescent="0.25">
      <c r="A147" t="s">
        <v>239</v>
      </c>
      <c r="B147" t="s">
        <v>5680</v>
      </c>
      <c r="C147" t="s">
        <v>73</v>
      </c>
      <c r="D147" t="s">
        <v>215</v>
      </c>
      <c r="E147">
        <v>16</v>
      </c>
      <c r="F147">
        <v>31.73</v>
      </c>
      <c r="G147">
        <v>507.68</v>
      </c>
      <c r="H147" t="s">
        <v>231</v>
      </c>
      <c r="I147" t="str">
        <f>LEFT(E_invoice[[#This Row],[P.Code]],8)</f>
        <v>PSR0V45D</v>
      </c>
      <c r="J147" t="str">
        <f>VLOOKUP(E_invoice[[#This Row],[Customer]],$A$2:$B$44,2,0)</f>
        <v>BRIDGESTONE ASIA PACIFIC PTE. LTD</v>
      </c>
      <c r="K147" t="str">
        <f>E_invoice[[#This Row],[Customer]]</f>
        <v>355000A</v>
      </c>
    </row>
    <row r="148" spans="1:11" x14ac:dyDescent="0.25">
      <c r="A148" t="s">
        <v>239</v>
      </c>
      <c r="B148" t="s">
        <v>5680</v>
      </c>
      <c r="C148" t="s">
        <v>73</v>
      </c>
      <c r="D148" t="s">
        <v>206</v>
      </c>
      <c r="E148">
        <v>22</v>
      </c>
      <c r="F148">
        <v>51.35</v>
      </c>
      <c r="G148">
        <v>1129.7</v>
      </c>
      <c r="H148" t="s">
        <v>231</v>
      </c>
      <c r="I148" t="str">
        <f>LEFT(E_invoice[[#This Row],[P.Code]],8)</f>
        <v>PSR0V16D</v>
      </c>
      <c r="J148" t="str">
        <f>VLOOKUP(E_invoice[[#This Row],[Customer]],$A$2:$B$44,2,0)</f>
        <v>BRIDGESTONE ASIA PACIFIC PTE. LTD</v>
      </c>
      <c r="K148" t="str">
        <f>E_invoice[[#This Row],[Customer]]</f>
        <v>355000A</v>
      </c>
    </row>
    <row r="149" spans="1:11" x14ac:dyDescent="0.25">
      <c r="A149" t="s">
        <v>239</v>
      </c>
      <c r="B149" t="s">
        <v>5680</v>
      </c>
      <c r="C149" t="s">
        <v>73</v>
      </c>
      <c r="D149" t="s">
        <v>195</v>
      </c>
      <c r="E149">
        <v>115</v>
      </c>
      <c r="F149">
        <v>39.51</v>
      </c>
      <c r="G149">
        <v>4543.6499999999996</v>
      </c>
      <c r="H149" t="s">
        <v>231</v>
      </c>
      <c r="I149" t="str">
        <f>LEFT(E_invoice[[#This Row],[P.Code]],8)</f>
        <v>PSR0V05S</v>
      </c>
      <c r="J149" t="str">
        <f>VLOOKUP(E_invoice[[#This Row],[Customer]],$A$2:$B$44,2,0)</f>
        <v>BRIDGESTONE ASIA PACIFIC PTE. LTD</v>
      </c>
      <c r="K149" t="str">
        <f>E_invoice[[#This Row],[Customer]]</f>
        <v>355000A</v>
      </c>
    </row>
    <row r="150" spans="1:11" x14ac:dyDescent="0.25">
      <c r="A150" t="s">
        <v>239</v>
      </c>
      <c r="B150" t="s">
        <v>5680</v>
      </c>
      <c r="C150" t="s">
        <v>73</v>
      </c>
      <c r="D150" t="s">
        <v>213</v>
      </c>
      <c r="E150">
        <v>50</v>
      </c>
      <c r="F150">
        <v>54.94</v>
      </c>
      <c r="G150">
        <v>2747</v>
      </c>
      <c r="H150" t="s">
        <v>231</v>
      </c>
      <c r="I150" t="str">
        <f>LEFT(E_invoice[[#This Row],[P.Code]],8)</f>
        <v>PSR0V13D</v>
      </c>
      <c r="J150" t="str">
        <f>VLOOKUP(E_invoice[[#This Row],[Customer]],$A$2:$B$44,2,0)</f>
        <v>BRIDGESTONE ASIA PACIFIC PTE. LTD</v>
      </c>
      <c r="K150" t="str">
        <f>E_invoice[[#This Row],[Customer]]</f>
        <v>355000A</v>
      </c>
    </row>
    <row r="151" spans="1:11" x14ac:dyDescent="0.25">
      <c r="A151" t="s">
        <v>239</v>
      </c>
      <c r="B151" t="s">
        <v>5680</v>
      </c>
      <c r="C151" t="s">
        <v>73</v>
      </c>
      <c r="D151" t="s">
        <v>246</v>
      </c>
      <c r="E151">
        <v>48</v>
      </c>
      <c r="F151">
        <v>41.6</v>
      </c>
      <c r="G151">
        <v>1996.8</v>
      </c>
      <c r="H151" t="s">
        <v>231</v>
      </c>
      <c r="I151" t="str">
        <f>LEFT(E_invoice[[#This Row],[P.Code]],8)</f>
        <v>PSR0V47D</v>
      </c>
      <c r="J151" t="str">
        <f>VLOOKUP(E_invoice[[#This Row],[Customer]],$A$2:$B$44,2,0)</f>
        <v>BRIDGESTONE ASIA PACIFIC PTE. LTD</v>
      </c>
      <c r="K151" t="str">
        <f>E_invoice[[#This Row],[Customer]]</f>
        <v>355000A</v>
      </c>
    </row>
    <row r="152" spans="1:11" x14ac:dyDescent="0.25">
      <c r="A152" t="s">
        <v>239</v>
      </c>
      <c r="B152" t="s">
        <v>5681</v>
      </c>
      <c r="C152" t="s">
        <v>73</v>
      </c>
      <c r="D152" t="s">
        <v>262</v>
      </c>
      <c r="E152">
        <v>74</v>
      </c>
      <c r="F152">
        <v>49.35</v>
      </c>
      <c r="G152">
        <v>3651.9</v>
      </c>
      <c r="H152" t="s">
        <v>183</v>
      </c>
      <c r="I152" t="str">
        <f>LEFT(E_invoice[[#This Row],[P.Code]],8)</f>
        <v>PSR0V267</v>
      </c>
      <c r="J152" t="str">
        <f>VLOOKUP(E_invoice[[#This Row],[Customer]],$A$2:$B$44,2,0)</f>
        <v>BRIDGESTONE ASIA PACIFIC PTE. LTD</v>
      </c>
      <c r="K152" t="str">
        <f>E_invoice[[#This Row],[Customer]]</f>
        <v>355000A</v>
      </c>
    </row>
    <row r="153" spans="1:11" x14ac:dyDescent="0.25">
      <c r="A153" t="s">
        <v>239</v>
      </c>
      <c r="B153" t="s">
        <v>5681</v>
      </c>
      <c r="C153" t="s">
        <v>73</v>
      </c>
      <c r="D153" t="s">
        <v>198</v>
      </c>
      <c r="E153">
        <v>4</v>
      </c>
      <c r="F153">
        <v>53.46</v>
      </c>
      <c r="G153">
        <v>213.84</v>
      </c>
      <c r="H153" t="s">
        <v>183</v>
      </c>
      <c r="I153" t="str">
        <f>LEFT(E_invoice[[#This Row],[P.Code]],8)</f>
        <v>PSR0V22D</v>
      </c>
      <c r="J153" t="str">
        <f>VLOOKUP(E_invoice[[#This Row],[Customer]],$A$2:$B$44,2,0)</f>
        <v>BRIDGESTONE ASIA PACIFIC PTE. LTD</v>
      </c>
      <c r="K153" t="str">
        <f>E_invoice[[#This Row],[Customer]]</f>
        <v>355000A</v>
      </c>
    </row>
    <row r="154" spans="1:11" x14ac:dyDescent="0.25">
      <c r="A154" t="s">
        <v>239</v>
      </c>
      <c r="B154" t="s">
        <v>5681</v>
      </c>
      <c r="C154" t="s">
        <v>73</v>
      </c>
      <c r="D154" t="s">
        <v>245</v>
      </c>
      <c r="E154">
        <v>1</v>
      </c>
      <c r="F154">
        <v>61.68</v>
      </c>
      <c r="G154">
        <v>61.68</v>
      </c>
      <c r="H154" t="s">
        <v>183</v>
      </c>
      <c r="I154" t="str">
        <f>LEFT(E_invoice[[#This Row],[P.Code]],8)</f>
        <v>PSR0V20D</v>
      </c>
      <c r="J154" t="str">
        <f>VLOOKUP(E_invoice[[#This Row],[Customer]],$A$2:$B$44,2,0)</f>
        <v>BRIDGESTONE ASIA PACIFIC PTE. LTD</v>
      </c>
      <c r="K154" t="str">
        <f>E_invoice[[#This Row],[Customer]]</f>
        <v>355000A</v>
      </c>
    </row>
    <row r="155" spans="1:11" x14ac:dyDescent="0.25">
      <c r="A155" t="s">
        <v>239</v>
      </c>
      <c r="B155" t="s">
        <v>5681</v>
      </c>
      <c r="C155" t="s">
        <v>73</v>
      </c>
      <c r="D155" t="s">
        <v>218</v>
      </c>
      <c r="E155">
        <v>77</v>
      </c>
      <c r="F155">
        <v>42.29</v>
      </c>
      <c r="G155">
        <v>3256.33</v>
      </c>
      <c r="H155" t="s">
        <v>183</v>
      </c>
      <c r="I155" t="str">
        <f>LEFT(E_invoice[[#This Row],[P.Code]],8)</f>
        <v>PSR0V166</v>
      </c>
      <c r="J155" t="str">
        <f>VLOOKUP(E_invoice[[#This Row],[Customer]],$A$2:$B$44,2,0)</f>
        <v>BRIDGESTONE ASIA PACIFIC PTE. LTD</v>
      </c>
      <c r="K155" t="str">
        <f>E_invoice[[#This Row],[Customer]]</f>
        <v>355000A</v>
      </c>
    </row>
    <row r="156" spans="1:11" x14ac:dyDescent="0.25">
      <c r="A156" t="s">
        <v>239</v>
      </c>
      <c r="B156" t="s">
        <v>5681</v>
      </c>
      <c r="C156" t="s">
        <v>73</v>
      </c>
      <c r="D156" t="s">
        <v>211</v>
      </c>
      <c r="E156">
        <v>45</v>
      </c>
      <c r="F156">
        <v>41.23</v>
      </c>
      <c r="G156">
        <v>1855.35</v>
      </c>
      <c r="H156" t="s">
        <v>183</v>
      </c>
      <c r="I156" t="str">
        <f>LEFT(E_invoice[[#This Row],[P.Code]],8)</f>
        <v>PSR0V165</v>
      </c>
      <c r="J156" t="str">
        <f>VLOOKUP(E_invoice[[#This Row],[Customer]],$A$2:$B$44,2,0)</f>
        <v>BRIDGESTONE ASIA PACIFIC PTE. LTD</v>
      </c>
      <c r="K156" t="str">
        <f>E_invoice[[#This Row],[Customer]]</f>
        <v>355000A</v>
      </c>
    </row>
    <row r="157" spans="1:11" x14ac:dyDescent="0.25">
      <c r="A157" t="s">
        <v>239</v>
      </c>
      <c r="B157" t="s">
        <v>5681</v>
      </c>
      <c r="C157" t="s">
        <v>73</v>
      </c>
      <c r="D157" t="s">
        <v>182</v>
      </c>
      <c r="E157">
        <v>10</v>
      </c>
      <c r="F157">
        <v>65.459999999999994</v>
      </c>
      <c r="G157">
        <v>654.6</v>
      </c>
      <c r="H157" t="s">
        <v>183</v>
      </c>
      <c r="I157" t="str">
        <f>LEFT(E_invoice[[#This Row],[P.Code]],8)</f>
        <v>PSR0V42D</v>
      </c>
      <c r="J157" t="str">
        <f>VLOOKUP(E_invoice[[#This Row],[Customer]],$A$2:$B$44,2,0)</f>
        <v>BRIDGESTONE ASIA PACIFIC PTE. LTD</v>
      </c>
      <c r="K157" t="str">
        <f>E_invoice[[#This Row],[Customer]]</f>
        <v>355000A</v>
      </c>
    </row>
    <row r="158" spans="1:11" x14ac:dyDescent="0.25">
      <c r="A158" t="s">
        <v>239</v>
      </c>
      <c r="B158" t="s">
        <v>5681</v>
      </c>
      <c r="C158" t="s">
        <v>73</v>
      </c>
      <c r="D158" t="s">
        <v>185</v>
      </c>
      <c r="E158">
        <v>23</v>
      </c>
      <c r="F158">
        <v>35.630000000000003</v>
      </c>
      <c r="G158">
        <v>819.49</v>
      </c>
      <c r="H158" t="s">
        <v>183</v>
      </c>
      <c r="I158" t="str">
        <f>LEFT(E_invoice[[#This Row],[P.Code]],8)</f>
        <v>PSR0V05P</v>
      </c>
      <c r="J158" t="str">
        <f>VLOOKUP(E_invoice[[#This Row],[Customer]],$A$2:$B$44,2,0)</f>
        <v>BRIDGESTONE ASIA PACIFIC PTE. LTD</v>
      </c>
      <c r="K158" t="str">
        <f>E_invoice[[#This Row],[Customer]]</f>
        <v>355000A</v>
      </c>
    </row>
    <row r="159" spans="1:11" x14ac:dyDescent="0.25">
      <c r="A159" t="s">
        <v>239</v>
      </c>
      <c r="B159" t="s">
        <v>5681</v>
      </c>
      <c r="C159" t="s">
        <v>73</v>
      </c>
      <c r="D159" t="s">
        <v>193</v>
      </c>
      <c r="E159">
        <v>80</v>
      </c>
      <c r="F159">
        <v>52.15</v>
      </c>
      <c r="G159">
        <v>4172</v>
      </c>
      <c r="H159" t="s">
        <v>183</v>
      </c>
      <c r="I159" t="str">
        <f>LEFT(E_invoice[[#This Row],[P.Code]],8)</f>
        <v>PSR0V193</v>
      </c>
      <c r="J159" t="str">
        <f>VLOOKUP(E_invoice[[#This Row],[Customer]],$A$2:$B$44,2,0)</f>
        <v>BRIDGESTONE ASIA PACIFIC PTE. LTD</v>
      </c>
      <c r="K159" t="str">
        <f>E_invoice[[#This Row],[Customer]]</f>
        <v>355000A</v>
      </c>
    </row>
    <row r="160" spans="1:11" x14ac:dyDescent="0.25">
      <c r="A160" t="s">
        <v>239</v>
      </c>
      <c r="B160" t="s">
        <v>5681</v>
      </c>
      <c r="C160" t="s">
        <v>73</v>
      </c>
      <c r="D160" t="s">
        <v>223</v>
      </c>
      <c r="E160">
        <v>311</v>
      </c>
      <c r="F160">
        <v>59.39</v>
      </c>
      <c r="G160">
        <v>18470.29</v>
      </c>
      <c r="H160" t="s">
        <v>183</v>
      </c>
      <c r="I160" t="str">
        <f>LEFT(E_invoice[[#This Row],[P.Code]],8)</f>
        <v>PSR0V256</v>
      </c>
      <c r="J160" t="str">
        <f>VLOOKUP(E_invoice[[#This Row],[Customer]],$A$2:$B$44,2,0)</f>
        <v>BRIDGESTONE ASIA PACIFIC PTE. LTD</v>
      </c>
      <c r="K160" t="str">
        <f>E_invoice[[#This Row],[Customer]]</f>
        <v>355000A</v>
      </c>
    </row>
    <row r="161" spans="1:11" x14ac:dyDescent="0.25">
      <c r="A161" t="s">
        <v>239</v>
      </c>
      <c r="B161" t="s">
        <v>5681</v>
      </c>
      <c r="C161" t="s">
        <v>73</v>
      </c>
      <c r="D161" t="s">
        <v>214</v>
      </c>
      <c r="E161">
        <v>41</v>
      </c>
      <c r="F161">
        <v>46.11</v>
      </c>
      <c r="G161">
        <v>1890.51</v>
      </c>
      <c r="H161" t="s">
        <v>183</v>
      </c>
      <c r="I161" t="str">
        <f>LEFT(E_invoice[[#This Row],[P.Code]],8)</f>
        <v>PSR0V52D</v>
      </c>
      <c r="J161" t="str">
        <f>VLOOKUP(E_invoice[[#This Row],[Customer]],$A$2:$B$44,2,0)</f>
        <v>BRIDGESTONE ASIA PACIFIC PTE. LTD</v>
      </c>
      <c r="K161" t="str">
        <f>E_invoice[[#This Row],[Customer]]</f>
        <v>355000A</v>
      </c>
    </row>
    <row r="162" spans="1:11" x14ac:dyDescent="0.25">
      <c r="A162" t="s">
        <v>239</v>
      </c>
      <c r="B162" t="s">
        <v>5681</v>
      </c>
      <c r="C162" t="s">
        <v>73</v>
      </c>
      <c r="D162" t="s">
        <v>262</v>
      </c>
      <c r="E162">
        <v>73</v>
      </c>
      <c r="F162">
        <v>49.35</v>
      </c>
      <c r="G162">
        <v>3602.55</v>
      </c>
      <c r="H162" t="s">
        <v>183</v>
      </c>
      <c r="I162" t="str">
        <f>LEFT(E_invoice[[#This Row],[P.Code]],8)</f>
        <v>PSR0V267</v>
      </c>
      <c r="J162" t="str">
        <f>VLOOKUP(E_invoice[[#This Row],[Customer]],$A$2:$B$44,2,0)</f>
        <v>BRIDGESTONE ASIA PACIFIC PTE. LTD</v>
      </c>
      <c r="K162" t="str">
        <f>E_invoice[[#This Row],[Customer]]</f>
        <v>355000A</v>
      </c>
    </row>
    <row r="163" spans="1:11" x14ac:dyDescent="0.25">
      <c r="A163" t="s">
        <v>239</v>
      </c>
      <c r="B163" t="s">
        <v>5681</v>
      </c>
      <c r="C163" t="s">
        <v>73</v>
      </c>
      <c r="D163" t="s">
        <v>190</v>
      </c>
      <c r="E163">
        <v>4</v>
      </c>
      <c r="F163">
        <v>56.73</v>
      </c>
      <c r="G163">
        <v>226.92</v>
      </c>
      <c r="H163" t="s">
        <v>183</v>
      </c>
      <c r="I163" t="str">
        <f>LEFT(E_invoice[[#This Row],[P.Code]],8)</f>
        <v>PSR0V18D</v>
      </c>
      <c r="J163" t="str">
        <f>VLOOKUP(E_invoice[[#This Row],[Customer]],$A$2:$B$44,2,0)</f>
        <v>BRIDGESTONE ASIA PACIFIC PTE. LTD</v>
      </c>
      <c r="K163" t="str">
        <f>E_invoice[[#This Row],[Customer]]</f>
        <v>355000A</v>
      </c>
    </row>
    <row r="164" spans="1:11" x14ac:dyDescent="0.25">
      <c r="A164" t="s">
        <v>239</v>
      </c>
      <c r="B164" t="s">
        <v>5681</v>
      </c>
      <c r="C164" t="s">
        <v>73</v>
      </c>
      <c r="D164" t="s">
        <v>204</v>
      </c>
      <c r="E164">
        <v>2</v>
      </c>
      <c r="F164">
        <v>51.27</v>
      </c>
      <c r="G164">
        <v>102.54</v>
      </c>
      <c r="H164" t="s">
        <v>183</v>
      </c>
      <c r="I164" t="str">
        <f>LEFT(E_invoice[[#This Row],[P.Code]],8)</f>
        <v>PSR0V169</v>
      </c>
      <c r="J164" t="str">
        <f>VLOOKUP(E_invoice[[#This Row],[Customer]],$A$2:$B$44,2,0)</f>
        <v>BRIDGESTONE ASIA PACIFIC PTE. LTD</v>
      </c>
      <c r="K164" t="str">
        <f>E_invoice[[#This Row],[Customer]]</f>
        <v>355000A</v>
      </c>
    </row>
    <row r="165" spans="1:11" x14ac:dyDescent="0.25">
      <c r="A165" t="s">
        <v>239</v>
      </c>
      <c r="B165" t="s">
        <v>5681</v>
      </c>
      <c r="C165" t="s">
        <v>73</v>
      </c>
      <c r="D165" t="s">
        <v>215</v>
      </c>
      <c r="E165">
        <v>52</v>
      </c>
      <c r="F165">
        <v>31.73</v>
      </c>
      <c r="G165">
        <v>1649.96</v>
      </c>
      <c r="H165" t="s">
        <v>183</v>
      </c>
      <c r="I165" t="str">
        <f>LEFT(E_invoice[[#This Row],[P.Code]],8)</f>
        <v>PSR0V45D</v>
      </c>
      <c r="J165" t="str">
        <f>VLOOKUP(E_invoice[[#This Row],[Customer]],$A$2:$B$44,2,0)</f>
        <v>BRIDGESTONE ASIA PACIFIC PTE. LTD</v>
      </c>
      <c r="K165" t="str">
        <f>E_invoice[[#This Row],[Customer]]</f>
        <v>355000A</v>
      </c>
    </row>
    <row r="166" spans="1:11" x14ac:dyDescent="0.25">
      <c r="A166" t="s">
        <v>239</v>
      </c>
      <c r="B166" t="s">
        <v>5681</v>
      </c>
      <c r="C166" t="s">
        <v>73</v>
      </c>
      <c r="D166" t="s">
        <v>184</v>
      </c>
      <c r="E166">
        <v>5</v>
      </c>
      <c r="F166">
        <v>49.89</v>
      </c>
      <c r="G166">
        <v>249.45</v>
      </c>
      <c r="H166" t="s">
        <v>183</v>
      </c>
      <c r="I166" t="str">
        <f>LEFT(E_invoice[[#This Row],[P.Code]],8)</f>
        <v>PSR0V11D</v>
      </c>
      <c r="J166" t="str">
        <f>VLOOKUP(E_invoice[[#This Row],[Customer]],$A$2:$B$44,2,0)</f>
        <v>BRIDGESTONE ASIA PACIFIC PTE. LTD</v>
      </c>
      <c r="K166" t="str">
        <f>E_invoice[[#This Row],[Customer]]</f>
        <v>355000A</v>
      </c>
    </row>
    <row r="167" spans="1:11" x14ac:dyDescent="0.25">
      <c r="A167" t="s">
        <v>239</v>
      </c>
      <c r="B167" t="s">
        <v>5681</v>
      </c>
      <c r="C167" t="s">
        <v>73</v>
      </c>
      <c r="D167" t="s">
        <v>200</v>
      </c>
      <c r="E167">
        <v>33</v>
      </c>
      <c r="F167">
        <v>35.47</v>
      </c>
      <c r="G167">
        <v>1170.51</v>
      </c>
      <c r="H167" t="s">
        <v>183</v>
      </c>
      <c r="I167" t="str">
        <f>LEFT(E_invoice[[#This Row],[P.Code]],8)</f>
        <v>PSR0V06P</v>
      </c>
      <c r="J167" t="str">
        <f>VLOOKUP(E_invoice[[#This Row],[Customer]],$A$2:$B$44,2,0)</f>
        <v>BRIDGESTONE ASIA PACIFIC PTE. LTD</v>
      </c>
      <c r="K167" t="str">
        <f>E_invoice[[#This Row],[Customer]]</f>
        <v>355000A</v>
      </c>
    </row>
    <row r="168" spans="1:11" x14ac:dyDescent="0.25">
      <c r="A168" t="s">
        <v>239</v>
      </c>
      <c r="B168" t="s">
        <v>5681</v>
      </c>
      <c r="C168" t="s">
        <v>73</v>
      </c>
      <c r="D168" t="s">
        <v>192</v>
      </c>
      <c r="E168">
        <v>16</v>
      </c>
      <c r="F168">
        <v>47.75</v>
      </c>
      <c r="G168">
        <v>764</v>
      </c>
      <c r="H168" t="s">
        <v>183</v>
      </c>
      <c r="I168" t="str">
        <f>LEFT(E_invoice[[#This Row],[P.Code]],8)</f>
        <v>PSR0V15D</v>
      </c>
      <c r="J168" t="str">
        <f>VLOOKUP(E_invoice[[#This Row],[Customer]],$A$2:$B$44,2,0)</f>
        <v>BRIDGESTONE ASIA PACIFIC PTE. LTD</v>
      </c>
      <c r="K168" t="str">
        <f>E_invoice[[#This Row],[Customer]]</f>
        <v>355000A</v>
      </c>
    </row>
    <row r="169" spans="1:11" x14ac:dyDescent="0.25">
      <c r="A169" t="s">
        <v>239</v>
      </c>
      <c r="B169" t="s">
        <v>5681</v>
      </c>
      <c r="C169" t="s">
        <v>73</v>
      </c>
      <c r="D169" t="s">
        <v>184</v>
      </c>
      <c r="E169">
        <v>5</v>
      </c>
      <c r="F169">
        <v>49.89</v>
      </c>
      <c r="G169">
        <v>249.45</v>
      </c>
      <c r="H169" t="s">
        <v>183</v>
      </c>
      <c r="I169" t="str">
        <f>LEFT(E_invoice[[#This Row],[P.Code]],8)</f>
        <v>PSR0V11D</v>
      </c>
      <c r="J169" t="str">
        <f>VLOOKUP(E_invoice[[#This Row],[Customer]],$A$2:$B$44,2,0)</f>
        <v>BRIDGESTONE ASIA PACIFIC PTE. LTD</v>
      </c>
      <c r="K169" t="str">
        <f>E_invoice[[#This Row],[Customer]]</f>
        <v>355000A</v>
      </c>
    </row>
    <row r="170" spans="1:11" x14ac:dyDescent="0.25">
      <c r="A170" t="s">
        <v>239</v>
      </c>
      <c r="B170" t="s">
        <v>5681</v>
      </c>
      <c r="C170" t="s">
        <v>73</v>
      </c>
      <c r="D170" t="s">
        <v>215</v>
      </c>
      <c r="E170">
        <v>4</v>
      </c>
      <c r="F170">
        <v>31.73</v>
      </c>
      <c r="G170">
        <v>126.92</v>
      </c>
      <c r="H170" t="s">
        <v>183</v>
      </c>
      <c r="I170" t="str">
        <f>LEFT(E_invoice[[#This Row],[P.Code]],8)</f>
        <v>PSR0V45D</v>
      </c>
      <c r="J170" t="str">
        <f>VLOOKUP(E_invoice[[#This Row],[Customer]],$A$2:$B$44,2,0)</f>
        <v>BRIDGESTONE ASIA PACIFIC PTE. LTD</v>
      </c>
      <c r="K170" t="str">
        <f>E_invoice[[#This Row],[Customer]]</f>
        <v>355000A</v>
      </c>
    </row>
    <row r="171" spans="1:11" x14ac:dyDescent="0.25">
      <c r="A171" t="s">
        <v>239</v>
      </c>
      <c r="B171" t="s">
        <v>5681</v>
      </c>
      <c r="C171" t="s">
        <v>73</v>
      </c>
      <c r="D171" t="s">
        <v>223</v>
      </c>
      <c r="E171">
        <v>473</v>
      </c>
      <c r="F171">
        <v>59.39</v>
      </c>
      <c r="G171">
        <v>28091.47</v>
      </c>
      <c r="H171" t="s">
        <v>183</v>
      </c>
      <c r="I171" t="str">
        <f>LEFT(E_invoice[[#This Row],[P.Code]],8)</f>
        <v>PSR0V256</v>
      </c>
      <c r="J171" t="str">
        <f>VLOOKUP(E_invoice[[#This Row],[Customer]],$A$2:$B$44,2,0)</f>
        <v>BRIDGESTONE ASIA PACIFIC PTE. LTD</v>
      </c>
      <c r="K171" t="str">
        <f>E_invoice[[#This Row],[Customer]]</f>
        <v>355000A</v>
      </c>
    </row>
    <row r="172" spans="1:11" x14ac:dyDescent="0.25">
      <c r="A172" t="s">
        <v>239</v>
      </c>
      <c r="B172" t="s">
        <v>5682</v>
      </c>
      <c r="C172" t="s">
        <v>70</v>
      </c>
      <c r="D172" t="s">
        <v>226</v>
      </c>
      <c r="E172">
        <v>123</v>
      </c>
      <c r="F172">
        <v>26.99</v>
      </c>
      <c r="G172">
        <v>3319.77</v>
      </c>
      <c r="H172" t="s">
        <v>227</v>
      </c>
      <c r="I172" t="str">
        <f>LEFT(E_invoice[[#This Row],[P.Code]],8)</f>
        <v>PSR0V01B</v>
      </c>
      <c r="J172" t="str">
        <f>VLOOKUP(E_invoice[[#This Row],[Customer]],$A$2:$B$44,2,0)</f>
        <v>BRIDGESTONE CORPORATION</v>
      </c>
      <c r="K172" t="str">
        <f>E_invoice[[#This Row],[Customer]]</f>
        <v>100000A</v>
      </c>
    </row>
    <row r="173" spans="1:11" x14ac:dyDescent="0.25">
      <c r="A173" t="s">
        <v>239</v>
      </c>
      <c r="B173" t="s">
        <v>5682</v>
      </c>
      <c r="C173" t="s">
        <v>70</v>
      </c>
      <c r="D173" t="s">
        <v>228</v>
      </c>
      <c r="E173">
        <v>599</v>
      </c>
      <c r="F173">
        <v>34.770000000000003</v>
      </c>
      <c r="G173">
        <v>20827.23</v>
      </c>
      <c r="H173" t="s">
        <v>227</v>
      </c>
      <c r="I173" t="str">
        <f>LEFT(E_invoice[[#This Row],[P.Code]],8)</f>
        <v>PSR0V05B</v>
      </c>
      <c r="J173" t="str">
        <f>VLOOKUP(E_invoice[[#This Row],[Customer]],$A$2:$B$44,2,0)</f>
        <v>BRIDGESTONE CORPORATION</v>
      </c>
      <c r="K173" t="str">
        <f>E_invoice[[#This Row],[Customer]]</f>
        <v>100000A</v>
      </c>
    </row>
    <row r="174" spans="1:11" x14ac:dyDescent="0.25">
      <c r="A174" t="s">
        <v>239</v>
      </c>
      <c r="B174" t="s">
        <v>5682</v>
      </c>
      <c r="C174" t="s">
        <v>70</v>
      </c>
      <c r="D174" t="s">
        <v>230</v>
      </c>
      <c r="E174">
        <v>1777</v>
      </c>
      <c r="F174">
        <v>27.98</v>
      </c>
      <c r="G174">
        <v>49720.46</v>
      </c>
      <c r="H174" t="s">
        <v>227</v>
      </c>
      <c r="I174" t="str">
        <f>LEFT(E_invoice[[#This Row],[P.Code]],8)</f>
        <v>PSR0V234</v>
      </c>
      <c r="J174" t="str">
        <f>VLOOKUP(E_invoice[[#This Row],[Customer]],$A$2:$B$44,2,0)</f>
        <v>BRIDGESTONE CORPORATION</v>
      </c>
      <c r="K174" t="str">
        <f>E_invoice[[#This Row],[Customer]]</f>
        <v>100000A</v>
      </c>
    </row>
    <row r="175" spans="1:11" x14ac:dyDescent="0.25">
      <c r="A175" t="s">
        <v>239</v>
      </c>
      <c r="B175" t="s">
        <v>5682</v>
      </c>
      <c r="C175" t="s">
        <v>70</v>
      </c>
      <c r="D175" t="s">
        <v>230</v>
      </c>
      <c r="E175">
        <v>1372</v>
      </c>
      <c r="F175">
        <v>27.98</v>
      </c>
      <c r="G175">
        <v>38388.559999999998</v>
      </c>
      <c r="H175" t="s">
        <v>227</v>
      </c>
      <c r="I175" t="str">
        <f>LEFT(E_invoice[[#This Row],[P.Code]],8)</f>
        <v>PSR0V234</v>
      </c>
      <c r="J175" t="str">
        <f>VLOOKUP(E_invoice[[#This Row],[Customer]],$A$2:$B$44,2,0)</f>
        <v>BRIDGESTONE CORPORATION</v>
      </c>
      <c r="K175" t="str">
        <f>E_invoice[[#This Row],[Customer]]</f>
        <v>100000A</v>
      </c>
    </row>
    <row r="176" spans="1:11" x14ac:dyDescent="0.25">
      <c r="A176" t="s">
        <v>239</v>
      </c>
      <c r="B176" t="s">
        <v>5682</v>
      </c>
      <c r="C176" t="s">
        <v>70</v>
      </c>
      <c r="D176" t="s">
        <v>244</v>
      </c>
      <c r="E176">
        <v>100</v>
      </c>
      <c r="F176">
        <v>52.02</v>
      </c>
      <c r="G176">
        <v>5202</v>
      </c>
      <c r="H176" t="s">
        <v>227</v>
      </c>
      <c r="I176" t="str">
        <f>LEFT(E_invoice[[#This Row],[P.Code]],8)</f>
        <v>PSR0V27B</v>
      </c>
      <c r="J176" t="str">
        <f>VLOOKUP(E_invoice[[#This Row],[Customer]],$A$2:$B$44,2,0)</f>
        <v>BRIDGESTONE CORPORATION</v>
      </c>
      <c r="K176" t="str">
        <f>E_invoice[[#This Row],[Customer]]</f>
        <v>100000A</v>
      </c>
    </row>
    <row r="177" spans="1:11" x14ac:dyDescent="0.25">
      <c r="A177" t="s">
        <v>239</v>
      </c>
      <c r="B177" t="s">
        <v>5683</v>
      </c>
      <c r="C177" t="s">
        <v>235</v>
      </c>
      <c r="D177" t="s">
        <v>251</v>
      </c>
      <c r="E177">
        <v>60</v>
      </c>
      <c r="F177">
        <v>729000</v>
      </c>
      <c r="G177">
        <v>43740000</v>
      </c>
      <c r="H177" t="s">
        <v>130</v>
      </c>
      <c r="I177" t="str">
        <f>LEFT(E_invoice[[#This Row],[P.Code]],8)</f>
        <v>PSR0V194</v>
      </c>
      <c r="J177" t="str">
        <f>VLOOKUP(E_invoice[[#This Row],[Customer]],$A$2:$B$44,2,0)</f>
        <v>Bridgestone Tire Sale Viet Nam LLC</v>
      </c>
      <c r="K177" t="str">
        <f>E_invoice[[#This Row],[Customer]]</f>
        <v>355001A</v>
      </c>
    </row>
    <row r="178" spans="1:11" x14ac:dyDescent="0.25">
      <c r="A178" t="s">
        <v>239</v>
      </c>
      <c r="B178" t="s">
        <v>5683</v>
      </c>
      <c r="C178" t="s">
        <v>235</v>
      </c>
      <c r="D178" t="s">
        <v>252</v>
      </c>
      <c r="E178">
        <v>180</v>
      </c>
      <c r="F178">
        <v>793000</v>
      </c>
      <c r="G178">
        <v>142740000</v>
      </c>
      <c r="H178" t="s">
        <v>130</v>
      </c>
      <c r="I178" t="str">
        <f>LEFT(E_invoice[[#This Row],[P.Code]],8)</f>
        <v>PSR0V247</v>
      </c>
      <c r="J178" t="str">
        <f>VLOOKUP(E_invoice[[#This Row],[Customer]],$A$2:$B$44,2,0)</f>
        <v>Bridgestone Tire Sale Viet Nam LLC</v>
      </c>
      <c r="K178" t="str">
        <f>E_invoice[[#This Row],[Customer]]</f>
        <v>355001A</v>
      </c>
    </row>
    <row r="179" spans="1:11" x14ac:dyDescent="0.25">
      <c r="A179" t="s">
        <v>239</v>
      </c>
      <c r="B179" t="s">
        <v>5683</v>
      </c>
      <c r="C179" t="s">
        <v>235</v>
      </c>
      <c r="D179" t="s">
        <v>254</v>
      </c>
      <c r="E179">
        <v>270</v>
      </c>
      <c r="F179">
        <v>1482000</v>
      </c>
      <c r="G179">
        <v>400140000</v>
      </c>
      <c r="H179" t="s">
        <v>130</v>
      </c>
      <c r="I179" t="str">
        <f>LEFT(E_invoice[[#This Row],[P.Code]],8)</f>
        <v>PSR0V243</v>
      </c>
      <c r="J179" t="str">
        <f>VLOOKUP(E_invoice[[#This Row],[Customer]],$A$2:$B$44,2,0)</f>
        <v>Bridgestone Tire Sale Viet Nam LLC</v>
      </c>
      <c r="K179" t="str">
        <f>E_invoice[[#This Row],[Customer]]</f>
        <v>355001A</v>
      </c>
    </row>
    <row r="180" spans="1:11" x14ac:dyDescent="0.25">
      <c r="A180" t="s">
        <v>239</v>
      </c>
      <c r="B180" t="s">
        <v>5683</v>
      </c>
      <c r="C180" t="s">
        <v>235</v>
      </c>
      <c r="D180" t="s">
        <v>255</v>
      </c>
      <c r="E180">
        <v>100</v>
      </c>
      <c r="F180">
        <v>1193000</v>
      </c>
      <c r="G180">
        <v>119300000</v>
      </c>
      <c r="H180" t="s">
        <v>130</v>
      </c>
      <c r="I180" t="str">
        <f>LEFT(E_invoice[[#This Row],[P.Code]],8)</f>
        <v>PSR0V250</v>
      </c>
      <c r="J180" t="str">
        <f>VLOOKUP(E_invoice[[#This Row],[Customer]],$A$2:$B$44,2,0)</f>
        <v>Bridgestone Tire Sale Viet Nam LLC</v>
      </c>
      <c r="K180" t="str">
        <f>E_invoice[[#This Row],[Customer]]</f>
        <v>355001A</v>
      </c>
    </row>
    <row r="181" spans="1:11" x14ac:dyDescent="0.25">
      <c r="A181" t="s">
        <v>239</v>
      </c>
      <c r="B181" t="s">
        <v>5683</v>
      </c>
      <c r="C181" t="s">
        <v>235</v>
      </c>
      <c r="D181" t="s">
        <v>5684</v>
      </c>
      <c r="E181">
        <v>555</v>
      </c>
      <c r="F181">
        <v>1206000</v>
      </c>
      <c r="G181">
        <v>669330000</v>
      </c>
      <c r="H181" t="s">
        <v>130</v>
      </c>
      <c r="I181" t="str">
        <f>LEFT(E_invoice[[#This Row],[P.Code]],8)</f>
        <v>PSR0V257</v>
      </c>
      <c r="J181" t="str">
        <f>VLOOKUP(E_invoice[[#This Row],[Customer]],$A$2:$B$44,2,0)</f>
        <v>Bridgestone Tire Sale Viet Nam LLC</v>
      </c>
      <c r="K181" t="str">
        <f>E_invoice[[#This Row],[Customer]]</f>
        <v>355001A</v>
      </c>
    </row>
    <row r="182" spans="1:11" x14ac:dyDescent="0.25">
      <c r="A182" t="s">
        <v>239</v>
      </c>
      <c r="B182" t="s">
        <v>5685</v>
      </c>
      <c r="C182" t="s">
        <v>70</v>
      </c>
      <c r="D182" t="s">
        <v>236</v>
      </c>
      <c r="E182">
        <v>703</v>
      </c>
      <c r="F182">
        <v>52.96</v>
      </c>
      <c r="G182">
        <v>37230.879999999997</v>
      </c>
      <c r="H182" t="s">
        <v>237</v>
      </c>
      <c r="I182" t="str">
        <f>LEFT(E_invoice[[#This Row],[P.Code]],8)</f>
        <v>PSR0VF6F</v>
      </c>
      <c r="J182" t="str">
        <f>VLOOKUP(E_invoice[[#This Row],[Customer]],$A$2:$B$44,2,0)</f>
        <v>BRIDGESTONE CORPORATION</v>
      </c>
      <c r="K182" t="str">
        <f>E_invoice[[#This Row],[Customer]]</f>
        <v>100000A</v>
      </c>
    </row>
    <row r="183" spans="1:11" x14ac:dyDescent="0.25">
      <c r="A183" t="s">
        <v>239</v>
      </c>
      <c r="B183" t="s">
        <v>5685</v>
      </c>
      <c r="C183" t="s">
        <v>70</v>
      </c>
      <c r="D183" t="s">
        <v>261</v>
      </c>
      <c r="E183">
        <v>1</v>
      </c>
      <c r="F183">
        <v>49.29</v>
      </c>
      <c r="G183">
        <v>49.29</v>
      </c>
      <c r="H183" t="s">
        <v>237</v>
      </c>
      <c r="I183" t="str">
        <f>LEFT(E_invoice[[#This Row],[P.Code]],8)</f>
        <v>PSR0VG8F</v>
      </c>
      <c r="J183" t="str">
        <f>VLOOKUP(E_invoice[[#This Row],[Customer]],$A$2:$B$44,2,0)</f>
        <v>BRIDGESTONE CORPORATION</v>
      </c>
      <c r="K183" t="str">
        <f>E_invoice[[#This Row],[Customer]]</f>
        <v>100000A</v>
      </c>
    </row>
    <row r="184" spans="1:11" x14ac:dyDescent="0.25">
      <c r="A184" t="s">
        <v>239</v>
      </c>
      <c r="B184" t="s">
        <v>5685</v>
      </c>
      <c r="C184" t="s">
        <v>70</v>
      </c>
      <c r="D184" t="s">
        <v>240</v>
      </c>
      <c r="E184">
        <v>1080</v>
      </c>
      <c r="F184">
        <v>39.36</v>
      </c>
      <c r="G184">
        <v>42508.800000000003</v>
      </c>
      <c r="H184" t="s">
        <v>237</v>
      </c>
      <c r="I184" t="str">
        <f>LEFT(E_invoice[[#This Row],[P.Code]],8)</f>
        <v>PSR0VH2F</v>
      </c>
      <c r="J184" t="str">
        <f>VLOOKUP(E_invoice[[#This Row],[Customer]],$A$2:$B$44,2,0)</f>
        <v>BRIDGESTONE CORPORATION</v>
      </c>
      <c r="K184" t="str">
        <f>E_invoice[[#This Row],[Customer]]</f>
        <v>100000A</v>
      </c>
    </row>
    <row r="185" spans="1:11" x14ac:dyDescent="0.25">
      <c r="A185" t="s">
        <v>239</v>
      </c>
      <c r="B185" t="s">
        <v>5685</v>
      </c>
      <c r="C185" t="s">
        <v>70</v>
      </c>
      <c r="D185" t="s">
        <v>238</v>
      </c>
      <c r="E185">
        <v>972</v>
      </c>
      <c r="F185">
        <v>38.76</v>
      </c>
      <c r="G185">
        <v>37674.720000000001</v>
      </c>
      <c r="H185" t="s">
        <v>237</v>
      </c>
      <c r="I185" t="str">
        <f>LEFT(E_invoice[[#This Row],[P.Code]],8)</f>
        <v>PSR0VH3F</v>
      </c>
      <c r="J185" t="str">
        <f>VLOOKUP(E_invoice[[#This Row],[Customer]],$A$2:$B$44,2,0)</f>
        <v>BRIDGESTONE CORPORATION</v>
      </c>
      <c r="K185" t="str">
        <f>E_invoice[[#This Row],[Customer]]</f>
        <v>100000A</v>
      </c>
    </row>
    <row r="186" spans="1:11" x14ac:dyDescent="0.25">
      <c r="A186" t="s">
        <v>239</v>
      </c>
      <c r="B186" t="s">
        <v>5685</v>
      </c>
      <c r="C186" t="s">
        <v>70</v>
      </c>
      <c r="D186" t="s">
        <v>243</v>
      </c>
      <c r="E186">
        <v>1734</v>
      </c>
      <c r="F186">
        <v>43.56</v>
      </c>
      <c r="G186">
        <v>75533.039999999994</v>
      </c>
      <c r="H186" t="s">
        <v>237</v>
      </c>
      <c r="I186" t="str">
        <f>LEFT(E_invoice[[#This Row],[P.Code]],8)</f>
        <v>PSR0VH4F</v>
      </c>
      <c r="J186" t="str">
        <f>VLOOKUP(E_invoice[[#This Row],[Customer]],$A$2:$B$44,2,0)</f>
        <v>BRIDGESTONE CORPORATION</v>
      </c>
      <c r="K186" t="str">
        <f>E_invoice[[#This Row],[Customer]]</f>
        <v>100000A</v>
      </c>
    </row>
    <row r="187" spans="1:11" x14ac:dyDescent="0.25">
      <c r="A187" t="s">
        <v>239</v>
      </c>
      <c r="B187" t="s">
        <v>5685</v>
      </c>
      <c r="C187" t="s">
        <v>70</v>
      </c>
      <c r="D187" t="s">
        <v>241</v>
      </c>
      <c r="E187">
        <v>3</v>
      </c>
      <c r="F187">
        <v>44.04</v>
      </c>
      <c r="G187">
        <v>132.12</v>
      </c>
      <c r="H187" t="s">
        <v>237</v>
      </c>
      <c r="I187" t="str">
        <f>LEFT(E_invoice[[#This Row],[P.Code]],8)</f>
        <v>PSR0VH9F</v>
      </c>
      <c r="J187" t="str">
        <f>VLOOKUP(E_invoice[[#This Row],[Customer]],$A$2:$B$44,2,0)</f>
        <v>BRIDGESTONE CORPORATION</v>
      </c>
      <c r="K187" t="str">
        <f>E_invoice[[#This Row],[Customer]]</f>
        <v>100000A</v>
      </c>
    </row>
    <row r="188" spans="1:11" x14ac:dyDescent="0.25">
      <c r="A188" t="s">
        <v>239</v>
      </c>
      <c r="B188" t="s">
        <v>5685</v>
      </c>
      <c r="C188" t="s">
        <v>70</v>
      </c>
      <c r="D188" t="s">
        <v>242</v>
      </c>
      <c r="E188">
        <v>4</v>
      </c>
      <c r="F188">
        <v>38.81</v>
      </c>
      <c r="G188">
        <v>155.24</v>
      </c>
      <c r="H188" t="s">
        <v>237</v>
      </c>
      <c r="I188" t="str">
        <f>LEFT(E_invoice[[#This Row],[P.Code]],8)</f>
        <v>PSR0VJ5F</v>
      </c>
      <c r="J188" t="str">
        <f>VLOOKUP(E_invoice[[#This Row],[Customer]],$A$2:$B$44,2,0)</f>
        <v>BRIDGESTONE CORPORATION</v>
      </c>
      <c r="K188" t="str">
        <f>E_invoice[[#This Row],[Customer]]</f>
        <v>100000A</v>
      </c>
    </row>
    <row r="189" spans="1:11" x14ac:dyDescent="0.25">
      <c r="A189" t="s">
        <v>239</v>
      </c>
      <c r="B189" t="s">
        <v>5686</v>
      </c>
      <c r="C189" t="s">
        <v>70</v>
      </c>
      <c r="D189" t="s">
        <v>5687</v>
      </c>
      <c r="E189">
        <v>1</v>
      </c>
      <c r="F189">
        <v>50.83</v>
      </c>
      <c r="G189">
        <v>50.83</v>
      </c>
      <c r="H189" t="s">
        <v>237</v>
      </c>
      <c r="I189" t="str">
        <f>LEFT(E_invoice[[#This Row],[P.Code]],8)</f>
        <v>PSR0V79F</v>
      </c>
      <c r="J189" t="str">
        <f>VLOOKUP(E_invoice[[#This Row],[Customer]],$A$2:$B$44,2,0)</f>
        <v>BRIDGESTONE CORPORATION</v>
      </c>
      <c r="K189" t="str">
        <f>E_invoice[[#This Row],[Customer]]</f>
        <v>100000A</v>
      </c>
    </row>
    <row r="190" spans="1:11" x14ac:dyDescent="0.25">
      <c r="A190" t="s">
        <v>239</v>
      </c>
      <c r="B190" t="s">
        <v>5686</v>
      </c>
      <c r="C190" t="s">
        <v>70</v>
      </c>
      <c r="D190" t="s">
        <v>5688</v>
      </c>
      <c r="E190">
        <v>2</v>
      </c>
      <c r="F190">
        <v>33.01</v>
      </c>
      <c r="G190">
        <v>66.02</v>
      </c>
      <c r="H190" t="s">
        <v>237</v>
      </c>
      <c r="I190" t="str">
        <f>LEFT(E_invoice[[#This Row],[P.Code]],8)</f>
        <v>PSR0V89F</v>
      </c>
      <c r="J190" t="str">
        <f>VLOOKUP(E_invoice[[#This Row],[Customer]],$A$2:$B$44,2,0)</f>
        <v>BRIDGESTONE CORPORATION</v>
      </c>
      <c r="K190" t="str">
        <f>E_invoice[[#This Row],[Customer]]</f>
        <v>100000A</v>
      </c>
    </row>
    <row r="191" spans="1:11" x14ac:dyDescent="0.25">
      <c r="A191" t="s">
        <v>239</v>
      </c>
      <c r="B191" t="s">
        <v>5686</v>
      </c>
      <c r="C191" t="s">
        <v>70</v>
      </c>
      <c r="D191" t="s">
        <v>236</v>
      </c>
      <c r="E191">
        <v>707</v>
      </c>
      <c r="F191">
        <v>52.96</v>
      </c>
      <c r="G191">
        <v>37442.720000000001</v>
      </c>
      <c r="H191" t="s">
        <v>237</v>
      </c>
      <c r="I191" t="str">
        <f>LEFT(E_invoice[[#This Row],[P.Code]],8)</f>
        <v>PSR0VF6F</v>
      </c>
      <c r="J191" t="str">
        <f>VLOOKUP(E_invoice[[#This Row],[Customer]],$A$2:$B$44,2,0)</f>
        <v>BRIDGESTONE CORPORATION</v>
      </c>
      <c r="K191" t="str">
        <f>E_invoice[[#This Row],[Customer]]</f>
        <v>100000A</v>
      </c>
    </row>
    <row r="192" spans="1:11" x14ac:dyDescent="0.25">
      <c r="A192" t="s">
        <v>239</v>
      </c>
      <c r="B192" t="s">
        <v>5686</v>
      </c>
      <c r="C192" t="s">
        <v>70</v>
      </c>
      <c r="D192" t="s">
        <v>240</v>
      </c>
      <c r="E192">
        <v>2160</v>
      </c>
      <c r="F192">
        <v>39.36</v>
      </c>
      <c r="G192">
        <v>85017.600000000006</v>
      </c>
      <c r="H192" t="s">
        <v>237</v>
      </c>
      <c r="I192" t="str">
        <f>LEFT(E_invoice[[#This Row],[P.Code]],8)</f>
        <v>PSR0VH2F</v>
      </c>
      <c r="J192" t="str">
        <f>VLOOKUP(E_invoice[[#This Row],[Customer]],$A$2:$B$44,2,0)</f>
        <v>BRIDGESTONE CORPORATION</v>
      </c>
      <c r="K192" t="str">
        <f>E_invoice[[#This Row],[Customer]]</f>
        <v>100000A</v>
      </c>
    </row>
    <row r="193" spans="1:11" x14ac:dyDescent="0.25">
      <c r="A193" t="s">
        <v>239</v>
      </c>
      <c r="B193" t="s">
        <v>5686</v>
      </c>
      <c r="C193" t="s">
        <v>70</v>
      </c>
      <c r="D193" t="s">
        <v>238</v>
      </c>
      <c r="E193">
        <v>972</v>
      </c>
      <c r="F193">
        <v>38.76</v>
      </c>
      <c r="G193">
        <v>37674.720000000001</v>
      </c>
      <c r="H193" t="s">
        <v>237</v>
      </c>
      <c r="I193" t="str">
        <f>LEFT(E_invoice[[#This Row],[P.Code]],8)</f>
        <v>PSR0VH3F</v>
      </c>
      <c r="J193" t="str">
        <f>VLOOKUP(E_invoice[[#This Row],[Customer]],$A$2:$B$44,2,0)</f>
        <v>BRIDGESTONE CORPORATION</v>
      </c>
      <c r="K193" t="str">
        <f>E_invoice[[#This Row],[Customer]]</f>
        <v>100000A</v>
      </c>
    </row>
    <row r="194" spans="1:11" x14ac:dyDescent="0.25">
      <c r="A194" t="s">
        <v>239</v>
      </c>
      <c r="B194" t="s">
        <v>5686</v>
      </c>
      <c r="C194" t="s">
        <v>70</v>
      </c>
      <c r="D194" t="s">
        <v>243</v>
      </c>
      <c r="E194">
        <v>867</v>
      </c>
      <c r="F194">
        <v>43.56</v>
      </c>
      <c r="G194">
        <v>37766.519999999997</v>
      </c>
      <c r="H194" t="s">
        <v>237</v>
      </c>
      <c r="I194" t="str">
        <f>LEFT(E_invoice[[#This Row],[P.Code]],8)</f>
        <v>PSR0VH4F</v>
      </c>
      <c r="J194" t="str">
        <f>VLOOKUP(E_invoice[[#This Row],[Customer]],$A$2:$B$44,2,0)</f>
        <v>BRIDGESTONE CORPORATION</v>
      </c>
      <c r="K194" t="str">
        <f>E_invoice[[#This Row],[Customer]]</f>
        <v>100000A</v>
      </c>
    </row>
    <row r="195" spans="1:11" x14ac:dyDescent="0.25">
      <c r="A195" t="s">
        <v>239</v>
      </c>
      <c r="B195" t="s">
        <v>5689</v>
      </c>
      <c r="C195" t="s">
        <v>70</v>
      </c>
      <c r="D195" t="s">
        <v>229</v>
      </c>
      <c r="E195">
        <v>496</v>
      </c>
      <c r="F195">
        <v>26.83</v>
      </c>
      <c r="G195">
        <v>13307.68</v>
      </c>
      <c r="H195" t="s">
        <v>227</v>
      </c>
      <c r="I195" t="str">
        <f>LEFT(E_invoice[[#This Row],[P.Code]],8)</f>
        <v>PSR0V229</v>
      </c>
      <c r="J195" t="str">
        <f>VLOOKUP(E_invoice[[#This Row],[Customer]],$A$2:$B$44,2,0)</f>
        <v>BRIDGESTONE CORPORATION</v>
      </c>
      <c r="K195" t="str">
        <f>E_invoice[[#This Row],[Customer]]</f>
        <v>100000A</v>
      </c>
    </row>
    <row r="196" spans="1:11" x14ac:dyDescent="0.25">
      <c r="A196" t="s">
        <v>239</v>
      </c>
      <c r="B196" t="s">
        <v>5689</v>
      </c>
      <c r="C196" t="s">
        <v>70</v>
      </c>
      <c r="D196" t="s">
        <v>229</v>
      </c>
      <c r="E196">
        <v>2170</v>
      </c>
      <c r="F196">
        <v>26.83</v>
      </c>
      <c r="G196">
        <v>58221.1</v>
      </c>
      <c r="H196" t="s">
        <v>227</v>
      </c>
      <c r="I196" t="str">
        <f>LEFT(E_invoice[[#This Row],[P.Code]],8)</f>
        <v>PSR0V229</v>
      </c>
      <c r="J196" t="str">
        <f>VLOOKUP(E_invoice[[#This Row],[Customer]],$A$2:$B$44,2,0)</f>
        <v>BRIDGESTONE CORPORATION</v>
      </c>
      <c r="K196" t="str">
        <f>E_invoice[[#This Row],[Customer]]</f>
        <v>100000A</v>
      </c>
    </row>
    <row r="197" spans="1:11" x14ac:dyDescent="0.25">
      <c r="A197" t="s">
        <v>239</v>
      </c>
      <c r="B197" t="s">
        <v>5689</v>
      </c>
      <c r="C197" t="s">
        <v>70</v>
      </c>
      <c r="D197" t="s">
        <v>230</v>
      </c>
      <c r="E197">
        <v>3120</v>
      </c>
      <c r="F197">
        <v>27.98</v>
      </c>
      <c r="G197">
        <v>87297.600000000006</v>
      </c>
      <c r="H197" t="s">
        <v>227</v>
      </c>
      <c r="I197" t="str">
        <f>LEFT(E_invoice[[#This Row],[P.Code]],8)</f>
        <v>PSR0V234</v>
      </c>
      <c r="J197" t="str">
        <f>VLOOKUP(E_invoice[[#This Row],[Customer]],$A$2:$B$44,2,0)</f>
        <v>BRIDGESTONE CORPORATION</v>
      </c>
      <c r="K197" t="str">
        <f>E_invoice[[#This Row],[Customer]]</f>
        <v>100000A</v>
      </c>
    </row>
    <row r="198" spans="1:11" x14ac:dyDescent="0.25">
      <c r="A198" t="s">
        <v>239</v>
      </c>
      <c r="B198" t="s">
        <v>5689</v>
      </c>
      <c r="C198" t="s">
        <v>70</v>
      </c>
      <c r="D198" t="s">
        <v>244</v>
      </c>
      <c r="E198">
        <v>100</v>
      </c>
      <c r="F198">
        <v>52.02</v>
      </c>
      <c r="G198">
        <v>5202</v>
      </c>
      <c r="H198" t="s">
        <v>227</v>
      </c>
      <c r="I198" t="str">
        <f>LEFT(E_invoice[[#This Row],[P.Code]],8)</f>
        <v>PSR0V27B</v>
      </c>
      <c r="J198" t="str">
        <f>VLOOKUP(E_invoice[[#This Row],[Customer]],$A$2:$B$44,2,0)</f>
        <v>BRIDGESTONE CORPORATION</v>
      </c>
      <c r="K198" t="str">
        <f>E_invoice[[#This Row],[Customer]]</f>
        <v>100000A</v>
      </c>
    </row>
    <row r="199" spans="1:11" x14ac:dyDescent="0.25">
      <c r="A199" t="s">
        <v>239</v>
      </c>
      <c r="B199" t="s">
        <v>5690</v>
      </c>
      <c r="C199" t="s">
        <v>235</v>
      </c>
      <c r="D199" t="s">
        <v>253</v>
      </c>
      <c r="E199">
        <v>756</v>
      </c>
      <c r="F199">
        <v>966000</v>
      </c>
      <c r="G199">
        <v>730296000</v>
      </c>
      <c r="H199" t="s">
        <v>130</v>
      </c>
      <c r="I199" t="str">
        <f>LEFT(E_invoice[[#This Row],[P.Code]],8)</f>
        <v>PSR0V248</v>
      </c>
      <c r="J199" t="str">
        <f>VLOOKUP(E_invoice[[#This Row],[Customer]],$A$2:$B$44,2,0)</f>
        <v>Bridgestone Tire Sale Viet Nam LLC</v>
      </c>
      <c r="K199" t="str">
        <f>E_invoice[[#This Row],[Customer]]</f>
        <v>355001A</v>
      </c>
    </row>
    <row r="200" spans="1:11" x14ac:dyDescent="0.25">
      <c r="A200" t="s">
        <v>239</v>
      </c>
      <c r="B200" t="s">
        <v>5691</v>
      </c>
      <c r="C200" t="s">
        <v>73</v>
      </c>
      <c r="D200" t="s">
        <v>215</v>
      </c>
      <c r="E200">
        <v>30</v>
      </c>
      <c r="F200">
        <v>31.73</v>
      </c>
      <c r="G200">
        <v>951.9</v>
      </c>
      <c r="H200" t="s">
        <v>183</v>
      </c>
      <c r="I200" t="str">
        <f>LEFT(E_invoice[[#This Row],[P.Code]],8)</f>
        <v>PSR0V45D</v>
      </c>
      <c r="J200" t="str">
        <f>VLOOKUP(E_invoice[[#This Row],[Customer]],$A$2:$B$44,2,0)</f>
        <v>BRIDGESTONE ASIA PACIFIC PTE. LTD</v>
      </c>
      <c r="K200" t="str">
        <f>E_invoice[[#This Row],[Customer]]</f>
        <v>355000A</v>
      </c>
    </row>
    <row r="201" spans="1:11" x14ac:dyDescent="0.25">
      <c r="A201" t="s">
        <v>239</v>
      </c>
      <c r="B201" t="s">
        <v>5691</v>
      </c>
      <c r="C201" t="s">
        <v>73</v>
      </c>
      <c r="D201" t="s">
        <v>218</v>
      </c>
      <c r="E201">
        <v>2</v>
      </c>
      <c r="F201">
        <v>42.29</v>
      </c>
      <c r="G201">
        <v>84.58</v>
      </c>
      <c r="H201" t="s">
        <v>183</v>
      </c>
      <c r="I201" t="str">
        <f>LEFT(E_invoice[[#This Row],[P.Code]],8)</f>
        <v>PSR0V166</v>
      </c>
      <c r="J201" t="str">
        <f>VLOOKUP(E_invoice[[#This Row],[Customer]],$A$2:$B$44,2,0)</f>
        <v>BRIDGESTONE ASIA PACIFIC PTE. LTD</v>
      </c>
      <c r="K201" t="str">
        <f>E_invoice[[#This Row],[Customer]]</f>
        <v>355000A</v>
      </c>
    </row>
    <row r="202" spans="1:11" x14ac:dyDescent="0.25">
      <c r="A202" t="s">
        <v>239</v>
      </c>
      <c r="B202" t="s">
        <v>5691</v>
      </c>
      <c r="C202" t="s">
        <v>73</v>
      </c>
      <c r="D202" t="s">
        <v>215</v>
      </c>
      <c r="E202">
        <v>26</v>
      </c>
      <c r="F202">
        <v>31.73</v>
      </c>
      <c r="G202">
        <v>824.98</v>
      </c>
      <c r="H202" t="s">
        <v>183</v>
      </c>
      <c r="I202" t="str">
        <f>LEFT(E_invoice[[#This Row],[P.Code]],8)</f>
        <v>PSR0V45D</v>
      </c>
      <c r="J202" t="str">
        <f>VLOOKUP(E_invoice[[#This Row],[Customer]],$A$2:$B$44,2,0)</f>
        <v>BRIDGESTONE ASIA PACIFIC PTE. LTD</v>
      </c>
      <c r="K202" t="str">
        <f>E_invoice[[#This Row],[Customer]]</f>
        <v>355000A</v>
      </c>
    </row>
    <row r="203" spans="1:11" x14ac:dyDescent="0.25">
      <c r="A203" t="s">
        <v>239</v>
      </c>
      <c r="B203" t="s">
        <v>5691</v>
      </c>
      <c r="C203" t="s">
        <v>73</v>
      </c>
      <c r="D203" t="s">
        <v>205</v>
      </c>
      <c r="E203">
        <v>50</v>
      </c>
      <c r="F203">
        <v>44.85</v>
      </c>
      <c r="G203">
        <v>2242.5</v>
      </c>
      <c r="H203" t="s">
        <v>183</v>
      </c>
      <c r="I203" t="str">
        <f>LEFT(E_invoice[[#This Row],[P.Code]],8)</f>
        <v>PSR0V149</v>
      </c>
      <c r="J203" t="str">
        <f>VLOOKUP(E_invoice[[#This Row],[Customer]],$A$2:$B$44,2,0)</f>
        <v>BRIDGESTONE ASIA PACIFIC PTE. LTD</v>
      </c>
      <c r="K203" t="str">
        <f>E_invoice[[#This Row],[Customer]]</f>
        <v>355000A</v>
      </c>
    </row>
    <row r="204" spans="1:11" x14ac:dyDescent="0.25">
      <c r="A204" t="s">
        <v>239</v>
      </c>
      <c r="B204" t="s">
        <v>5691</v>
      </c>
      <c r="C204" t="s">
        <v>73</v>
      </c>
      <c r="D204" t="s">
        <v>211</v>
      </c>
      <c r="E204">
        <v>49</v>
      </c>
      <c r="F204">
        <v>41.23</v>
      </c>
      <c r="G204">
        <v>2020.27</v>
      </c>
      <c r="H204" t="s">
        <v>183</v>
      </c>
      <c r="I204" t="str">
        <f>LEFT(E_invoice[[#This Row],[P.Code]],8)</f>
        <v>PSR0V165</v>
      </c>
      <c r="J204" t="str">
        <f>VLOOKUP(E_invoice[[#This Row],[Customer]],$A$2:$B$44,2,0)</f>
        <v>BRIDGESTONE ASIA PACIFIC PTE. LTD</v>
      </c>
      <c r="K204" t="str">
        <f>E_invoice[[#This Row],[Customer]]</f>
        <v>355000A</v>
      </c>
    </row>
    <row r="205" spans="1:11" x14ac:dyDescent="0.25">
      <c r="A205" t="s">
        <v>239</v>
      </c>
      <c r="B205" t="s">
        <v>5691</v>
      </c>
      <c r="C205" t="s">
        <v>73</v>
      </c>
      <c r="D205" t="s">
        <v>262</v>
      </c>
      <c r="E205">
        <v>53</v>
      </c>
      <c r="F205">
        <v>49.35</v>
      </c>
      <c r="G205">
        <v>2615.5500000000002</v>
      </c>
      <c r="H205" t="s">
        <v>183</v>
      </c>
      <c r="I205" t="str">
        <f>LEFT(E_invoice[[#This Row],[P.Code]],8)</f>
        <v>PSR0V267</v>
      </c>
      <c r="J205" t="str">
        <f>VLOOKUP(E_invoice[[#This Row],[Customer]],$A$2:$B$44,2,0)</f>
        <v>BRIDGESTONE ASIA PACIFIC PTE. LTD</v>
      </c>
      <c r="K205" t="str">
        <f>E_invoice[[#This Row],[Customer]]</f>
        <v>355000A</v>
      </c>
    </row>
    <row r="206" spans="1:11" x14ac:dyDescent="0.25">
      <c r="A206" t="s">
        <v>239</v>
      </c>
      <c r="B206" t="s">
        <v>5691</v>
      </c>
      <c r="C206" t="s">
        <v>73</v>
      </c>
      <c r="D206" t="s">
        <v>212</v>
      </c>
      <c r="E206">
        <v>241</v>
      </c>
      <c r="F206">
        <v>46.68</v>
      </c>
      <c r="G206">
        <v>11249.88</v>
      </c>
      <c r="H206" t="s">
        <v>183</v>
      </c>
      <c r="I206" t="str">
        <f>LEFT(E_invoice[[#This Row],[P.Code]],8)</f>
        <v>PSR0V174</v>
      </c>
      <c r="J206" t="str">
        <f>VLOOKUP(E_invoice[[#This Row],[Customer]],$A$2:$B$44,2,0)</f>
        <v>BRIDGESTONE ASIA PACIFIC PTE. LTD</v>
      </c>
      <c r="K206" t="str">
        <f>E_invoice[[#This Row],[Customer]]</f>
        <v>355000A</v>
      </c>
    </row>
    <row r="207" spans="1:11" x14ac:dyDescent="0.25">
      <c r="A207" t="s">
        <v>239</v>
      </c>
      <c r="B207" t="s">
        <v>5691</v>
      </c>
      <c r="C207" t="s">
        <v>73</v>
      </c>
      <c r="D207" t="s">
        <v>186</v>
      </c>
      <c r="E207">
        <v>12</v>
      </c>
      <c r="F207">
        <v>55.61</v>
      </c>
      <c r="G207">
        <v>667.32</v>
      </c>
      <c r="H207" t="s">
        <v>183</v>
      </c>
      <c r="I207" t="str">
        <f>LEFT(E_invoice[[#This Row],[P.Code]],8)</f>
        <v>PSR0V29D</v>
      </c>
      <c r="J207" t="str">
        <f>VLOOKUP(E_invoice[[#This Row],[Customer]],$A$2:$B$44,2,0)</f>
        <v>BRIDGESTONE ASIA PACIFIC PTE. LTD</v>
      </c>
      <c r="K207" t="str">
        <f>E_invoice[[#This Row],[Customer]]</f>
        <v>355000A</v>
      </c>
    </row>
    <row r="208" spans="1:11" x14ac:dyDescent="0.25">
      <c r="A208" t="s">
        <v>239</v>
      </c>
      <c r="B208" t="s">
        <v>5691</v>
      </c>
      <c r="C208" t="s">
        <v>73</v>
      </c>
      <c r="D208" t="s">
        <v>206</v>
      </c>
      <c r="E208">
        <v>36</v>
      </c>
      <c r="F208">
        <v>51.35</v>
      </c>
      <c r="G208">
        <v>1848.6</v>
      </c>
      <c r="H208" t="s">
        <v>183</v>
      </c>
      <c r="I208" t="str">
        <f>LEFT(E_invoice[[#This Row],[P.Code]],8)</f>
        <v>PSR0V16D</v>
      </c>
      <c r="J208" t="str">
        <f>VLOOKUP(E_invoice[[#This Row],[Customer]],$A$2:$B$44,2,0)</f>
        <v>BRIDGESTONE ASIA PACIFIC PTE. LTD</v>
      </c>
      <c r="K208" t="str">
        <f>E_invoice[[#This Row],[Customer]]</f>
        <v>355000A</v>
      </c>
    </row>
    <row r="209" spans="1:11" x14ac:dyDescent="0.25">
      <c r="A209" t="s">
        <v>239</v>
      </c>
      <c r="B209" t="s">
        <v>5691</v>
      </c>
      <c r="C209" t="s">
        <v>73</v>
      </c>
      <c r="D209" t="s">
        <v>218</v>
      </c>
      <c r="E209">
        <v>4</v>
      </c>
      <c r="F209">
        <v>42.29</v>
      </c>
      <c r="G209">
        <v>169.16</v>
      </c>
      <c r="H209" t="s">
        <v>183</v>
      </c>
      <c r="I209" t="str">
        <f>LEFT(E_invoice[[#This Row],[P.Code]],8)</f>
        <v>PSR0V166</v>
      </c>
      <c r="J209" t="str">
        <f>VLOOKUP(E_invoice[[#This Row],[Customer]],$A$2:$B$44,2,0)</f>
        <v>BRIDGESTONE ASIA PACIFIC PTE. LTD</v>
      </c>
      <c r="K209" t="str">
        <f>E_invoice[[#This Row],[Customer]]</f>
        <v>355000A</v>
      </c>
    </row>
    <row r="210" spans="1:11" x14ac:dyDescent="0.25">
      <c r="A210" t="s">
        <v>239</v>
      </c>
      <c r="B210" t="s">
        <v>5691</v>
      </c>
      <c r="C210" t="s">
        <v>73</v>
      </c>
      <c r="D210" t="s">
        <v>204</v>
      </c>
      <c r="E210">
        <v>75</v>
      </c>
      <c r="F210">
        <v>51.27</v>
      </c>
      <c r="G210">
        <v>3845.25</v>
      </c>
      <c r="H210" t="s">
        <v>183</v>
      </c>
      <c r="I210" t="str">
        <f>LEFT(E_invoice[[#This Row],[P.Code]],8)</f>
        <v>PSR0V169</v>
      </c>
      <c r="J210" t="str">
        <f>VLOOKUP(E_invoice[[#This Row],[Customer]],$A$2:$B$44,2,0)</f>
        <v>BRIDGESTONE ASIA PACIFIC PTE. LTD</v>
      </c>
      <c r="K210" t="str">
        <f>E_invoice[[#This Row],[Customer]]</f>
        <v>355000A</v>
      </c>
    </row>
    <row r="211" spans="1:11" x14ac:dyDescent="0.25">
      <c r="A211" t="s">
        <v>239</v>
      </c>
      <c r="B211" t="s">
        <v>5691</v>
      </c>
      <c r="C211" t="s">
        <v>73</v>
      </c>
      <c r="D211" t="s">
        <v>220</v>
      </c>
      <c r="E211">
        <v>104</v>
      </c>
      <c r="F211">
        <v>37.93</v>
      </c>
      <c r="G211">
        <v>3944.72</v>
      </c>
      <c r="H211" t="s">
        <v>183</v>
      </c>
      <c r="I211" t="str">
        <f>LEFT(E_invoice[[#This Row],[P.Code]],8)</f>
        <v>PSR0V46D</v>
      </c>
      <c r="J211" t="str">
        <f>VLOOKUP(E_invoice[[#This Row],[Customer]],$A$2:$B$44,2,0)</f>
        <v>BRIDGESTONE ASIA PACIFIC PTE. LTD</v>
      </c>
      <c r="K211" t="str">
        <f>E_invoice[[#This Row],[Customer]]</f>
        <v>355000A</v>
      </c>
    </row>
    <row r="212" spans="1:11" x14ac:dyDescent="0.25">
      <c r="A212" t="s">
        <v>239</v>
      </c>
      <c r="B212" t="s">
        <v>5691</v>
      </c>
      <c r="C212" t="s">
        <v>73</v>
      </c>
      <c r="D212" t="s">
        <v>182</v>
      </c>
      <c r="E212">
        <v>8</v>
      </c>
      <c r="F212">
        <v>65.459999999999994</v>
      </c>
      <c r="G212">
        <v>523.67999999999995</v>
      </c>
      <c r="H212" t="s">
        <v>183</v>
      </c>
      <c r="I212" t="str">
        <f>LEFT(E_invoice[[#This Row],[P.Code]],8)</f>
        <v>PSR0V42D</v>
      </c>
      <c r="J212" t="str">
        <f>VLOOKUP(E_invoice[[#This Row],[Customer]],$A$2:$B$44,2,0)</f>
        <v>BRIDGESTONE ASIA PACIFIC PTE. LTD</v>
      </c>
      <c r="K212" t="str">
        <f>E_invoice[[#This Row],[Customer]]</f>
        <v>355000A</v>
      </c>
    </row>
    <row r="213" spans="1:11" x14ac:dyDescent="0.25">
      <c r="A213" t="s">
        <v>239</v>
      </c>
      <c r="B213" t="s">
        <v>5691</v>
      </c>
      <c r="C213" t="s">
        <v>73</v>
      </c>
      <c r="D213" t="s">
        <v>208</v>
      </c>
      <c r="E213">
        <v>60</v>
      </c>
      <c r="F213">
        <v>51.9</v>
      </c>
      <c r="G213">
        <v>3114</v>
      </c>
      <c r="H213" t="s">
        <v>183</v>
      </c>
      <c r="I213" t="str">
        <f>LEFT(E_invoice[[#This Row],[P.Code]],8)</f>
        <v>PSR0V186</v>
      </c>
      <c r="J213" t="str">
        <f>VLOOKUP(E_invoice[[#This Row],[Customer]],$A$2:$B$44,2,0)</f>
        <v>BRIDGESTONE ASIA PACIFIC PTE. LTD</v>
      </c>
      <c r="K213" t="str">
        <f>E_invoice[[#This Row],[Customer]]</f>
        <v>355000A</v>
      </c>
    </row>
    <row r="214" spans="1:11" x14ac:dyDescent="0.25">
      <c r="A214" t="s">
        <v>239</v>
      </c>
      <c r="B214" t="s">
        <v>5691</v>
      </c>
      <c r="C214" t="s">
        <v>73</v>
      </c>
      <c r="D214" t="s">
        <v>189</v>
      </c>
      <c r="E214">
        <v>171</v>
      </c>
      <c r="F214">
        <v>44.99</v>
      </c>
      <c r="G214">
        <v>7693.29</v>
      </c>
      <c r="H214" t="s">
        <v>183</v>
      </c>
      <c r="I214" t="str">
        <f>LEFT(E_invoice[[#This Row],[P.Code]],8)</f>
        <v>PSR0V48D</v>
      </c>
      <c r="J214" t="str">
        <f>VLOOKUP(E_invoice[[#This Row],[Customer]],$A$2:$B$44,2,0)</f>
        <v>BRIDGESTONE ASIA PACIFIC PTE. LTD</v>
      </c>
      <c r="K214" t="str">
        <f>E_invoice[[#This Row],[Customer]]</f>
        <v>355000A</v>
      </c>
    </row>
    <row r="215" spans="1:11" x14ac:dyDescent="0.25">
      <c r="A215" t="s">
        <v>239</v>
      </c>
      <c r="B215" t="s">
        <v>5691</v>
      </c>
      <c r="C215" t="s">
        <v>73</v>
      </c>
      <c r="D215" t="s">
        <v>194</v>
      </c>
      <c r="E215">
        <v>12</v>
      </c>
      <c r="F215">
        <v>33.58</v>
      </c>
      <c r="G215">
        <v>402.96</v>
      </c>
      <c r="H215" t="s">
        <v>183</v>
      </c>
      <c r="I215" t="str">
        <f>LEFT(E_invoice[[#This Row],[P.Code]],8)</f>
        <v>PSR0V25S</v>
      </c>
      <c r="J215" t="str">
        <f>VLOOKUP(E_invoice[[#This Row],[Customer]],$A$2:$B$44,2,0)</f>
        <v>BRIDGESTONE ASIA PACIFIC PTE. LTD</v>
      </c>
      <c r="K215" t="str">
        <f>E_invoice[[#This Row],[Customer]]</f>
        <v>355000A</v>
      </c>
    </row>
    <row r="216" spans="1:11" x14ac:dyDescent="0.25">
      <c r="A216" t="s">
        <v>239</v>
      </c>
      <c r="B216" t="s">
        <v>5691</v>
      </c>
      <c r="C216" t="s">
        <v>73</v>
      </c>
      <c r="D216" t="s">
        <v>193</v>
      </c>
      <c r="E216">
        <v>85</v>
      </c>
      <c r="F216">
        <v>52.15</v>
      </c>
      <c r="G216">
        <v>4432.75</v>
      </c>
      <c r="H216" t="s">
        <v>183</v>
      </c>
      <c r="I216" t="str">
        <f>LEFT(E_invoice[[#This Row],[P.Code]],8)</f>
        <v>PSR0V193</v>
      </c>
      <c r="J216" t="str">
        <f>VLOOKUP(E_invoice[[#This Row],[Customer]],$A$2:$B$44,2,0)</f>
        <v>BRIDGESTONE ASIA PACIFIC PTE. LTD</v>
      </c>
      <c r="K216" t="str">
        <f>E_invoice[[#This Row],[Customer]]</f>
        <v>355000A</v>
      </c>
    </row>
    <row r="217" spans="1:11" x14ac:dyDescent="0.25">
      <c r="A217" t="s">
        <v>239</v>
      </c>
      <c r="B217" t="s">
        <v>5691</v>
      </c>
      <c r="C217" t="s">
        <v>73</v>
      </c>
      <c r="D217" t="s">
        <v>192</v>
      </c>
      <c r="E217">
        <v>28</v>
      </c>
      <c r="F217">
        <v>47.75</v>
      </c>
      <c r="G217">
        <v>1337</v>
      </c>
      <c r="H217" t="s">
        <v>183</v>
      </c>
      <c r="I217" t="str">
        <f>LEFT(E_invoice[[#This Row],[P.Code]],8)</f>
        <v>PSR0V15D</v>
      </c>
      <c r="J217" t="str">
        <f>VLOOKUP(E_invoice[[#This Row],[Customer]],$A$2:$B$44,2,0)</f>
        <v>BRIDGESTONE ASIA PACIFIC PTE. LTD</v>
      </c>
      <c r="K217" t="str">
        <f>E_invoice[[#This Row],[Customer]]</f>
        <v>355000A</v>
      </c>
    </row>
    <row r="218" spans="1:11" x14ac:dyDescent="0.25">
      <c r="A218" t="s">
        <v>239</v>
      </c>
      <c r="B218" t="s">
        <v>5691</v>
      </c>
      <c r="C218" t="s">
        <v>73</v>
      </c>
      <c r="D218" t="s">
        <v>222</v>
      </c>
      <c r="E218">
        <v>75</v>
      </c>
      <c r="F218">
        <v>31.89</v>
      </c>
      <c r="G218">
        <v>2391.75</v>
      </c>
      <c r="H218" t="s">
        <v>183</v>
      </c>
      <c r="I218" t="str">
        <f>LEFT(E_invoice[[#This Row],[P.Code]],8)</f>
        <v>PSR0V01P</v>
      </c>
      <c r="J218" t="str">
        <f>VLOOKUP(E_invoice[[#This Row],[Customer]],$A$2:$B$44,2,0)</f>
        <v>BRIDGESTONE ASIA PACIFIC PTE. LTD</v>
      </c>
      <c r="K218" t="str">
        <f>E_invoice[[#This Row],[Customer]]</f>
        <v>355000A</v>
      </c>
    </row>
    <row r="219" spans="1:11" x14ac:dyDescent="0.25">
      <c r="A219" t="s">
        <v>239</v>
      </c>
      <c r="B219" t="s">
        <v>5691</v>
      </c>
      <c r="C219" t="s">
        <v>73</v>
      </c>
      <c r="D219" t="s">
        <v>201</v>
      </c>
      <c r="E219">
        <v>103</v>
      </c>
      <c r="F219">
        <v>46.66</v>
      </c>
      <c r="G219">
        <v>4805.9799999999996</v>
      </c>
      <c r="H219" t="s">
        <v>183</v>
      </c>
      <c r="I219" t="str">
        <f>LEFT(E_invoice[[#This Row],[P.Code]],8)</f>
        <v>PSR0V51D</v>
      </c>
      <c r="J219" t="str">
        <f>VLOOKUP(E_invoice[[#This Row],[Customer]],$A$2:$B$44,2,0)</f>
        <v>BRIDGESTONE ASIA PACIFIC PTE. LTD</v>
      </c>
      <c r="K219" t="str">
        <f>E_invoice[[#This Row],[Customer]]</f>
        <v>355000A</v>
      </c>
    </row>
    <row r="220" spans="1:11" x14ac:dyDescent="0.25">
      <c r="A220" t="s">
        <v>239</v>
      </c>
      <c r="B220" t="s">
        <v>5691</v>
      </c>
      <c r="C220" t="s">
        <v>73</v>
      </c>
      <c r="D220" t="s">
        <v>190</v>
      </c>
      <c r="E220">
        <v>15</v>
      </c>
      <c r="F220">
        <v>56.73</v>
      </c>
      <c r="G220">
        <v>850.95</v>
      </c>
      <c r="H220" t="s">
        <v>183</v>
      </c>
      <c r="I220" t="str">
        <f>LEFT(E_invoice[[#This Row],[P.Code]],8)</f>
        <v>PSR0V18D</v>
      </c>
      <c r="J220" t="str">
        <f>VLOOKUP(E_invoice[[#This Row],[Customer]],$A$2:$B$44,2,0)</f>
        <v>BRIDGESTONE ASIA PACIFIC PTE. LTD</v>
      </c>
      <c r="K220" t="str">
        <f>E_invoice[[#This Row],[Customer]]</f>
        <v>355000A</v>
      </c>
    </row>
    <row r="221" spans="1:11" x14ac:dyDescent="0.25">
      <c r="A221" t="s">
        <v>239</v>
      </c>
      <c r="B221" t="s">
        <v>5691</v>
      </c>
      <c r="C221" t="s">
        <v>73</v>
      </c>
      <c r="D221" t="s">
        <v>5692</v>
      </c>
      <c r="E221">
        <v>228</v>
      </c>
      <c r="F221">
        <v>49.83</v>
      </c>
      <c r="G221">
        <v>11361.24</v>
      </c>
      <c r="H221" t="s">
        <v>183</v>
      </c>
      <c r="I221" t="str">
        <f>LEFT(E_invoice[[#This Row],[P.Code]],8)</f>
        <v>PSR0V173</v>
      </c>
      <c r="J221" t="str">
        <f>VLOOKUP(E_invoice[[#This Row],[Customer]],$A$2:$B$44,2,0)</f>
        <v>BRIDGESTONE ASIA PACIFIC PTE. LTD</v>
      </c>
      <c r="K221" t="str">
        <f>E_invoice[[#This Row],[Customer]]</f>
        <v>355000A</v>
      </c>
    </row>
    <row r="222" spans="1:11" x14ac:dyDescent="0.25">
      <c r="A222" t="s">
        <v>239</v>
      </c>
      <c r="B222" t="s">
        <v>5691</v>
      </c>
      <c r="C222" t="s">
        <v>73</v>
      </c>
      <c r="D222" t="s">
        <v>182</v>
      </c>
      <c r="E222">
        <v>2</v>
      </c>
      <c r="F222">
        <v>65.459999999999994</v>
      </c>
      <c r="G222">
        <v>130.91999999999999</v>
      </c>
      <c r="H222" t="s">
        <v>183</v>
      </c>
      <c r="I222" t="str">
        <f>LEFT(E_invoice[[#This Row],[P.Code]],8)</f>
        <v>PSR0V42D</v>
      </c>
      <c r="J222" t="str">
        <f>VLOOKUP(E_invoice[[#This Row],[Customer]],$A$2:$B$44,2,0)</f>
        <v>BRIDGESTONE ASIA PACIFIC PTE. LTD</v>
      </c>
      <c r="K222" t="str">
        <f>E_invoice[[#This Row],[Customer]]</f>
        <v>355000A</v>
      </c>
    </row>
    <row r="223" spans="1:11" x14ac:dyDescent="0.25">
      <c r="A223" t="s">
        <v>239</v>
      </c>
      <c r="B223" t="s">
        <v>5691</v>
      </c>
      <c r="C223" t="s">
        <v>73</v>
      </c>
      <c r="D223" t="s">
        <v>194</v>
      </c>
      <c r="E223">
        <v>34</v>
      </c>
      <c r="F223">
        <v>33.58</v>
      </c>
      <c r="G223">
        <v>1141.72</v>
      </c>
      <c r="H223" t="s">
        <v>183</v>
      </c>
      <c r="I223" t="str">
        <f>LEFT(E_invoice[[#This Row],[P.Code]],8)</f>
        <v>PSR0V25S</v>
      </c>
      <c r="J223" t="str">
        <f>VLOOKUP(E_invoice[[#This Row],[Customer]],$A$2:$B$44,2,0)</f>
        <v>BRIDGESTONE ASIA PACIFIC PTE. LTD</v>
      </c>
      <c r="K223" t="str">
        <f>E_invoice[[#This Row],[Customer]]</f>
        <v>355000A</v>
      </c>
    </row>
    <row r="224" spans="1:11" x14ac:dyDescent="0.25">
      <c r="A224" t="s">
        <v>239</v>
      </c>
      <c r="B224" t="s">
        <v>5691</v>
      </c>
      <c r="C224" t="s">
        <v>73</v>
      </c>
      <c r="D224" t="s">
        <v>215</v>
      </c>
      <c r="E224">
        <v>8</v>
      </c>
      <c r="F224">
        <v>31.73</v>
      </c>
      <c r="G224">
        <v>253.84</v>
      </c>
      <c r="H224" t="s">
        <v>183</v>
      </c>
      <c r="I224" t="str">
        <f>LEFT(E_invoice[[#This Row],[P.Code]],8)</f>
        <v>PSR0V45D</v>
      </c>
      <c r="J224" t="str">
        <f>VLOOKUP(E_invoice[[#This Row],[Customer]],$A$2:$B$44,2,0)</f>
        <v>BRIDGESTONE ASIA PACIFIC PTE. LTD</v>
      </c>
      <c r="K224" t="str">
        <f>E_invoice[[#This Row],[Customer]]</f>
        <v>355000A</v>
      </c>
    </row>
    <row r="225" spans="1:11" x14ac:dyDescent="0.25">
      <c r="A225" t="s">
        <v>239</v>
      </c>
      <c r="B225" t="s">
        <v>5691</v>
      </c>
      <c r="C225" t="s">
        <v>73</v>
      </c>
      <c r="D225" t="s">
        <v>190</v>
      </c>
      <c r="E225">
        <v>1</v>
      </c>
      <c r="F225">
        <v>56.73</v>
      </c>
      <c r="G225">
        <v>56.73</v>
      </c>
      <c r="H225" t="s">
        <v>183</v>
      </c>
      <c r="I225" t="str">
        <f>LEFT(E_invoice[[#This Row],[P.Code]],8)</f>
        <v>PSR0V18D</v>
      </c>
      <c r="J225" t="str">
        <f>VLOOKUP(E_invoice[[#This Row],[Customer]],$A$2:$B$44,2,0)</f>
        <v>BRIDGESTONE ASIA PACIFIC PTE. LTD</v>
      </c>
      <c r="K225" t="str">
        <f>E_invoice[[#This Row],[Customer]]</f>
        <v>355000A</v>
      </c>
    </row>
    <row r="226" spans="1:11" x14ac:dyDescent="0.25">
      <c r="A226" t="s">
        <v>239</v>
      </c>
      <c r="B226" t="s">
        <v>5693</v>
      </c>
      <c r="C226" t="s">
        <v>70</v>
      </c>
      <c r="D226" t="s">
        <v>240</v>
      </c>
      <c r="E226">
        <v>3240</v>
      </c>
      <c r="F226">
        <v>39.36</v>
      </c>
      <c r="G226">
        <v>127526.39999999999</v>
      </c>
      <c r="H226" t="s">
        <v>237</v>
      </c>
      <c r="I226" t="str">
        <f>LEFT(E_invoice[[#This Row],[P.Code]],8)</f>
        <v>PSR0VH2F</v>
      </c>
      <c r="J226" t="str">
        <f>VLOOKUP(E_invoice[[#This Row],[Customer]],$A$2:$B$44,2,0)</f>
        <v>BRIDGESTONE CORPORATION</v>
      </c>
      <c r="K226" t="str">
        <f>E_invoice[[#This Row],[Customer]]</f>
        <v>100000A</v>
      </c>
    </row>
    <row r="227" spans="1:11" x14ac:dyDescent="0.25">
      <c r="A227" t="s">
        <v>239</v>
      </c>
      <c r="B227" t="s">
        <v>5693</v>
      </c>
      <c r="C227" t="s">
        <v>70</v>
      </c>
      <c r="D227" t="s">
        <v>238</v>
      </c>
      <c r="E227">
        <v>1944</v>
      </c>
      <c r="F227">
        <v>38.76</v>
      </c>
      <c r="G227">
        <v>75349.440000000002</v>
      </c>
      <c r="H227" t="s">
        <v>237</v>
      </c>
      <c r="I227" t="str">
        <f>LEFT(E_invoice[[#This Row],[P.Code]],8)</f>
        <v>PSR0VH3F</v>
      </c>
      <c r="J227" t="str">
        <f>VLOOKUP(E_invoice[[#This Row],[Customer]],$A$2:$B$44,2,0)</f>
        <v>BRIDGESTONE CORPORATION</v>
      </c>
      <c r="K227" t="str">
        <f>E_invoice[[#This Row],[Customer]]</f>
        <v>100000A</v>
      </c>
    </row>
    <row r="228" spans="1:11" x14ac:dyDescent="0.25">
      <c r="A228" t="s">
        <v>239</v>
      </c>
      <c r="B228" t="s">
        <v>5694</v>
      </c>
      <c r="C228" t="s">
        <v>70</v>
      </c>
      <c r="D228" t="s">
        <v>228</v>
      </c>
      <c r="E228">
        <v>150</v>
      </c>
      <c r="F228">
        <v>34.770000000000003</v>
      </c>
      <c r="G228">
        <v>5215.5</v>
      </c>
      <c r="H228" t="s">
        <v>227</v>
      </c>
      <c r="I228" t="str">
        <f>LEFT(E_invoice[[#This Row],[P.Code]],8)</f>
        <v>PSR0V05B</v>
      </c>
      <c r="J228" t="str">
        <f>VLOOKUP(E_invoice[[#This Row],[Customer]],$A$2:$B$44,2,0)</f>
        <v>BRIDGESTONE CORPORATION</v>
      </c>
      <c r="K228" t="str">
        <f>E_invoice[[#This Row],[Customer]]</f>
        <v>100000A</v>
      </c>
    </row>
    <row r="229" spans="1:11" x14ac:dyDescent="0.25">
      <c r="A229" t="s">
        <v>239</v>
      </c>
      <c r="B229" t="s">
        <v>5694</v>
      </c>
      <c r="C229" t="s">
        <v>70</v>
      </c>
      <c r="D229" t="s">
        <v>247</v>
      </c>
      <c r="E229">
        <v>50</v>
      </c>
      <c r="F229">
        <v>33.299999999999997</v>
      </c>
      <c r="G229">
        <v>1665</v>
      </c>
      <c r="H229" t="s">
        <v>227</v>
      </c>
      <c r="I229" t="str">
        <f>LEFT(E_invoice[[#This Row],[P.Code]],8)</f>
        <v>PSR0V179</v>
      </c>
      <c r="J229" t="str">
        <f>VLOOKUP(E_invoice[[#This Row],[Customer]],$A$2:$B$44,2,0)</f>
        <v>BRIDGESTONE CORPORATION</v>
      </c>
      <c r="K229" t="str">
        <f>E_invoice[[#This Row],[Customer]]</f>
        <v>100000A</v>
      </c>
    </row>
    <row r="230" spans="1:11" x14ac:dyDescent="0.25">
      <c r="A230" t="s">
        <v>239</v>
      </c>
      <c r="B230" t="s">
        <v>5694</v>
      </c>
      <c r="C230" t="s">
        <v>70</v>
      </c>
      <c r="D230" t="s">
        <v>229</v>
      </c>
      <c r="E230">
        <v>888</v>
      </c>
      <c r="F230">
        <v>26.83</v>
      </c>
      <c r="G230">
        <v>23825.040000000001</v>
      </c>
      <c r="H230" t="s">
        <v>227</v>
      </c>
      <c r="I230" t="str">
        <f>LEFT(E_invoice[[#This Row],[P.Code]],8)</f>
        <v>PSR0V229</v>
      </c>
      <c r="J230" t="str">
        <f>VLOOKUP(E_invoice[[#This Row],[Customer]],$A$2:$B$44,2,0)</f>
        <v>BRIDGESTONE CORPORATION</v>
      </c>
      <c r="K230" t="str">
        <f>E_invoice[[#This Row],[Customer]]</f>
        <v>100000A</v>
      </c>
    </row>
    <row r="231" spans="1:11" x14ac:dyDescent="0.25">
      <c r="A231" t="s">
        <v>239</v>
      </c>
      <c r="B231" t="s">
        <v>5694</v>
      </c>
      <c r="C231" t="s">
        <v>70</v>
      </c>
      <c r="D231" t="s">
        <v>229</v>
      </c>
      <c r="E231">
        <v>20</v>
      </c>
      <c r="F231">
        <v>26.83</v>
      </c>
      <c r="G231">
        <v>536.6</v>
      </c>
      <c r="H231" t="s">
        <v>227</v>
      </c>
      <c r="I231" t="str">
        <f>LEFT(E_invoice[[#This Row],[P.Code]],8)</f>
        <v>PSR0V229</v>
      </c>
      <c r="J231" t="str">
        <f>VLOOKUP(E_invoice[[#This Row],[Customer]],$A$2:$B$44,2,0)</f>
        <v>BRIDGESTONE CORPORATION</v>
      </c>
      <c r="K231" t="str">
        <f>E_invoice[[#This Row],[Customer]]</f>
        <v>100000A</v>
      </c>
    </row>
    <row r="232" spans="1:11" x14ac:dyDescent="0.25">
      <c r="A232" t="s">
        <v>239</v>
      </c>
      <c r="B232" t="s">
        <v>5694</v>
      </c>
      <c r="C232" t="s">
        <v>70</v>
      </c>
      <c r="D232" t="s">
        <v>230</v>
      </c>
      <c r="E232">
        <v>1500</v>
      </c>
      <c r="F232">
        <v>27.98</v>
      </c>
      <c r="G232">
        <v>41970</v>
      </c>
      <c r="H232" t="s">
        <v>227</v>
      </c>
      <c r="I232" t="str">
        <f>LEFT(E_invoice[[#This Row],[P.Code]],8)</f>
        <v>PSR0V234</v>
      </c>
      <c r="J232" t="str">
        <f>VLOOKUP(E_invoice[[#This Row],[Customer]],$A$2:$B$44,2,0)</f>
        <v>BRIDGESTONE CORPORATION</v>
      </c>
      <c r="K232" t="str">
        <f>E_invoice[[#This Row],[Customer]]</f>
        <v>100000A</v>
      </c>
    </row>
    <row r="233" spans="1:11" x14ac:dyDescent="0.25">
      <c r="A233" t="s">
        <v>239</v>
      </c>
      <c r="B233" t="s">
        <v>5694</v>
      </c>
      <c r="C233" t="s">
        <v>70</v>
      </c>
      <c r="D233" t="s">
        <v>244</v>
      </c>
      <c r="E233">
        <v>100</v>
      </c>
      <c r="F233">
        <v>52.02</v>
      </c>
      <c r="G233">
        <v>5202</v>
      </c>
      <c r="H233" t="s">
        <v>227</v>
      </c>
      <c r="I233" t="str">
        <f>LEFT(E_invoice[[#This Row],[P.Code]],8)</f>
        <v>PSR0V27B</v>
      </c>
      <c r="J233" t="str">
        <f>VLOOKUP(E_invoice[[#This Row],[Customer]],$A$2:$B$44,2,0)</f>
        <v>BRIDGESTONE CORPORATION</v>
      </c>
      <c r="K233" t="str">
        <f>E_invoice[[#This Row],[Customer]]</f>
        <v>100000A</v>
      </c>
    </row>
    <row r="234" spans="1:11" x14ac:dyDescent="0.25">
      <c r="A234" t="s">
        <v>239</v>
      </c>
      <c r="B234" t="s">
        <v>5694</v>
      </c>
      <c r="C234" t="s">
        <v>70</v>
      </c>
      <c r="D234" t="s">
        <v>244</v>
      </c>
      <c r="E234">
        <v>10</v>
      </c>
      <c r="F234">
        <v>52.02</v>
      </c>
      <c r="G234">
        <v>520.20000000000005</v>
      </c>
      <c r="H234" t="s">
        <v>227</v>
      </c>
      <c r="I234" t="str">
        <f>LEFT(E_invoice[[#This Row],[P.Code]],8)</f>
        <v>PSR0V27B</v>
      </c>
      <c r="J234" t="str">
        <f>VLOOKUP(E_invoice[[#This Row],[Customer]],$A$2:$B$44,2,0)</f>
        <v>BRIDGESTONE CORPORATION</v>
      </c>
      <c r="K234" t="str">
        <f>E_invoice[[#This Row],[Customer]]</f>
        <v>100000A</v>
      </c>
    </row>
    <row r="235" spans="1:11" x14ac:dyDescent="0.25">
      <c r="A235" t="s">
        <v>239</v>
      </c>
      <c r="B235" t="s">
        <v>5695</v>
      </c>
      <c r="C235" t="s">
        <v>70</v>
      </c>
      <c r="D235" t="s">
        <v>228</v>
      </c>
      <c r="E235">
        <v>181</v>
      </c>
      <c r="F235">
        <v>34.770000000000003</v>
      </c>
      <c r="G235">
        <v>6293.37</v>
      </c>
      <c r="H235" t="s">
        <v>227</v>
      </c>
      <c r="I235" t="str">
        <f>LEFT(E_invoice[[#This Row],[P.Code]],8)</f>
        <v>PSR0V05B</v>
      </c>
      <c r="J235" t="str">
        <f>VLOOKUP(E_invoice[[#This Row],[Customer]],$A$2:$B$44,2,0)</f>
        <v>BRIDGESTONE CORPORATION</v>
      </c>
      <c r="K235" t="str">
        <f>E_invoice[[#This Row],[Customer]]</f>
        <v>100000A</v>
      </c>
    </row>
    <row r="236" spans="1:11" x14ac:dyDescent="0.25">
      <c r="A236" t="s">
        <v>239</v>
      </c>
      <c r="B236" t="s">
        <v>5695</v>
      </c>
      <c r="C236" t="s">
        <v>70</v>
      </c>
      <c r="D236" t="s">
        <v>229</v>
      </c>
      <c r="E236">
        <v>1512</v>
      </c>
      <c r="F236">
        <v>26.83</v>
      </c>
      <c r="G236">
        <v>40566.959999999999</v>
      </c>
      <c r="H236" t="s">
        <v>227</v>
      </c>
      <c r="I236" t="str">
        <f>LEFT(E_invoice[[#This Row],[P.Code]],8)</f>
        <v>PSR0V229</v>
      </c>
      <c r="J236" t="str">
        <f>VLOOKUP(E_invoice[[#This Row],[Customer]],$A$2:$B$44,2,0)</f>
        <v>BRIDGESTONE CORPORATION</v>
      </c>
      <c r="K236" t="str">
        <f>E_invoice[[#This Row],[Customer]]</f>
        <v>100000A</v>
      </c>
    </row>
    <row r="237" spans="1:11" x14ac:dyDescent="0.25">
      <c r="A237" t="s">
        <v>239</v>
      </c>
      <c r="B237" t="s">
        <v>5695</v>
      </c>
      <c r="C237" t="s">
        <v>70</v>
      </c>
      <c r="D237" t="s">
        <v>230</v>
      </c>
      <c r="E237">
        <v>2707</v>
      </c>
      <c r="F237">
        <v>27.98</v>
      </c>
      <c r="G237">
        <v>75741.86</v>
      </c>
      <c r="H237" t="s">
        <v>227</v>
      </c>
      <c r="I237" t="str">
        <f>LEFT(E_invoice[[#This Row],[P.Code]],8)</f>
        <v>PSR0V234</v>
      </c>
      <c r="J237" t="str">
        <f>VLOOKUP(E_invoice[[#This Row],[Customer]],$A$2:$B$44,2,0)</f>
        <v>BRIDGESTONE CORPORATION</v>
      </c>
      <c r="K237" t="str">
        <f>E_invoice[[#This Row],[Customer]]</f>
        <v>100000A</v>
      </c>
    </row>
    <row r="238" spans="1:11" x14ac:dyDescent="0.25">
      <c r="A238" t="s">
        <v>239</v>
      </c>
      <c r="B238" t="s">
        <v>5696</v>
      </c>
      <c r="C238" t="s">
        <v>70</v>
      </c>
      <c r="D238" t="s">
        <v>229</v>
      </c>
      <c r="E238">
        <v>903</v>
      </c>
      <c r="F238">
        <v>26.83</v>
      </c>
      <c r="G238">
        <v>24227.49</v>
      </c>
      <c r="H238" t="s">
        <v>227</v>
      </c>
      <c r="I238" t="str">
        <f>LEFT(E_invoice[[#This Row],[P.Code]],8)</f>
        <v>PSR0V229</v>
      </c>
      <c r="J238" t="str">
        <f>VLOOKUP(E_invoice[[#This Row],[Customer]],$A$2:$B$44,2,0)</f>
        <v>BRIDGESTONE CORPORATION</v>
      </c>
      <c r="K238" t="str">
        <f>E_invoice[[#This Row],[Customer]]</f>
        <v>100000A</v>
      </c>
    </row>
    <row r="239" spans="1:11" x14ac:dyDescent="0.25">
      <c r="A239" t="s">
        <v>239</v>
      </c>
      <c r="B239" t="s">
        <v>5696</v>
      </c>
      <c r="C239" t="s">
        <v>70</v>
      </c>
      <c r="D239" t="s">
        <v>230</v>
      </c>
      <c r="E239">
        <v>2113</v>
      </c>
      <c r="F239">
        <v>27.98</v>
      </c>
      <c r="G239">
        <v>59121.74</v>
      </c>
      <c r="H239" t="s">
        <v>227</v>
      </c>
      <c r="I239" t="str">
        <f>LEFT(E_invoice[[#This Row],[P.Code]],8)</f>
        <v>PSR0V234</v>
      </c>
      <c r="J239" t="str">
        <f>VLOOKUP(E_invoice[[#This Row],[Customer]],$A$2:$B$44,2,0)</f>
        <v>BRIDGESTONE CORPORATION</v>
      </c>
      <c r="K239" t="str">
        <f>E_invoice[[#This Row],[Customer]]</f>
        <v>100000A</v>
      </c>
    </row>
    <row r="240" spans="1:11" x14ac:dyDescent="0.25">
      <c r="A240" t="s">
        <v>239</v>
      </c>
      <c r="B240" t="s">
        <v>5697</v>
      </c>
      <c r="C240" t="s">
        <v>70</v>
      </c>
      <c r="D240" t="s">
        <v>229</v>
      </c>
      <c r="E240">
        <v>1512</v>
      </c>
      <c r="F240">
        <v>26.83</v>
      </c>
      <c r="G240">
        <v>40566.959999999999</v>
      </c>
      <c r="H240" t="s">
        <v>227</v>
      </c>
      <c r="I240" t="str">
        <f>LEFT(E_invoice[[#This Row],[P.Code]],8)</f>
        <v>PSR0V229</v>
      </c>
      <c r="J240" t="str">
        <f>VLOOKUP(E_invoice[[#This Row],[Customer]],$A$2:$B$44,2,0)</f>
        <v>BRIDGESTONE CORPORATION</v>
      </c>
      <c r="K240" t="str">
        <f>E_invoice[[#This Row],[Customer]]</f>
        <v>100000A</v>
      </c>
    </row>
    <row r="241" spans="1:11" x14ac:dyDescent="0.25">
      <c r="A241" t="s">
        <v>239</v>
      </c>
      <c r="B241" t="s">
        <v>5697</v>
      </c>
      <c r="C241" t="s">
        <v>70</v>
      </c>
      <c r="D241" t="s">
        <v>230</v>
      </c>
      <c r="E241">
        <v>1512</v>
      </c>
      <c r="F241">
        <v>27.98</v>
      </c>
      <c r="G241">
        <v>42305.760000000002</v>
      </c>
      <c r="H241" t="s">
        <v>227</v>
      </c>
      <c r="I241" t="str">
        <f>LEFT(E_invoice[[#This Row],[P.Code]],8)</f>
        <v>PSR0V234</v>
      </c>
      <c r="J241" t="str">
        <f>VLOOKUP(E_invoice[[#This Row],[Customer]],$A$2:$B$44,2,0)</f>
        <v>BRIDGESTONE CORPORATION</v>
      </c>
      <c r="K241" t="str">
        <f>E_invoice[[#This Row],[Customer]]</f>
        <v>100000A</v>
      </c>
    </row>
    <row r="242" spans="1:11" x14ac:dyDescent="0.25">
      <c r="A242" t="s">
        <v>239</v>
      </c>
      <c r="B242" t="s">
        <v>5698</v>
      </c>
      <c r="C242" t="s">
        <v>70</v>
      </c>
      <c r="D242" t="s">
        <v>226</v>
      </c>
      <c r="E242">
        <v>315</v>
      </c>
      <c r="F242">
        <v>26.99</v>
      </c>
      <c r="G242">
        <v>8501.85</v>
      </c>
      <c r="H242" t="s">
        <v>227</v>
      </c>
      <c r="I242" t="str">
        <f>LEFT(E_invoice[[#This Row],[P.Code]],8)</f>
        <v>PSR0V01B</v>
      </c>
      <c r="J242" t="str">
        <f>VLOOKUP(E_invoice[[#This Row],[Customer]],$A$2:$B$44,2,0)</f>
        <v>BRIDGESTONE CORPORATION</v>
      </c>
      <c r="K242" t="str">
        <f>E_invoice[[#This Row],[Customer]]</f>
        <v>100000A</v>
      </c>
    </row>
    <row r="243" spans="1:11" x14ac:dyDescent="0.25">
      <c r="A243" t="s">
        <v>239</v>
      </c>
      <c r="B243" t="s">
        <v>5698</v>
      </c>
      <c r="C243" t="s">
        <v>70</v>
      </c>
      <c r="D243" t="s">
        <v>228</v>
      </c>
      <c r="E243">
        <v>261</v>
      </c>
      <c r="F243">
        <v>34.770000000000003</v>
      </c>
      <c r="G243">
        <v>9074.9699999999993</v>
      </c>
      <c r="H243" t="s">
        <v>227</v>
      </c>
      <c r="I243" t="str">
        <f>LEFT(E_invoice[[#This Row],[P.Code]],8)</f>
        <v>PSR0V05B</v>
      </c>
      <c r="J243" t="str">
        <f>VLOOKUP(E_invoice[[#This Row],[Customer]],$A$2:$B$44,2,0)</f>
        <v>BRIDGESTONE CORPORATION</v>
      </c>
      <c r="K243" t="str">
        <f>E_invoice[[#This Row],[Customer]]</f>
        <v>100000A</v>
      </c>
    </row>
    <row r="244" spans="1:11" x14ac:dyDescent="0.25">
      <c r="A244" t="s">
        <v>239</v>
      </c>
      <c r="B244" t="s">
        <v>5698</v>
      </c>
      <c r="C244" t="s">
        <v>70</v>
      </c>
      <c r="D244" t="s">
        <v>228</v>
      </c>
      <c r="E244">
        <v>480</v>
      </c>
      <c r="F244">
        <v>34.770000000000003</v>
      </c>
      <c r="G244">
        <v>16689.599999999999</v>
      </c>
      <c r="H244" t="s">
        <v>227</v>
      </c>
      <c r="I244" t="str">
        <f>LEFT(E_invoice[[#This Row],[P.Code]],8)</f>
        <v>PSR0V05B</v>
      </c>
      <c r="J244" t="str">
        <f>VLOOKUP(E_invoice[[#This Row],[Customer]],$A$2:$B$44,2,0)</f>
        <v>BRIDGESTONE CORPORATION</v>
      </c>
      <c r="K244" t="str">
        <f>E_invoice[[#This Row],[Customer]]</f>
        <v>100000A</v>
      </c>
    </row>
    <row r="245" spans="1:11" x14ac:dyDescent="0.25">
      <c r="A245" t="s">
        <v>239</v>
      </c>
      <c r="B245" t="s">
        <v>5698</v>
      </c>
      <c r="C245" t="s">
        <v>70</v>
      </c>
      <c r="D245" t="s">
        <v>229</v>
      </c>
      <c r="E245">
        <v>1120</v>
      </c>
      <c r="F245">
        <v>26.83</v>
      </c>
      <c r="G245">
        <v>30049.599999999999</v>
      </c>
      <c r="H245" t="s">
        <v>227</v>
      </c>
      <c r="I245" t="str">
        <f>LEFT(E_invoice[[#This Row],[P.Code]],8)</f>
        <v>PSR0V229</v>
      </c>
      <c r="J245" t="str">
        <f>VLOOKUP(E_invoice[[#This Row],[Customer]],$A$2:$B$44,2,0)</f>
        <v>BRIDGESTONE CORPORATION</v>
      </c>
      <c r="K245" t="str">
        <f>E_invoice[[#This Row],[Customer]]</f>
        <v>100000A</v>
      </c>
    </row>
    <row r="246" spans="1:11" x14ac:dyDescent="0.25">
      <c r="A246" t="s">
        <v>239</v>
      </c>
      <c r="B246" t="s">
        <v>5698</v>
      </c>
      <c r="C246" t="s">
        <v>70</v>
      </c>
      <c r="D246" t="s">
        <v>258</v>
      </c>
      <c r="E246">
        <v>160</v>
      </c>
      <c r="F246">
        <v>39.049999999999997</v>
      </c>
      <c r="G246">
        <v>6248</v>
      </c>
      <c r="H246" t="s">
        <v>227</v>
      </c>
      <c r="I246" t="str">
        <f>LEFT(E_invoice[[#This Row],[P.Code]],8)</f>
        <v>PSR0V30B</v>
      </c>
      <c r="J246" t="str">
        <f>VLOOKUP(E_invoice[[#This Row],[Customer]],$A$2:$B$44,2,0)</f>
        <v>BRIDGESTONE CORPORATION</v>
      </c>
      <c r="K246" t="str">
        <f>E_invoice[[#This Row],[Customer]]</f>
        <v>100000A</v>
      </c>
    </row>
    <row r="247" spans="1:11" x14ac:dyDescent="0.25">
      <c r="A247" t="s">
        <v>239</v>
      </c>
      <c r="B247" t="s">
        <v>5699</v>
      </c>
      <c r="C247" t="s">
        <v>73</v>
      </c>
      <c r="D247" t="s">
        <v>194</v>
      </c>
      <c r="E247">
        <v>12</v>
      </c>
      <c r="F247">
        <v>33.58</v>
      </c>
      <c r="G247">
        <v>402.96</v>
      </c>
      <c r="H247" t="s">
        <v>183</v>
      </c>
      <c r="I247" t="str">
        <f>LEFT(E_invoice[[#This Row],[P.Code]],8)</f>
        <v>PSR0V25S</v>
      </c>
      <c r="J247" t="str">
        <f>VLOOKUP(E_invoice[[#This Row],[Customer]],$A$2:$B$44,2,0)</f>
        <v>BRIDGESTONE ASIA PACIFIC PTE. LTD</v>
      </c>
      <c r="K247" t="str">
        <f>E_invoice[[#This Row],[Customer]]</f>
        <v>355000A</v>
      </c>
    </row>
    <row r="248" spans="1:11" x14ac:dyDescent="0.25">
      <c r="A248" t="s">
        <v>239</v>
      </c>
      <c r="B248" t="s">
        <v>5699</v>
      </c>
      <c r="C248" t="s">
        <v>73</v>
      </c>
      <c r="D248" t="s">
        <v>214</v>
      </c>
      <c r="E248">
        <v>37</v>
      </c>
      <c r="F248">
        <v>46.11</v>
      </c>
      <c r="G248">
        <v>1706.07</v>
      </c>
      <c r="H248" t="s">
        <v>183</v>
      </c>
      <c r="I248" t="str">
        <f>LEFT(E_invoice[[#This Row],[P.Code]],8)</f>
        <v>PSR0V52D</v>
      </c>
      <c r="J248" t="str">
        <f>VLOOKUP(E_invoice[[#This Row],[Customer]],$A$2:$B$44,2,0)</f>
        <v>BRIDGESTONE ASIA PACIFIC PTE. LTD</v>
      </c>
      <c r="K248" t="str">
        <f>E_invoice[[#This Row],[Customer]]</f>
        <v>355000A</v>
      </c>
    </row>
    <row r="249" spans="1:11" x14ac:dyDescent="0.25">
      <c r="A249" t="s">
        <v>239</v>
      </c>
      <c r="B249" t="s">
        <v>5699</v>
      </c>
      <c r="C249" t="s">
        <v>73</v>
      </c>
      <c r="D249" t="s">
        <v>215</v>
      </c>
      <c r="E249">
        <v>21</v>
      </c>
      <c r="F249">
        <v>31.73</v>
      </c>
      <c r="G249">
        <v>666.33</v>
      </c>
      <c r="H249" t="s">
        <v>183</v>
      </c>
      <c r="I249" t="str">
        <f>LEFT(E_invoice[[#This Row],[P.Code]],8)</f>
        <v>PSR0V45D</v>
      </c>
      <c r="J249" t="str">
        <f>VLOOKUP(E_invoice[[#This Row],[Customer]],$A$2:$B$44,2,0)</f>
        <v>BRIDGESTONE ASIA PACIFIC PTE. LTD</v>
      </c>
      <c r="K249" t="str">
        <f>E_invoice[[#This Row],[Customer]]</f>
        <v>355000A</v>
      </c>
    </row>
    <row r="250" spans="1:11" x14ac:dyDescent="0.25">
      <c r="A250" t="s">
        <v>239</v>
      </c>
      <c r="B250" t="s">
        <v>5699</v>
      </c>
      <c r="C250" t="s">
        <v>73</v>
      </c>
      <c r="D250" t="s">
        <v>198</v>
      </c>
      <c r="E250">
        <v>38</v>
      </c>
      <c r="F250">
        <v>53.46</v>
      </c>
      <c r="G250">
        <v>2031.48</v>
      </c>
      <c r="H250" t="s">
        <v>183</v>
      </c>
      <c r="I250" t="str">
        <f>LEFT(E_invoice[[#This Row],[P.Code]],8)</f>
        <v>PSR0V22D</v>
      </c>
      <c r="J250" t="str">
        <f>VLOOKUP(E_invoice[[#This Row],[Customer]],$A$2:$B$44,2,0)</f>
        <v>BRIDGESTONE ASIA PACIFIC PTE. LTD</v>
      </c>
      <c r="K250" t="str">
        <f>E_invoice[[#This Row],[Customer]]</f>
        <v>355000A</v>
      </c>
    </row>
    <row r="251" spans="1:11" x14ac:dyDescent="0.25">
      <c r="A251" t="s">
        <v>239</v>
      </c>
      <c r="B251" t="s">
        <v>5699</v>
      </c>
      <c r="C251" t="s">
        <v>73</v>
      </c>
      <c r="D251" t="s">
        <v>213</v>
      </c>
      <c r="E251">
        <v>29</v>
      </c>
      <c r="F251">
        <v>54.94</v>
      </c>
      <c r="G251">
        <v>1593.26</v>
      </c>
      <c r="H251" t="s">
        <v>183</v>
      </c>
      <c r="I251" t="str">
        <f>LEFT(E_invoice[[#This Row],[P.Code]],8)</f>
        <v>PSR0V13D</v>
      </c>
      <c r="J251" t="str">
        <f>VLOOKUP(E_invoice[[#This Row],[Customer]],$A$2:$B$44,2,0)</f>
        <v>BRIDGESTONE ASIA PACIFIC PTE. LTD</v>
      </c>
      <c r="K251" t="str">
        <f>E_invoice[[#This Row],[Customer]]</f>
        <v>355000A</v>
      </c>
    </row>
    <row r="252" spans="1:11" x14ac:dyDescent="0.25">
      <c r="A252" t="s">
        <v>239</v>
      </c>
      <c r="B252" t="s">
        <v>5699</v>
      </c>
      <c r="C252" t="s">
        <v>73</v>
      </c>
      <c r="D252" t="s">
        <v>211</v>
      </c>
      <c r="E252">
        <v>24</v>
      </c>
      <c r="F252">
        <v>41.23</v>
      </c>
      <c r="G252">
        <v>989.52</v>
      </c>
      <c r="H252" t="s">
        <v>183</v>
      </c>
      <c r="I252" t="str">
        <f>LEFT(E_invoice[[#This Row],[P.Code]],8)</f>
        <v>PSR0V165</v>
      </c>
      <c r="J252" t="str">
        <f>VLOOKUP(E_invoice[[#This Row],[Customer]],$A$2:$B$44,2,0)</f>
        <v>BRIDGESTONE ASIA PACIFIC PTE. LTD</v>
      </c>
      <c r="K252" t="str">
        <f>E_invoice[[#This Row],[Customer]]</f>
        <v>355000A</v>
      </c>
    </row>
    <row r="253" spans="1:11" x14ac:dyDescent="0.25">
      <c r="A253" t="s">
        <v>239</v>
      </c>
      <c r="B253" t="s">
        <v>5699</v>
      </c>
      <c r="C253" t="s">
        <v>73</v>
      </c>
      <c r="D253" t="s">
        <v>193</v>
      </c>
      <c r="E253">
        <v>20</v>
      </c>
      <c r="F253">
        <v>52.15</v>
      </c>
      <c r="G253">
        <v>1043</v>
      </c>
      <c r="H253" t="s">
        <v>183</v>
      </c>
      <c r="I253" t="str">
        <f>LEFT(E_invoice[[#This Row],[P.Code]],8)</f>
        <v>PSR0V193</v>
      </c>
      <c r="J253" t="str">
        <f>VLOOKUP(E_invoice[[#This Row],[Customer]],$A$2:$B$44,2,0)</f>
        <v>BRIDGESTONE ASIA PACIFIC PTE. LTD</v>
      </c>
      <c r="K253" t="str">
        <f>E_invoice[[#This Row],[Customer]]</f>
        <v>355000A</v>
      </c>
    </row>
    <row r="254" spans="1:11" x14ac:dyDescent="0.25">
      <c r="A254" t="s">
        <v>239</v>
      </c>
      <c r="B254" t="s">
        <v>5699</v>
      </c>
      <c r="C254" t="s">
        <v>73</v>
      </c>
      <c r="D254" t="s">
        <v>233</v>
      </c>
      <c r="E254">
        <v>35</v>
      </c>
      <c r="F254">
        <v>44.87</v>
      </c>
      <c r="G254">
        <v>1570.45</v>
      </c>
      <c r="H254" t="s">
        <v>183</v>
      </c>
      <c r="I254" t="str">
        <f>LEFT(E_invoice[[#This Row],[P.Code]],8)</f>
        <v>PSR0V49D</v>
      </c>
      <c r="J254" t="str">
        <f>VLOOKUP(E_invoice[[#This Row],[Customer]],$A$2:$B$44,2,0)</f>
        <v>BRIDGESTONE ASIA PACIFIC PTE. LTD</v>
      </c>
      <c r="K254" t="str">
        <f>E_invoice[[#This Row],[Customer]]</f>
        <v>355000A</v>
      </c>
    </row>
    <row r="255" spans="1:11" x14ac:dyDescent="0.25">
      <c r="A255" t="s">
        <v>239</v>
      </c>
      <c r="B255" t="s">
        <v>5699</v>
      </c>
      <c r="C255" t="s">
        <v>73</v>
      </c>
      <c r="D255" t="s">
        <v>185</v>
      </c>
      <c r="E255">
        <v>43</v>
      </c>
      <c r="F255">
        <v>35.630000000000003</v>
      </c>
      <c r="G255">
        <v>1532.09</v>
      </c>
      <c r="H255" t="s">
        <v>183</v>
      </c>
      <c r="I255" t="str">
        <f>LEFT(E_invoice[[#This Row],[P.Code]],8)</f>
        <v>PSR0V05P</v>
      </c>
      <c r="J255" t="str">
        <f>VLOOKUP(E_invoice[[#This Row],[Customer]],$A$2:$B$44,2,0)</f>
        <v>BRIDGESTONE ASIA PACIFIC PTE. LTD</v>
      </c>
      <c r="K255" t="str">
        <f>E_invoice[[#This Row],[Customer]]</f>
        <v>355000A</v>
      </c>
    </row>
    <row r="256" spans="1:11" x14ac:dyDescent="0.25">
      <c r="A256" t="s">
        <v>239</v>
      </c>
      <c r="B256" t="s">
        <v>5699</v>
      </c>
      <c r="C256" t="s">
        <v>73</v>
      </c>
      <c r="D256" t="s">
        <v>190</v>
      </c>
      <c r="E256">
        <v>27</v>
      </c>
      <c r="F256">
        <v>56.73</v>
      </c>
      <c r="G256">
        <v>1531.71</v>
      </c>
      <c r="H256" t="s">
        <v>183</v>
      </c>
      <c r="I256" t="str">
        <f>LEFT(E_invoice[[#This Row],[P.Code]],8)</f>
        <v>PSR0V18D</v>
      </c>
      <c r="J256" t="str">
        <f>VLOOKUP(E_invoice[[#This Row],[Customer]],$A$2:$B$44,2,0)</f>
        <v>BRIDGESTONE ASIA PACIFIC PTE. LTD</v>
      </c>
      <c r="K256" t="str">
        <f>E_invoice[[#This Row],[Customer]]</f>
        <v>355000A</v>
      </c>
    </row>
    <row r="257" spans="1:11" x14ac:dyDescent="0.25">
      <c r="A257" t="s">
        <v>239</v>
      </c>
      <c r="B257" t="s">
        <v>5699</v>
      </c>
      <c r="C257" t="s">
        <v>73</v>
      </c>
      <c r="D257" t="s">
        <v>218</v>
      </c>
      <c r="E257">
        <v>4</v>
      </c>
      <c r="F257">
        <v>42.29</v>
      </c>
      <c r="G257">
        <v>169.16</v>
      </c>
      <c r="H257" t="s">
        <v>183</v>
      </c>
      <c r="I257" t="str">
        <f>LEFT(E_invoice[[#This Row],[P.Code]],8)</f>
        <v>PSR0V166</v>
      </c>
      <c r="J257" t="str">
        <f>VLOOKUP(E_invoice[[#This Row],[Customer]],$A$2:$B$44,2,0)</f>
        <v>BRIDGESTONE ASIA PACIFIC PTE. LTD</v>
      </c>
      <c r="K257" t="str">
        <f>E_invoice[[#This Row],[Customer]]</f>
        <v>355000A</v>
      </c>
    </row>
    <row r="258" spans="1:11" x14ac:dyDescent="0.25">
      <c r="A258" t="s">
        <v>239</v>
      </c>
      <c r="B258" t="s">
        <v>5699</v>
      </c>
      <c r="C258" t="s">
        <v>73</v>
      </c>
      <c r="D258" t="s">
        <v>224</v>
      </c>
      <c r="E258">
        <v>6</v>
      </c>
      <c r="F258">
        <v>53.69</v>
      </c>
      <c r="G258">
        <v>322.14</v>
      </c>
      <c r="H258" t="s">
        <v>183</v>
      </c>
      <c r="I258" t="str">
        <f>LEFT(E_invoice[[#This Row],[P.Code]],8)</f>
        <v>PSR0V187</v>
      </c>
      <c r="J258" t="str">
        <f>VLOOKUP(E_invoice[[#This Row],[Customer]],$A$2:$B$44,2,0)</f>
        <v>BRIDGESTONE ASIA PACIFIC PTE. LTD</v>
      </c>
      <c r="K258" t="str">
        <f>E_invoice[[#This Row],[Customer]]</f>
        <v>355000A</v>
      </c>
    </row>
    <row r="259" spans="1:11" x14ac:dyDescent="0.25">
      <c r="A259" t="s">
        <v>239</v>
      </c>
      <c r="B259" t="s">
        <v>5699</v>
      </c>
      <c r="C259" t="s">
        <v>73</v>
      </c>
      <c r="D259" t="s">
        <v>220</v>
      </c>
      <c r="E259">
        <v>61</v>
      </c>
      <c r="F259">
        <v>37.93</v>
      </c>
      <c r="G259">
        <v>2313.73</v>
      </c>
      <c r="H259" t="s">
        <v>183</v>
      </c>
      <c r="I259" t="str">
        <f>LEFT(E_invoice[[#This Row],[P.Code]],8)</f>
        <v>PSR0V46D</v>
      </c>
      <c r="J259" t="str">
        <f>VLOOKUP(E_invoice[[#This Row],[Customer]],$A$2:$B$44,2,0)</f>
        <v>BRIDGESTONE ASIA PACIFIC PTE. LTD</v>
      </c>
      <c r="K259" t="str">
        <f>E_invoice[[#This Row],[Customer]]</f>
        <v>355000A</v>
      </c>
    </row>
    <row r="260" spans="1:11" x14ac:dyDescent="0.25">
      <c r="A260" t="s">
        <v>239</v>
      </c>
      <c r="B260" t="s">
        <v>5699</v>
      </c>
      <c r="C260" t="s">
        <v>73</v>
      </c>
      <c r="D260" t="s">
        <v>262</v>
      </c>
      <c r="E260">
        <v>5</v>
      </c>
      <c r="F260">
        <v>49.35</v>
      </c>
      <c r="G260">
        <v>246.75</v>
      </c>
      <c r="H260" t="s">
        <v>183</v>
      </c>
      <c r="I260" t="str">
        <f>LEFT(E_invoice[[#This Row],[P.Code]],8)</f>
        <v>PSR0V267</v>
      </c>
      <c r="J260" t="str">
        <f>VLOOKUP(E_invoice[[#This Row],[Customer]],$A$2:$B$44,2,0)</f>
        <v>BRIDGESTONE ASIA PACIFIC PTE. LTD</v>
      </c>
      <c r="K260" t="str">
        <f>E_invoice[[#This Row],[Customer]]</f>
        <v>355000A</v>
      </c>
    </row>
    <row r="261" spans="1:11" x14ac:dyDescent="0.25">
      <c r="A261" t="s">
        <v>239</v>
      </c>
      <c r="B261" t="s">
        <v>5699</v>
      </c>
      <c r="C261" t="s">
        <v>73</v>
      </c>
      <c r="D261" t="s">
        <v>208</v>
      </c>
      <c r="E261">
        <v>32</v>
      </c>
      <c r="F261">
        <v>51.9</v>
      </c>
      <c r="G261">
        <v>1660.8</v>
      </c>
      <c r="H261" t="s">
        <v>183</v>
      </c>
      <c r="I261" t="str">
        <f>LEFT(E_invoice[[#This Row],[P.Code]],8)</f>
        <v>PSR0V186</v>
      </c>
      <c r="J261" t="str">
        <f>VLOOKUP(E_invoice[[#This Row],[Customer]],$A$2:$B$44,2,0)</f>
        <v>BRIDGESTONE ASIA PACIFIC PTE. LTD</v>
      </c>
      <c r="K261" t="str">
        <f>E_invoice[[#This Row],[Customer]]</f>
        <v>355000A</v>
      </c>
    </row>
    <row r="262" spans="1:11" x14ac:dyDescent="0.25">
      <c r="A262" t="s">
        <v>239</v>
      </c>
      <c r="B262" t="s">
        <v>5699</v>
      </c>
      <c r="C262" t="s">
        <v>73</v>
      </c>
      <c r="D262" t="s">
        <v>206</v>
      </c>
      <c r="E262">
        <v>27</v>
      </c>
      <c r="F262">
        <v>51.35</v>
      </c>
      <c r="G262">
        <v>1386.45</v>
      </c>
      <c r="H262" t="s">
        <v>183</v>
      </c>
      <c r="I262" t="str">
        <f>LEFT(E_invoice[[#This Row],[P.Code]],8)</f>
        <v>PSR0V16D</v>
      </c>
      <c r="J262" t="str">
        <f>VLOOKUP(E_invoice[[#This Row],[Customer]],$A$2:$B$44,2,0)</f>
        <v>BRIDGESTONE ASIA PACIFIC PTE. LTD</v>
      </c>
      <c r="K262" t="str">
        <f>E_invoice[[#This Row],[Customer]]</f>
        <v>355000A</v>
      </c>
    </row>
    <row r="263" spans="1:11" x14ac:dyDescent="0.25">
      <c r="A263" t="s">
        <v>239</v>
      </c>
      <c r="B263" t="s">
        <v>5699</v>
      </c>
      <c r="C263" t="s">
        <v>73</v>
      </c>
      <c r="D263" t="s">
        <v>246</v>
      </c>
      <c r="E263">
        <v>116</v>
      </c>
      <c r="F263">
        <v>41.6</v>
      </c>
      <c r="G263">
        <v>4825.6000000000004</v>
      </c>
      <c r="H263" t="s">
        <v>183</v>
      </c>
      <c r="I263" t="str">
        <f>LEFT(E_invoice[[#This Row],[P.Code]],8)</f>
        <v>PSR0V47D</v>
      </c>
      <c r="J263" t="str">
        <f>VLOOKUP(E_invoice[[#This Row],[Customer]],$A$2:$B$44,2,0)</f>
        <v>BRIDGESTONE ASIA PACIFIC PTE. LTD</v>
      </c>
      <c r="K263" t="str">
        <f>E_invoice[[#This Row],[Customer]]</f>
        <v>355000A</v>
      </c>
    </row>
    <row r="264" spans="1:11" x14ac:dyDescent="0.25">
      <c r="A264" t="s">
        <v>239</v>
      </c>
      <c r="B264" t="s">
        <v>5699</v>
      </c>
      <c r="C264" t="s">
        <v>73</v>
      </c>
      <c r="D264" t="s">
        <v>212</v>
      </c>
      <c r="E264">
        <v>173</v>
      </c>
      <c r="F264">
        <v>46.68</v>
      </c>
      <c r="G264">
        <v>8075.64</v>
      </c>
      <c r="H264" t="s">
        <v>183</v>
      </c>
      <c r="I264" t="str">
        <f>LEFT(E_invoice[[#This Row],[P.Code]],8)</f>
        <v>PSR0V174</v>
      </c>
      <c r="J264" t="str">
        <f>VLOOKUP(E_invoice[[#This Row],[Customer]],$A$2:$B$44,2,0)</f>
        <v>BRIDGESTONE ASIA PACIFIC PTE. LTD</v>
      </c>
      <c r="K264" t="str">
        <f>E_invoice[[#This Row],[Customer]]</f>
        <v>355000A</v>
      </c>
    </row>
    <row r="265" spans="1:11" x14ac:dyDescent="0.25">
      <c r="A265" t="s">
        <v>239</v>
      </c>
      <c r="B265" t="s">
        <v>5699</v>
      </c>
      <c r="C265" t="s">
        <v>73</v>
      </c>
      <c r="D265" t="s">
        <v>196</v>
      </c>
      <c r="E265">
        <v>4</v>
      </c>
      <c r="F265">
        <v>59.81</v>
      </c>
      <c r="G265">
        <v>239.24</v>
      </c>
      <c r="H265" t="s">
        <v>183</v>
      </c>
      <c r="I265" t="str">
        <f>LEFT(E_invoice[[#This Row],[P.Code]],8)</f>
        <v>PSR0V213</v>
      </c>
      <c r="J265" t="str">
        <f>VLOOKUP(E_invoice[[#This Row],[Customer]],$A$2:$B$44,2,0)</f>
        <v>BRIDGESTONE ASIA PACIFIC PTE. LTD</v>
      </c>
      <c r="K265" t="str">
        <f>E_invoice[[#This Row],[Customer]]</f>
        <v>355000A</v>
      </c>
    </row>
    <row r="266" spans="1:11" x14ac:dyDescent="0.25">
      <c r="A266" t="s">
        <v>239</v>
      </c>
      <c r="B266" t="s">
        <v>5699</v>
      </c>
      <c r="C266" t="s">
        <v>73</v>
      </c>
      <c r="D266" t="s">
        <v>245</v>
      </c>
      <c r="E266">
        <v>27</v>
      </c>
      <c r="F266">
        <v>61.68</v>
      </c>
      <c r="G266">
        <v>1665.36</v>
      </c>
      <c r="H266" t="s">
        <v>183</v>
      </c>
      <c r="I266" t="str">
        <f>LEFT(E_invoice[[#This Row],[P.Code]],8)</f>
        <v>PSR0V20D</v>
      </c>
      <c r="J266" t="str">
        <f>VLOOKUP(E_invoice[[#This Row],[Customer]],$A$2:$B$44,2,0)</f>
        <v>BRIDGESTONE ASIA PACIFIC PTE. LTD</v>
      </c>
      <c r="K266" t="str">
        <f>E_invoice[[#This Row],[Customer]]</f>
        <v>355000A</v>
      </c>
    </row>
    <row r="267" spans="1:11" x14ac:dyDescent="0.25">
      <c r="A267" t="s">
        <v>239</v>
      </c>
      <c r="B267" t="s">
        <v>5699</v>
      </c>
      <c r="C267" t="s">
        <v>73</v>
      </c>
      <c r="D267" t="s">
        <v>216</v>
      </c>
      <c r="E267">
        <v>23</v>
      </c>
      <c r="F267">
        <v>47.95</v>
      </c>
      <c r="G267">
        <v>1102.8499999999999</v>
      </c>
      <c r="H267" t="s">
        <v>183</v>
      </c>
      <c r="I267" t="str">
        <f>LEFT(E_invoice[[#This Row],[P.Code]],8)</f>
        <v>PSR0V07S</v>
      </c>
      <c r="J267" t="str">
        <f>VLOOKUP(E_invoice[[#This Row],[Customer]],$A$2:$B$44,2,0)</f>
        <v>BRIDGESTONE ASIA PACIFIC PTE. LTD</v>
      </c>
      <c r="K267" t="str">
        <f>E_invoice[[#This Row],[Customer]]</f>
        <v>355000A</v>
      </c>
    </row>
    <row r="268" spans="1:11" x14ac:dyDescent="0.25">
      <c r="A268" t="s">
        <v>239</v>
      </c>
      <c r="B268" t="s">
        <v>5699</v>
      </c>
      <c r="C268" t="s">
        <v>73</v>
      </c>
      <c r="D268" t="s">
        <v>189</v>
      </c>
      <c r="E268">
        <v>8</v>
      </c>
      <c r="F268">
        <v>44.99</v>
      </c>
      <c r="G268">
        <v>359.92</v>
      </c>
      <c r="H268" t="s">
        <v>183</v>
      </c>
      <c r="I268" t="str">
        <f>LEFT(E_invoice[[#This Row],[P.Code]],8)</f>
        <v>PSR0V48D</v>
      </c>
      <c r="J268" t="str">
        <f>VLOOKUP(E_invoice[[#This Row],[Customer]],$A$2:$B$44,2,0)</f>
        <v>BRIDGESTONE ASIA PACIFIC PTE. LTD</v>
      </c>
      <c r="K268" t="str">
        <f>E_invoice[[#This Row],[Customer]]</f>
        <v>355000A</v>
      </c>
    </row>
    <row r="269" spans="1:11" x14ac:dyDescent="0.25">
      <c r="A269" t="s">
        <v>239</v>
      </c>
      <c r="B269" t="s">
        <v>5699</v>
      </c>
      <c r="C269" t="s">
        <v>73</v>
      </c>
      <c r="D269" t="s">
        <v>204</v>
      </c>
      <c r="E269">
        <v>127</v>
      </c>
      <c r="F269">
        <v>51.27</v>
      </c>
      <c r="G269">
        <v>6511.29</v>
      </c>
      <c r="H269" t="s">
        <v>183</v>
      </c>
      <c r="I269" t="str">
        <f>LEFT(E_invoice[[#This Row],[P.Code]],8)</f>
        <v>PSR0V169</v>
      </c>
      <c r="J269" t="str">
        <f>VLOOKUP(E_invoice[[#This Row],[Customer]],$A$2:$B$44,2,0)</f>
        <v>BRIDGESTONE ASIA PACIFIC PTE. LTD</v>
      </c>
      <c r="K269" t="str">
        <f>E_invoice[[#This Row],[Customer]]</f>
        <v>355000A</v>
      </c>
    </row>
    <row r="270" spans="1:11" x14ac:dyDescent="0.25">
      <c r="A270" t="s">
        <v>239</v>
      </c>
      <c r="B270" t="s">
        <v>5699</v>
      </c>
      <c r="C270" t="s">
        <v>73</v>
      </c>
      <c r="D270" t="s">
        <v>246</v>
      </c>
      <c r="E270">
        <v>46</v>
      </c>
      <c r="F270">
        <v>41.6</v>
      </c>
      <c r="G270">
        <v>1913.6</v>
      </c>
      <c r="H270" t="s">
        <v>183</v>
      </c>
      <c r="I270" t="str">
        <f>LEFT(E_invoice[[#This Row],[P.Code]],8)</f>
        <v>PSR0V47D</v>
      </c>
      <c r="J270" t="str">
        <f>VLOOKUP(E_invoice[[#This Row],[Customer]],$A$2:$B$44,2,0)</f>
        <v>BRIDGESTONE ASIA PACIFIC PTE. LTD</v>
      </c>
      <c r="K270" t="str">
        <f>E_invoice[[#This Row],[Customer]]</f>
        <v>355000A</v>
      </c>
    </row>
    <row r="271" spans="1:11" x14ac:dyDescent="0.25">
      <c r="A271" t="s">
        <v>239</v>
      </c>
      <c r="B271" t="s">
        <v>5699</v>
      </c>
      <c r="C271" t="s">
        <v>73</v>
      </c>
      <c r="D271" t="s">
        <v>260</v>
      </c>
      <c r="E271">
        <v>523</v>
      </c>
      <c r="F271">
        <v>51.99</v>
      </c>
      <c r="G271">
        <v>27190.77</v>
      </c>
      <c r="H271" t="s">
        <v>183</v>
      </c>
      <c r="I271" t="str">
        <f>LEFT(E_invoice[[#This Row],[P.Code]],8)</f>
        <v>PSR0V265</v>
      </c>
      <c r="J271" t="str">
        <f>VLOOKUP(E_invoice[[#This Row],[Customer]],$A$2:$B$44,2,0)</f>
        <v>BRIDGESTONE ASIA PACIFIC PTE. LTD</v>
      </c>
      <c r="K271" t="str">
        <f>E_invoice[[#This Row],[Customer]]</f>
        <v>355000A</v>
      </c>
    </row>
    <row r="272" spans="1:11" x14ac:dyDescent="0.25">
      <c r="A272" t="s">
        <v>239</v>
      </c>
      <c r="B272" t="s">
        <v>5700</v>
      </c>
      <c r="C272" t="s">
        <v>235</v>
      </c>
      <c r="D272" t="s">
        <v>263</v>
      </c>
      <c r="E272">
        <v>57</v>
      </c>
      <c r="F272">
        <v>778000</v>
      </c>
      <c r="G272">
        <v>44346000</v>
      </c>
      <c r="H272" t="s">
        <v>130</v>
      </c>
      <c r="I272" t="str">
        <f>LEFT(E_invoice[[#This Row],[P.Code]],8)</f>
        <v>PSR0V190</v>
      </c>
      <c r="J272" t="str">
        <f>VLOOKUP(E_invoice[[#This Row],[Customer]],$A$2:$B$44,2,0)</f>
        <v>Bridgestone Tire Sale Viet Nam LLC</v>
      </c>
      <c r="K272" t="str">
        <f>E_invoice[[#This Row],[Customer]]</f>
        <v>355001A</v>
      </c>
    </row>
    <row r="273" spans="1:11" x14ac:dyDescent="0.25">
      <c r="A273" t="s">
        <v>239</v>
      </c>
      <c r="B273" t="s">
        <v>5700</v>
      </c>
      <c r="C273" t="s">
        <v>235</v>
      </c>
      <c r="D273" t="s">
        <v>259</v>
      </c>
      <c r="E273">
        <v>80</v>
      </c>
      <c r="F273">
        <v>2143000</v>
      </c>
      <c r="G273">
        <v>171440000</v>
      </c>
      <c r="H273" t="s">
        <v>130</v>
      </c>
      <c r="I273" t="str">
        <f>LEFT(E_invoice[[#This Row],[P.Code]],8)</f>
        <v>PSR0V225</v>
      </c>
      <c r="J273" t="str">
        <f>VLOOKUP(E_invoice[[#This Row],[Customer]],$A$2:$B$44,2,0)</f>
        <v>Bridgestone Tire Sale Viet Nam LLC</v>
      </c>
      <c r="K273" t="str">
        <f>E_invoice[[#This Row],[Customer]]</f>
        <v>355001A</v>
      </c>
    </row>
    <row r="274" spans="1:11" x14ac:dyDescent="0.25">
      <c r="A274" t="s">
        <v>239</v>
      </c>
      <c r="B274" t="s">
        <v>5700</v>
      </c>
      <c r="C274" t="s">
        <v>235</v>
      </c>
      <c r="D274" t="s">
        <v>263</v>
      </c>
      <c r="E274">
        <v>80</v>
      </c>
      <c r="F274">
        <v>778000</v>
      </c>
      <c r="G274">
        <v>62240000</v>
      </c>
      <c r="H274" t="s">
        <v>130</v>
      </c>
      <c r="I274" t="str">
        <f>LEFT(E_invoice[[#This Row],[P.Code]],8)</f>
        <v>PSR0V190</v>
      </c>
      <c r="J274" t="str">
        <f>VLOOKUP(E_invoice[[#This Row],[Customer]],$A$2:$B$44,2,0)</f>
        <v>Bridgestone Tire Sale Viet Nam LLC</v>
      </c>
      <c r="K274" t="str">
        <f>E_invoice[[#This Row],[Customer]]</f>
        <v>355001A</v>
      </c>
    </row>
    <row r="275" spans="1:11" x14ac:dyDescent="0.25">
      <c r="A275" t="s">
        <v>239</v>
      </c>
      <c r="B275" t="s">
        <v>5700</v>
      </c>
      <c r="C275" t="s">
        <v>235</v>
      </c>
      <c r="D275" t="s">
        <v>251</v>
      </c>
      <c r="E275">
        <v>100</v>
      </c>
      <c r="F275">
        <v>729000</v>
      </c>
      <c r="G275">
        <v>72900000</v>
      </c>
      <c r="H275" t="s">
        <v>130</v>
      </c>
      <c r="I275" t="str">
        <f>LEFT(E_invoice[[#This Row],[P.Code]],8)</f>
        <v>PSR0V194</v>
      </c>
      <c r="J275" t="str">
        <f>VLOOKUP(E_invoice[[#This Row],[Customer]],$A$2:$B$44,2,0)</f>
        <v>Bridgestone Tire Sale Viet Nam LLC</v>
      </c>
      <c r="K275" t="str">
        <f>E_invoice[[#This Row],[Customer]]</f>
        <v>355001A</v>
      </c>
    </row>
    <row r="276" spans="1:11" x14ac:dyDescent="0.25">
      <c r="A276" t="s">
        <v>239</v>
      </c>
      <c r="B276" t="s">
        <v>5700</v>
      </c>
      <c r="C276" t="s">
        <v>235</v>
      </c>
      <c r="D276" t="s">
        <v>257</v>
      </c>
      <c r="E276">
        <v>320</v>
      </c>
      <c r="F276">
        <v>1257000</v>
      </c>
      <c r="G276">
        <v>402240000</v>
      </c>
      <c r="H276" t="s">
        <v>130</v>
      </c>
      <c r="I276" t="str">
        <f>LEFT(E_invoice[[#This Row],[P.Code]],8)</f>
        <v>PSR0V126</v>
      </c>
      <c r="J276" t="str">
        <f>VLOOKUP(E_invoice[[#This Row],[Customer]],$A$2:$B$44,2,0)</f>
        <v>Bridgestone Tire Sale Viet Nam LLC</v>
      </c>
      <c r="K276" t="str">
        <f>E_invoice[[#This Row],[Customer]]</f>
        <v>355001A</v>
      </c>
    </row>
    <row r="277" spans="1:11" x14ac:dyDescent="0.25">
      <c r="A277" t="s">
        <v>239</v>
      </c>
      <c r="B277" t="s">
        <v>5700</v>
      </c>
      <c r="C277" t="s">
        <v>235</v>
      </c>
      <c r="D277" t="s">
        <v>263</v>
      </c>
      <c r="E277">
        <v>50</v>
      </c>
      <c r="F277">
        <v>778000</v>
      </c>
      <c r="G277">
        <v>38900000</v>
      </c>
      <c r="H277" t="s">
        <v>130</v>
      </c>
      <c r="I277" t="str">
        <f>LEFT(E_invoice[[#This Row],[P.Code]],8)</f>
        <v>PSR0V190</v>
      </c>
      <c r="J277" t="str">
        <f>VLOOKUP(E_invoice[[#This Row],[Customer]],$A$2:$B$44,2,0)</f>
        <v>Bridgestone Tire Sale Viet Nam LLC</v>
      </c>
      <c r="K277" t="str">
        <f>E_invoice[[#This Row],[Customer]]</f>
        <v>355001A</v>
      </c>
    </row>
    <row r="278" spans="1:11" x14ac:dyDescent="0.25">
      <c r="A278" t="s">
        <v>239</v>
      </c>
      <c r="B278" t="s">
        <v>5700</v>
      </c>
      <c r="C278" t="s">
        <v>235</v>
      </c>
      <c r="D278" t="s">
        <v>257</v>
      </c>
      <c r="E278">
        <v>105</v>
      </c>
      <c r="F278">
        <v>1257000</v>
      </c>
      <c r="G278">
        <v>131985000</v>
      </c>
      <c r="H278" t="s">
        <v>130</v>
      </c>
      <c r="I278" t="str">
        <f>LEFT(E_invoice[[#This Row],[P.Code]],8)</f>
        <v>PSR0V126</v>
      </c>
      <c r="J278" t="str">
        <f>VLOOKUP(E_invoice[[#This Row],[Customer]],$A$2:$B$44,2,0)</f>
        <v>Bridgestone Tire Sale Viet Nam LLC</v>
      </c>
      <c r="K278" t="str">
        <f>E_invoice[[#This Row],[Customer]]</f>
        <v>355001A</v>
      </c>
    </row>
    <row r="279" spans="1:11" x14ac:dyDescent="0.25">
      <c r="A279" t="s">
        <v>239</v>
      </c>
      <c r="B279" t="s">
        <v>5701</v>
      </c>
      <c r="C279" t="s">
        <v>235</v>
      </c>
      <c r="D279" t="s">
        <v>253</v>
      </c>
      <c r="E279">
        <v>156</v>
      </c>
      <c r="F279">
        <v>966000</v>
      </c>
      <c r="G279">
        <v>150696000</v>
      </c>
      <c r="H279" t="s">
        <v>130</v>
      </c>
      <c r="I279" t="str">
        <f>LEFT(E_invoice[[#This Row],[P.Code]],8)</f>
        <v>PSR0V248</v>
      </c>
      <c r="J279" t="str">
        <f>VLOOKUP(E_invoice[[#This Row],[Customer]],$A$2:$B$44,2,0)</f>
        <v>Bridgestone Tire Sale Viet Nam LLC</v>
      </c>
      <c r="K279" t="str">
        <f>E_invoice[[#This Row],[Customer]]</f>
        <v>355001A</v>
      </c>
    </row>
    <row r="280" spans="1:11" x14ac:dyDescent="0.25">
      <c r="A280" t="s">
        <v>239</v>
      </c>
      <c r="B280" t="s">
        <v>5701</v>
      </c>
      <c r="C280" t="s">
        <v>235</v>
      </c>
      <c r="D280" t="s">
        <v>253</v>
      </c>
      <c r="E280">
        <v>600</v>
      </c>
      <c r="F280">
        <v>966000</v>
      </c>
      <c r="G280">
        <v>579600000</v>
      </c>
      <c r="H280" t="s">
        <v>130</v>
      </c>
      <c r="I280" t="str">
        <f>LEFT(E_invoice[[#This Row],[P.Code]],8)</f>
        <v>PSR0V248</v>
      </c>
      <c r="J280" t="str">
        <f>VLOOKUP(E_invoice[[#This Row],[Customer]],$A$2:$B$44,2,0)</f>
        <v>Bridgestone Tire Sale Viet Nam LLC</v>
      </c>
      <c r="K280" t="str">
        <f>E_invoice[[#This Row],[Customer]]</f>
        <v>355001A</v>
      </c>
    </row>
    <row r="281" spans="1:11" x14ac:dyDescent="0.25">
      <c r="A281" t="s">
        <v>239</v>
      </c>
      <c r="B281" t="s">
        <v>5702</v>
      </c>
      <c r="C281" t="s">
        <v>73</v>
      </c>
      <c r="D281" t="s">
        <v>194</v>
      </c>
      <c r="E281">
        <v>1</v>
      </c>
      <c r="F281">
        <v>33.58</v>
      </c>
      <c r="G281">
        <v>33.58</v>
      </c>
      <c r="H281" t="s">
        <v>231</v>
      </c>
      <c r="I281" t="str">
        <f>LEFT(E_invoice[[#This Row],[P.Code]],8)</f>
        <v>PSR0V25S</v>
      </c>
      <c r="J281" t="str">
        <f>VLOOKUP(E_invoice[[#This Row],[Customer]],$A$2:$B$44,2,0)</f>
        <v>BRIDGESTONE ASIA PACIFIC PTE. LTD</v>
      </c>
      <c r="K281" t="str">
        <f>E_invoice[[#This Row],[Customer]]</f>
        <v>355000A</v>
      </c>
    </row>
    <row r="282" spans="1:11" x14ac:dyDescent="0.25">
      <c r="A282" t="s">
        <v>239</v>
      </c>
      <c r="B282" t="s">
        <v>5702</v>
      </c>
      <c r="C282" t="s">
        <v>73</v>
      </c>
      <c r="D282" t="s">
        <v>190</v>
      </c>
      <c r="E282">
        <v>3</v>
      </c>
      <c r="F282">
        <v>56.73</v>
      </c>
      <c r="G282">
        <v>170.19</v>
      </c>
      <c r="H282" t="s">
        <v>231</v>
      </c>
      <c r="I282" t="str">
        <f>LEFT(E_invoice[[#This Row],[P.Code]],8)</f>
        <v>PSR0V18D</v>
      </c>
      <c r="J282" t="str">
        <f>VLOOKUP(E_invoice[[#This Row],[Customer]],$A$2:$B$44,2,0)</f>
        <v>BRIDGESTONE ASIA PACIFIC PTE. LTD</v>
      </c>
      <c r="K282" t="str">
        <f>E_invoice[[#This Row],[Customer]]</f>
        <v>355000A</v>
      </c>
    </row>
    <row r="283" spans="1:11" x14ac:dyDescent="0.25">
      <c r="A283" t="s">
        <v>239</v>
      </c>
      <c r="B283" t="s">
        <v>5702</v>
      </c>
      <c r="C283" t="s">
        <v>73</v>
      </c>
      <c r="D283" t="s">
        <v>182</v>
      </c>
      <c r="E283">
        <v>8</v>
      </c>
      <c r="F283">
        <v>65.459999999999994</v>
      </c>
      <c r="G283">
        <v>523.67999999999995</v>
      </c>
      <c r="H283" t="s">
        <v>231</v>
      </c>
      <c r="I283" t="str">
        <f>LEFT(E_invoice[[#This Row],[P.Code]],8)</f>
        <v>PSR0V42D</v>
      </c>
      <c r="J283" t="str">
        <f>VLOOKUP(E_invoice[[#This Row],[Customer]],$A$2:$B$44,2,0)</f>
        <v>BRIDGESTONE ASIA PACIFIC PTE. LTD</v>
      </c>
      <c r="K283" t="str">
        <f>E_invoice[[#This Row],[Customer]]</f>
        <v>355000A</v>
      </c>
    </row>
    <row r="284" spans="1:11" x14ac:dyDescent="0.25">
      <c r="A284" t="s">
        <v>239</v>
      </c>
      <c r="B284" t="s">
        <v>5702</v>
      </c>
      <c r="C284" t="s">
        <v>73</v>
      </c>
      <c r="D284" t="s">
        <v>250</v>
      </c>
      <c r="E284">
        <v>130</v>
      </c>
      <c r="F284">
        <v>39.020000000000003</v>
      </c>
      <c r="G284">
        <v>5072.6000000000004</v>
      </c>
      <c r="H284" t="s">
        <v>231</v>
      </c>
      <c r="I284" t="str">
        <f>LEFT(E_invoice[[#This Row],[P.Code]],8)</f>
        <v>PSR0V04S</v>
      </c>
      <c r="J284" t="str">
        <f>VLOOKUP(E_invoice[[#This Row],[Customer]],$A$2:$B$44,2,0)</f>
        <v>BRIDGESTONE ASIA PACIFIC PTE. LTD</v>
      </c>
      <c r="K284" t="str">
        <f>E_invoice[[#This Row],[Customer]]</f>
        <v>355000A</v>
      </c>
    </row>
    <row r="285" spans="1:11" x14ac:dyDescent="0.25">
      <c r="A285" t="s">
        <v>239</v>
      </c>
      <c r="B285" t="s">
        <v>5702</v>
      </c>
      <c r="C285" t="s">
        <v>73</v>
      </c>
      <c r="D285" t="s">
        <v>215</v>
      </c>
      <c r="E285">
        <v>140</v>
      </c>
      <c r="F285">
        <v>31.73</v>
      </c>
      <c r="G285">
        <v>4442.2</v>
      </c>
      <c r="H285" t="s">
        <v>231</v>
      </c>
      <c r="I285" t="str">
        <f>LEFT(E_invoice[[#This Row],[P.Code]],8)</f>
        <v>PSR0V45D</v>
      </c>
      <c r="J285" t="str">
        <f>VLOOKUP(E_invoice[[#This Row],[Customer]],$A$2:$B$44,2,0)</f>
        <v>BRIDGESTONE ASIA PACIFIC PTE. LTD</v>
      </c>
      <c r="K285" t="str">
        <f>E_invoice[[#This Row],[Customer]]</f>
        <v>355000A</v>
      </c>
    </row>
    <row r="286" spans="1:11" x14ac:dyDescent="0.25">
      <c r="A286" t="s">
        <v>239</v>
      </c>
      <c r="B286" t="s">
        <v>5702</v>
      </c>
      <c r="C286" t="s">
        <v>73</v>
      </c>
      <c r="D286" t="s">
        <v>213</v>
      </c>
      <c r="E286">
        <v>160</v>
      </c>
      <c r="F286">
        <v>54.94</v>
      </c>
      <c r="G286">
        <v>8790.4</v>
      </c>
      <c r="H286" t="s">
        <v>231</v>
      </c>
      <c r="I286" t="str">
        <f>LEFT(E_invoice[[#This Row],[P.Code]],8)</f>
        <v>PSR0V13D</v>
      </c>
      <c r="J286" t="str">
        <f>VLOOKUP(E_invoice[[#This Row],[Customer]],$A$2:$B$44,2,0)</f>
        <v>BRIDGESTONE ASIA PACIFIC PTE. LTD</v>
      </c>
      <c r="K286" t="str">
        <f>E_invoice[[#This Row],[Customer]]</f>
        <v>355000A</v>
      </c>
    </row>
    <row r="287" spans="1:11" x14ac:dyDescent="0.25">
      <c r="A287" t="s">
        <v>239</v>
      </c>
      <c r="B287" t="s">
        <v>5702</v>
      </c>
      <c r="C287" t="s">
        <v>73</v>
      </c>
      <c r="D287" t="s">
        <v>191</v>
      </c>
      <c r="E287">
        <v>35</v>
      </c>
      <c r="F287">
        <v>34.130000000000003</v>
      </c>
      <c r="G287">
        <v>1194.55</v>
      </c>
      <c r="H287" t="s">
        <v>231</v>
      </c>
      <c r="I287" t="str">
        <f>LEFT(E_invoice[[#This Row],[P.Code]],8)</f>
        <v>PSR0V01S</v>
      </c>
      <c r="J287" t="str">
        <f>VLOOKUP(E_invoice[[#This Row],[Customer]],$A$2:$B$44,2,0)</f>
        <v>BRIDGESTONE ASIA PACIFIC PTE. LTD</v>
      </c>
      <c r="K287" t="str">
        <f>E_invoice[[#This Row],[Customer]]</f>
        <v>355000A</v>
      </c>
    </row>
    <row r="288" spans="1:11" x14ac:dyDescent="0.25">
      <c r="A288" t="s">
        <v>239</v>
      </c>
      <c r="B288" t="s">
        <v>5702</v>
      </c>
      <c r="C288" t="s">
        <v>73</v>
      </c>
      <c r="D288" t="s">
        <v>190</v>
      </c>
      <c r="E288">
        <v>28</v>
      </c>
      <c r="F288">
        <v>56.73</v>
      </c>
      <c r="G288">
        <v>1588.44</v>
      </c>
      <c r="H288" t="s">
        <v>231</v>
      </c>
      <c r="I288" t="str">
        <f>LEFT(E_invoice[[#This Row],[P.Code]],8)</f>
        <v>PSR0V18D</v>
      </c>
      <c r="J288" t="str">
        <f>VLOOKUP(E_invoice[[#This Row],[Customer]],$A$2:$B$44,2,0)</f>
        <v>BRIDGESTONE ASIA PACIFIC PTE. LTD</v>
      </c>
      <c r="K288" t="str">
        <f>E_invoice[[#This Row],[Customer]]</f>
        <v>355000A</v>
      </c>
    </row>
    <row r="289" spans="1:11" x14ac:dyDescent="0.25">
      <c r="A289" t="s">
        <v>239</v>
      </c>
      <c r="B289" t="s">
        <v>5702</v>
      </c>
      <c r="C289" t="s">
        <v>73</v>
      </c>
      <c r="D289" t="s">
        <v>194</v>
      </c>
      <c r="E289">
        <v>62</v>
      </c>
      <c r="F289">
        <v>33.58</v>
      </c>
      <c r="G289">
        <v>2081.96</v>
      </c>
      <c r="H289" t="s">
        <v>231</v>
      </c>
      <c r="I289" t="str">
        <f>LEFT(E_invoice[[#This Row],[P.Code]],8)</f>
        <v>PSR0V25S</v>
      </c>
      <c r="J289" t="str">
        <f>VLOOKUP(E_invoice[[#This Row],[Customer]],$A$2:$B$44,2,0)</f>
        <v>BRIDGESTONE ASIA PACIFIC PTE. LTD</v>
      </c>
      <c r="K289" t="str">
        <f>E_invoice[[#This Row],[Customer]]</f>
        <v>355000A</v>
      </c>
    </row>
    <row r="290" spans="1:11" x14ac:dyDescent="0.25">
      <c r="A290" t="s">
        <v>239</v>
      </c>
      <c r="B290" t="s">
        <v>5702</v>
      </c>
      <c r="C290" t="s">
        <v>73</v>
      </c>
      <c r="D290" t="s">
        <v>221</v>
      </c>
      <c r="E290">
        <v>1</v>
      </c>
      <c r="F290">
        <v>60.54</v>
      </c>
      <c r="G290">
        <v>60.54</v>
      </c>
      <c r="H290" t="s">
        <v>231</v>
      </c>
      <c r="I290" t="str">
        <f>LEFT(E_invoice[[#This Row],[P.Code]],8)</f>
        <v>PSR0V43D</v>
      </c>
      <c r="J290" t="str">
        <f>VLOOKUP(E_invoice[[#This Row],[Customer]],$A$2:$B$44,2,0)</f>
        <v>BRIDGESTONE ASIA PACIFIC PTE. LTD</v>
      </c>
      <c r="K290" t="str">
        <f>E_invoice[[#This Row],[Customer]]</f>
        <v>355000A</v>
      </c>
    </row>
    <row r="291" spans="1:11" x14ac:dyDescent="0.25">
      <c r="A291" t="s">
        <v>239</v>
      </c>
      <c r="B291" t="s">
        <v>5702</v>
      </c>
      <c r="C291" t="s">
        <v>73</v>
      </c>
      <c r="D291" t="s">
        <v>219</v>
      </c>
      <c r="E291">
        <v>70</v>
      </c>
      <c r="F291">
        <v>35.93</v>
      </c>
      <c r="G291">
        <v>2515.1</v>
      </c>
      <c r="H291" t="s">
        <v>231</v>
      </c>
      <c r="I291" t="str">
        <f>LEFT(E_invoice[[#This Row],[P.Code]],8)</f>
        <v>PSR0V03S</v>
      </c>
      <c r="J291" t="str">
        <f>VLOOKUP(E_invoice[[#This Row],[Customer]],$A$2:$B$44,2,0)</f>
        <v>BRIDGESTONE ASIA PACIFIC PTE. LTD</v>
      </c>
      <c r="K291" t="str">
        <f>E_invoice[[#This Row],[Customer]]</f>
        <v>355000A</v>
      </c>
    </row>
    <row r="292" spans="1:11" x14ac:dyDescent="0.25">
      <c r="A292" t="s">
        <v>239</v>
      </c>
      <c r="B292" t="s">
        <v>5702</v>
      </c>
      <c r="C292" t="s">
        <v>73</v>
      </c>
      <c r="D292" t="s">
        <v>195</v>
      </c>
      <c r="E292">
        <v>388</v>
      </c>
      <c r="F292">
        <v>39.51</v>
      </c>
      <c r="G292">
        <v>15329.88</v>
      </c>
      <c r="H292" t="s">
        <v>231</v>
      </c>
      <c r="I292" t="str">
        <f>LEFT(E_invoice[[#This Row],[P.Code]],8)</f>
        <v>PSR0V05S</v>
      </c>
      <c r="J292" t="str">
        <f>VLOOKUP(E_invoice[[#This Row],[Customer]],$A$2:$B$44,2,0)</f>
        <v>BRIDGESTONE ASIA PACIFIC PTE. LTD</v>
      </c>
      <c r="K292" t="str">
        <f>E_invoice[[#This Row],[Customer]]</f>
        <v>355000A</v>
      </c>
    </row>
    <row r="293" spans="1:11" x14ac:dyDescent="0.25">
      <c r="A293" t="s">
        <v>239</v>
      </c>
      <c r="B293" t="s">
        <v>5702</v>
      </c>
      <c r="C293" t="s">
        <v>73</v>
      </c>
      <c r="D293" t="s">
        <v>191</v>
      </c>
      <c r="E293">
        <v>86</v>
      </c>
      <c r="F293">
        <v>34.130000000000003</v>
      </c>
      <c r="G293">
        <v>2935.18</v>
      </c>
      <c r="H293" t="s">
        <v>231</v>
      </c>
      <c r="I293" t="str">
        <f>LEFT(E_invoice[[#This Row],[P.Code]],8)</f>
        <v>PSR0V01S</v>
      </c>
      <c r="J293" t="str">
        <f>VLOOKUP(E_invoice[[#This Row],[Customer]],$A$2:$B$44,2,0)</f>
        <v>BRIDGESTONE ASIA PACIFIC PTE. LTD</v>
      </c>
      <c r="K293" t="str">
        <f>E_invoice[[#This Row],[Customer]]</f>
        <v>355000A</v>
      </c>
    </row>
    <row r="294" spans="1:11" x14ac:dyDescent="0.25">
      <c r="A294" t="s">
        <v>239</v>
      </c>
      <c r="B294" t="s">
        <v>5702</v>
      </c>
      <c r="C294" t="s">
        <v>73</v>
      </c>
      <c r="D294" t="s">
        <v>262</v>
      </c>
      <c r="E294">
        <v>70</v>
      </c>
      <c r="F294">
        <v>49.35</v>
      </c>
      <c r="G294">
        <v>3454.5</v>
      </c>
      <c r="H294" t="s">
        <v>231</v>
      </c>
      <c r="I294" t="str">
        <f>LEFT(E_invoice[[#This Row],[P.Code]],8)</f>
        <v>PSR0V267</v>
      </c>
      <c r="J294" t="str">
        <f>VLOOKUP(E_invoice[[#This Row],[Customer]],$A$2:$B$44,2,0)</f>
        <v>BRIDGESTONE ASIA PACIFIC PTE. LTD</v>
      </c>
      <c r="K294" t="str">
        <f>E_invoice[[#This Row],[Customer]]</f>
        <v>355000A</v>
      </c>
    </row>
    <row r="295" spans="1:11" x14ac:dyDescent="0.25">
      <c r="A295" t="s">
        <v>239</v>
      </c>
      <c r="B295" t="s">
        <v>5702</v>
      </c>
      <c r="C295" t="s">
        <v>73</v>
      </c>
      <c r="D295" t="s">
        <v>196</v>
      </c>
      <c r="E295">
        <v>64</v>
      </c>
      <c r="F295">
        <v>59.81</v>
      </c>
      <c r="G295">
        <v>3827.84</v>
      </c>
      <c r="H295" t="s">
        <v>231</v>
      </c>
      <c r="I295" t="str">
        <f>LEFT(E_invoice[[#This Row],[P.Code]],8)</f>
        <v>PSR0V213</v>
      </c>
      <c r="J295" t="str">
        <f>VLOOKUP(E_invoice[[#This Row],[Customer]],$A$2:$B$44,2,0)</f>
        <v>BRIDGESTONE ASIA PACIFIC PTE. LTD</v>
      </c>
      <c r="K295" t="str">
        <f>E_invoice[[#This Row],[Customer]]</f>
        <v>355000A</v>
      </c>
    </row>
    <row r="296" spans="1:11" x14ac:dyDescent="0.25">
      <c r="A296" t="s">
        <v>239</v>
      </c>
      <c r="B296" t="s">
        <v>5702</v>
      </c>
      <c r="C296" t="s">
        <v>73</v>
      </c>
      <c r="D296" t="s">
        <v>216</v>
      </c>
      <c r="E296">
        <v>228</v>
      </c>
      <c r="F296">
        <v>47.95</v>
      </c>
      <c r="G296">
        <v>10932.6</v>
      </c>
      <c r="H296" t="s">
        <v>231</v>
      </c>
      <c r="I296" t="str">
        <f>LEFT(E_invoice[[#This Row],[P.Code]],8)</f>
        <v>PSR0V07S</v>
      </c>
      <c r="J296" t="str">
        <f>VLOOKUP(E_invoice[[#This Row],[Customer]],$A$2:$B$44,2,0)</f>
        <v>BRIDGESTONE ASIA PACIFIC PTE. LTD</v>
      </c>
      <c r="K296" t="str">
        <f>E_invoice[[#This Row],[Customer]]</f>
        <v>355000A</v>
      </c>
    </row>
    <row r="297" spans="1:11" x14ac:dyDescent="0.25">
      <c r="A297" t="s">
        <v>239</v>
      </c>
      <c r="B297" t="s">
        <v>5703</v>
      </c>
      <c r="C297" t="s">
        <v>70</v>
      </c>
      <c r="D297" t="s">
        <v>240</v>
      </c>
      <c r="E297">
        <v>1080</v>
      </c>
      <c r="F297">
        <v>39.36</v>
      </c>
      <c r="G297">
        <v>42508.800000000003</v>
      </c>
      <c r="H297" t="s">
        <v>237</v>
      </c>
      <c r="I297" t="str">
        <f>LEFT(E_invoice[[#This Row],[P.Code]],8)</f>
        <v>PSR0VH2F</v>
      </c>
      <c r="J297" t="str">
        <f>VLOOKUP(E_invoice[[#This Row],[Customer]],$A$2:$B$44,2,0)</f>
        <v>BRIDGESTONE CORPORATION</v>
      </c>
      <c r="K297" t="str">
        <f>E_invoice[[#This Row],[Customer]]</f>
        <v>100000A</v>
      </c>
    </row>
    <row r="298" spans="1:11" x14ac:dyDescent="0.25">
      <c r="A298" t="s">
        <v>239</v>
      </c>
      <c r="B298" t="s">
        <v>5704</v>
      </c>
      <c r="C298" t="s">
        <v>73</v>
      </c>
      <c r="D298" t="s">
        <v>209</v>
      </c>
      <c r="E298">
        <v>11</v>
      </c>
      <c r="F298">
        <v>62.87</v>
      </c>
      <c r="G298">
        <v>691.57</v>
      </c>
      <c r="H298" t="s">
        <v>183</v>
      </c>
      <c r="I298" t="str">
        <f>LEFT(E_invoice[[#This Row],[P.Code]],8)</f>
        <v>PSR0V21D</v>
      </c>
      <c r="J298" t="str">
        <f>VLOOKUP(E_invoice[[#This Row],[Customer]],$A$2:$B$44,2,0)</f>
        <v>BRIDGESTONE ASIA PACIFIC PTE. LTD</v>
      </c>
      <c r="K298" t="str">
        <f>E_invoice[[#This Row],[Customer]]</f>
        <v>355000A</v>
      </c>
    </row>
    <row r="299" spans="1:11" x14ac:dyDescent="0.25">
      <c r="A299" t="s">
        <v>239</v>
      </c>
      <c r="B299" t="s">
        <v>5704</v>
      </c>
      <c r="C299" t="s">
        <v>73</v>
      </c>
      <c r="D299" t="s">
        <v>184</v>
      </c>
      <c r="E299">
        <v>8</v>
      </c>
      <c r="F299">
        <v>49.89</v>
      </c>
      <c r="G299">
        <v>399.12</v>
      </c>
      <c r="H299" t="s">
        <v>183</v>
      </c>
      <c r="I299" t="str">
        <f>LEFT(E_invoice[[#This Row],[P.Code]],8)</f>
        <v>PSR0V11D</v>
      </c>
      <c r="J299" t="str">
        <f>VLOOKUP(E_invoice[[#This Row],[Customer]],$A$2:$B$44,2,0)</f>
        <v>BRIDGESTONE ASIA PACIFIC PTE. LTD</v>
      </c>
      <c r="K299" t="str">
        <f>E_invoice[[#This Row],[Customer]]</f>
        <v>355000A</v>
      </c>
    </row>
    <row r="300" spans="1:11" x14ac:dyDescent="0.25">
      <c r="A300" t="s">
        <v>239</v>
      </c>
      <c r="B300" t="s">
        <v>5704</v>
      </c>
      <c r="C300" t="s">
        <v>73</v>
      </c>
      <c r="D300" t="s">
        <v>191</v>
      </c>
      <c r="E300">
        <v>34</v>
      </c>
      <c r="F300">
        <v>34.130000000000003</v>
      </c>
      <c r="G300">
        <v>1160.42</v>
      </c>
      <c r="H300" t="s">
        <v>183</v>
      </c>
      <c r="I300" t="str">
        <f>LEFT(E_invoice[[#This Row],[P.Code]],8)</f>
        <v>PSR0V01S</v>
      </c>
      <c r="J300" t="str">
        <f>VLOOKUP(E_invoice[[#This Row],[Customer]],$A$2:$B$44,2,0)</f>
        <v>BRIDGESTONE ASIA PACIFIC PTE. LTD</v>
      </c>
      <c r="K300" t="str">
        <f>E_invoice[[#This Row],[Customer]]</f>
        <v>355000A</v>
      </c>
    </row>
    <row r="301" spans="1:11" x14ac:dyDescent="0.25">
      <c r="A301" t="s">
        <v>239</v>
      </c>
      <c r="B301" t="s">
        <v>5704</v>
      </c>
      <c r="C301" t="s">
        <v>73</v>
      </c>
      <c r="D301" t="s">
        <v>204</v>
      </c>
      <c r="E301">
        <v>149</v>
      </c>
      <c r="F301">
        <v>51.27</v>
      </c>
      <c r="G301">
        <v>7639.23</v>
      </c>
      <c r="H301" t="s">
        <v>183</v>
      </c>
      <c r="I301" t="str">
        <f>LEFT(E_invoice[[#This Row],[P.Code]],8)</f>
        <v>PSR0V169</v>
      </c>
      <c r="J301" t="str">
        <f>VLOOKUP(E_invoice[[#This Row],[Customer]],$A$2:$B$44,2,0)</f>
        <v>BRIDGESTONE ASIA PACIFIC PTE. LTD</v>
      </c>
      <c r="K301" t="str">
        <f>E_invoice[[#This Row],[Customer]]</f>
        <v>355000A</v>
      </c>
    </row>
    <row r="302" spans="1:11" x14ac:dyDescent="0.25">
      <c r="A302" t="s">
        <v>239</v>
      </c>
      <c r="B302" t="s">
        <v>5704</v>
      </c>
      <c r="C302" t="s">
        <v>73</v>
      </c>
      <c r="D302" t="s">
        <v>246</v>
      </c>
      <c r="E302">
        <v>18</v>
      </c>
      <c r="F302">
        <v>41.6</v>
      </c>
      <c r="G302">
        <v>748.8</v>
      </c>
      <c r="H302" t="s">
        <v>183</v>
      </c>
      <c r="I302" t="str">
        <f>LEFT(E_invoice[[#This Row],[P.Code]],8)</f>
        <v>PSR0V47D</v>
      </c>
      <c r="J302" t="str">
        <f>VLOOKUP(E_invoice[[#This Row],[Customer]],$A$2:$B$44,2,0)</f>
        <v>BRIDGESTONE ASIA PACIFIC PTE. LTD</v>
      </c>
      <c r="K302" t="str">
        <f>E_invoice[[#This Row],[Customer]]</f>
        <v>355000A</v>
      </c>
    </row>
    <row r="303" spans="1:11" x14ac:dyDescent="0.25">
      <c r="A303" t="s">
        <v>239</v>
      </c>
      <c r="B303" t="s">
        <v>5704</v>
      </c>
      <c r="C303" t="s">
        <v>73</v>
      </c>
      <c r="D303" t="s">
        <v>192</v>
      </c>
      <c r="E303">
        <v>23</v>
      </c>
      <c r="F303">
        <v>47.75</v>
      </c>
      <c r="G303">
        <v>1098.25</v>
      </c>
      <c r="H303" t="s">
        <v>183</v>
      </c>
      <c r="I303" t="str">
        <f>LEFT(E_invoice[[#This Row],[P.Code]],8)</f>
        <v>PSR0V15D</v>
      </c>
      <c r="J303" t="str">
        <f>VLOOKUP(E_invoice[[#This Row],[Customer]],$A$2:$B$44,2,0)</f>
        <v>BRIDGESTONE ASIA PACIFIC PTE. LTD</v>
      </c>
      <c r="K303" t="str">
        <f>E_invoice[[#This Row],[Customer]]</f>
        <v>355000A</v>
      </c>
    </row>
    <row r="304" spans="1:11" x14ac:dyDescent="0.25">
      <c r="A304" t="s">
        <v>239</v>
      </c>
      <c r="B304" t="s">
        <v>5704</v>
      </c>
      <c r="C304" t="s">
        <v>73</v>
      </c>
      <c r="D304" t="s">
        <v>220</v>
      </c>
      <c r="E304">
        <v>51</v>
      </c>
      <c r="F304">
        <v>37.93</v>
      </c>
      <c r="G304">
        <v>1934.43</v>
      </c>
      <c r="H304" t="s">
        <v>183</v>
      </c>
      <c r="I304" t="str">
        <f>LEFT(E_invoice[[#This Row],[P.Code]],8)</f>
        <v>PSR0V46D</v>
      </c>
      <c r="J304" t="str">
        <f>VLOOKUP(E_invoice[[#This Row],[Customer]],$A$2:$B$44,2,0)</f>
        <v>BRIDGESTONE ASIA PACIFIC PTE. LTD</v>
      </c>
      <c r="K304" t="str">
        <f>E_invoice[[#This Row],[Customer]]</f>
        <v>355000A</v>
      </c>
    </row>
    <row r="305" spans="1:11" x14ac:dyDescent="0.25">
      <c r="A305" t="s">
        <v>239</v>
      </c>
      <c r="B305" t="s">
        <v>5704</v>
      </c>
      <c r="C305" t="s">
        <v>73</v>
      </c>
      <c r="D305" t="s">
        <v>232</v>
      </c>
      <c r="E305">
        <v>8</v>
      </c>
      <c r="F305">
        <v>71.06</v>
      </c>
      <c r="G305">
        <v>568.48</v>
      </c>
      <c r="H305" t="s">
        <v>183</v>
      </c>
      <c r="I305" t="str">
        <f>LEFT(E_invoice[[#This Row],[P.Code]],8)</f>
        <v>PSR0V208</v>
      </c>
      <c r="J305" t="str">
        <f>VLOOKUP(E_invoice[[#This Row],[Customer]],$A$2:$B$44,2,0)</f>
        <v>BRIDGESTONE ASIA PACIFIC PTE. LTD</v>
      </c>
      <c r="K305" t="str">
        <f>E_invoice[[#This Row],[Customer]]</f>
        <v>355000A</v>
      </c>
    </row>
    <row r="306" spans="1:11" x14ac:dyDescent="0.25">
      <c r="A306" t="s">
        <v>239</v>
      </c>
      <c r="B306" t="s">
        <v>5704</v>
      </c>
      <c r="C306" t="s">
        <v>73</v>
      </c>
      <c r="D306" t="s">
        <v>213</v>
      </c>
      <c r="E306">
        <v>9</v>
      </c>
      <c r="F306">
        <v>54.94</v>
      </c>
      <c r="G306">
        <v>494.46</v>
      </c>
      <c r="H306" t="s">
        <v>183</v>
      </c>
      <c r="I306" t="str">
        <f>LEFT(E_invoice[[#This Row],[P.Code]],8)</f>
        <v>PSR0V13D</v>
      </c>
      <c r="J306" t="str">
        <f>VLOOKUP(E_invoice[[#This Row],[Customer]],$A$2:$B$44,2,0)</f>
        <v>BRIDGESTONE ASIA PACIFIC PTE. LTD</v>
      </c>
      <c r="K306" t="str">
        <f>E_invoice[[#This Row],[Customer]]</f>
        <v>355000A</v>
      </c>
    </row>
    <row r="307" spans="1:11" x14ac:dyDescent="0.25">
      <c r="A307" t="s">
        <v>239</v>
      </c>
      <c r="B307" t="s">
        <v>5704</v>
      </c>
      <c r="C307" t="s">
        <v>73</v>
      </c>
      <c r="D307" t="s">
        <v>189</v>
      </c>
      <c r="E307">
        <v>25</v>
      </c>
      <c r="F307">
        <v>44.99</v>
      </c>
      <c r="G307">
        <v>1124.75</v>
      </c>
      <c r="H307" t="s">
        <v>183</v>
      </c>
      <c r="I307" t="str">
        <f>LEFT(E_invoice[[#This Row],[P.Code]],8)</f>
        <v>PSR0V48D</v>
      </c>
      <c r="J307" t="str">
        <f>VLOOKUP(E_invoice[[#This Row],[Customer]],$A$2:$B$44,2,0)</f>
        <v>BRIDGESTONE ASIA PACIFIC PTE. LTD</v>
      </c>
      <c r="K307" t="str">
        <f>E_invoice[[#This Row],[Customer]]</f>
        <v>355000A</v>
      </c>
    </row>
    <row r="308" spans="1:11" x14ac:dyDescent="0.25">
      <c r="A308" t="s">
        <v>239</v>
      </c>
      <c r="B308" t="s">
        <v>5704</v>
      </c>
      <c r="C308" t="s">
        <v>73</v>
      </c>
      <c r="D308" t="s">
        <v>262</v>
      </c>
      <c r="E308">
        <v>159</v>
      </c>
      <c r="F308">
        <v>49.35</v>
      </c>
      <c r="G308">
        <v>7846.65</v>
      </c>
      <c r="H308" t="s">
        <v>183</v>
      </c>
      <c r="I308" t="str">
        <f>LEFT(E_invoice[[#This Row],[P.Code]],8)</f>
        <v>PSR0V267</v>
      </c>
      <c r="J308" t="str">
        <f>VLOOKUP(E_invoice[[#This Row],[Customer]],$A$2:$B$44,2,0)</f>
        <v>BRIDGESTONE ASIA PACIFIC PTE. LTD</v>
      </c>
      <c r="K308" t="str">
        <f>E_invoice[[#This Row],[Customer]]</f>
        <v>355000A</v>
      </c>
    </row>
    <row r="309" spans="1:11" x14ac:dyDescent="0.25">
      <c r="A309" t="s">
        <v>239</v>
      </c>
      <c r="B309" t="s">
        <v>5704</v>
      </c>
      <c r="C309" t="s">
        <v>73</v>
      </c>
      <c r="D309" t="s">
        <v>218</v>
      </c>
      <c r="E309">
        <v>80</v>
      </c>
      <c r="F309">
        <v>42.29</v>
      </c>
      <c r="G309">
        <v>3383.2</v>
      </c>
      <c r="H309" t="s">
        <v>183</v>
      </c>
      <c r="I309" t="str">
        <f>LEFT(E_invoice[[#This Row],[P.Code]],8)</f>
        <v>PSR0V166</v>
      </c>
      <c r="J309" t="str">
        <f>VLOOKUP(E_invoice[[#This Row],[Customer]],$A$2:$B$44,2,0)</f>
        <v>BRIDGESTONE ASIA PACIFIC PTE. LTD</v>
      </c>
      <c r="K309" t="str">
        <f>E_invoice[[#This Row],[Customer]]</f>
        <v>355000A</v>
      </c>
    </row>
    <row r="310" spans="1:11" x14ac:dyDescent="0.25">
      <c r="A310" t="s">
        <v>239</v>
      </c>
      <c r="B310" t="s">
        <v>5704</v>
      </c>
      <c r="C310" t="s">
        <v>73</v>
      </c>
      <c r="D310" t="s">
        <v>184</v>
      </c>
      <c r="E310">
        <v>8</v>
      </c>
      <c r="F310">
        <v>49.89</v>
      </c>
      <c r="G310">
        <v>399.12</v>
      </c>
      <c r="H310" t="s">
        <v>183</v>
      </c>
      <c r="I310" t="str">
        <f>LEFT(E_invoice[[#This Row],[P.Code]],8)</f>
        <v>PSR0V11D</v>
      </c>
      <c r="J310" t="str">
        <f>VLOOKUP(E_invoice[[#This Row],[Customer]],$A$2:$B$44,2,0)</f>
        <v>BRIDGESTONE ASIA PACIFIC PTE. LTD</v>
      </c>
      <c r="K310" t="str">
        <f>E_invoice[[#This Row],[Customer]]</f>
        <v>355000A</v>
      </c>
    </row>
    <row r="311" spans="1:11" x14ac:dyDescent="0.25">
      <c r="A311" t="s">
        <v>239</v>
      </c>
      <c r="B311" t="s">
        <v>5704</v>
      </c>
      <c r="C311" t="s">
        <v>73</v>
      </c>
      <c r="D311" t="s">
        <v>225</v>
      </c>
      <c r="E311">
        <v>68</v>
      </c>
      <c r="F311">
        <v>41.34</v>
      </c>
      <c r="G311">
        <v>2811.12</v>
      </c>
      <c r="H311" t="s">
        <v>183</v>
      </c>
      <c r="I311" t="str">
        <f>LEFT(E_invoice[[#This Row],[P.Code]],8)</f>
        <v>PSR0V170</v>
      </c>
      <c r="J311" t="str">
        <f>VLOOKUP(E_invoice[[#This Row],[Customer]],$A$2:$B$44,2,0)</f>
        <v>BRIDGESTONE ASIA PACIFIC PTE. LTD</v>
      </c>
      <c r="K311" t="str">
        <f>E_invoice[[#This Row],[Customer]]</f>
        <v>355000A</v>
      </c>
    </row>
    <row r="312" spans="1:11" x14ac:dyDescent="0.25">
      <c r="A312" t="s">
        <v>239</v>
      </c>
      <c r="B312" t="s">
        <v>5704</v>
      </c>
      <c r="C312" t="s">
        <v>73</v>
      </c>
      <c r="D312" t="s">
        <v>216</v>
      </c>
      <c r="E312">
        <v>39</v>
      </c>
      <c r="F312">
        <v>47.95</v>
      </c>
      <c r="G312">
        <v>1870.05</v>
      </c>
      <c r="H312" t="s">
        <v>183</v>
      </c>
      <c r="I312" t="str">
        <f>LEFT(E_invoice[[#This Row],[P.Code]],8)</f>
        <v>PSR0V07S</v>
      </c>
      <c r="J312" t="str">
        <f>VLOOKUP(E_invoice[[#This Row],[Customer]],$A$2:$B$44,2,0)</f>
        <v>BRIDGESTONE ASIA PACIFIC PTE. LTD</v>
      </c>
      <c r="K312" t="str">
        <f>E_invoice[[#This Row],[Customer]]</f>
        <v>355000A</v>
      </c>
    </row>
    <row r="313" spans="1:11" x14ac:dyDescent="0.25">
      <c r="A313" t="s">
        <v>239</v>
      </c>
      <c r="B313" t="s">
        <v>5704</v>
      </c>
      <c r="C313" t="s">
        <v>73</v>
      </c>
      <c r="D313" t="s">
        <v>207</v>
      </c>
      <c r="E313">
        <v>16</v>
      </c>
      <c r="F313">
        <v>43.68</v>
      </c>
      <c r="G313">
        <v>698.88</v>
      </c>
      <c r="H313" t="s">
        <v>183</v>
      </c>
      <c r="I313" t="str">
        <f>LEFT(E_invoice[[#This Row],[P.Code]],8)</f>
        <v>PSR0V50D</v>
      </c>
      <c r="J313" t="str">
        <f>VLOOKUP(E_invoice[[#This Row],[Customer]],$A$2:$B$44,2,0)</f>
        <v>BRIDGESTONE ASIA PACIFIC PTE. LTD</v>
      </c>
      <c r="K313" t="str">
        <f>E_invoice[[#This Row],[Customer]]</f>
        <v>355000A</v>
      </c>
    </row>
    <row r="314" spans="1:11" x14ac:dyDescent="0.25">
      <c r="A314" t="s">
        <v>239</v>
      </c>
      <c r="B314" t="s">
        <v>5704</v>
      </c>
      <c r="C314" t="s">
        <v>73</v>
      </c>
      <c r="D314" t="s">
        <v>223</v>
      </c>
      <c r="E314">
        <v>627</v>
      </c>
      <c r="F314">
        <v>59.39</v>
      </c>
      <c r="G314">
        <v>37237.53</v>
      </c>
      <c r="H314" t="s">
        <v>183</v>
      </c>
      <c r="I314" t="str">
        <f>LEFT(E_invoice[[#This Row],[P.Code]],8)</f>
        <v>PSR0V256</v>
      </c>
      <c r="J314" t="str">
        <f>VLOOKUP(E_invoice[[#This Row],[Customer]],$A$2:$B$44,2,0)</f>
        <v>BRIDGESTONE ASIA PACIFIC PTE. LTD</v>
      </c>
      <c r="K314" t="str">
        <f>E_invoice[[#This Row],[Customer]]</f>
        <v>355000A</v>
      </c>
    </row>
    <row r="315" spans="1:11" x14ac:dyDescent="0.25">
      <c r="A315" t="s">
        <v>239</v>
      </c>
      <c r="B315" t="s">
        <v>5704</v>
      </c>
      <c r="C315" t="s">
        <v>73</v>
      </c>
      <c r="D315" t="s">
        <v>197</v>
      </c>
      <c r="E315">
        <v>24</v>
      </c>
      <c r="F315">
        <v>53.12</v>
      </c>
      <c r="G315">
        <v>1274.8800000000001</v>
      </c>
      <c r="H315" t="s">
        <v>183</v>
      </c>
      <c r="I315" t="str">
        <f>LEFT(E_invoice[[#This Row],[P.Code]],8)</f>
        <v>PSR0V19D</v>
      </c>
      <c r="J315" t="str">
        <f>VLOOKUP(E_invoice[[#This Row],[Customer]],$A$2:$B$44,2,0)</f>
        <v>BRIDGESTONE ASIA PACIFIC PTE. LTD</v>
      </c>
      <c r="K315" t="str">
        <f>E_invoice[[#This Row],[Customer]]</f>
        <v>355000A</v>
      </c>
    </row>
    <row r="316" spans="1:11" x14ac:dyDescent="0.25">
      <c r="A316" t="s">
        <v>239</v>
      </c>
      <c r="B316" t="s">
        <v>5705</v>
      </c>
      <c r="C316" t="s">
        <v>73</v>
      </c>
      <c r="D316" t="s">
        <v>209</v>
      </c>
      <c r="E316">
        <v>3</v>
      </c>
      <c r="F316">
        <v>62.87</v>
      </c>
      <c r="G316">
        <v>188.61</v>
      </c>
      <c r="H316" t="s">
        <v>183</v>
      </c>
      <c r="I316" t="str">
        <f>LEFT(E_invoice[[#This Row],[P.Code]],8)</f>
        <v>PSR0V21D</v>
      </c>
      <c r="J316" t="str">
        <f>VLOOKUP(E_invoice[[#This Row],[Customer]],$A$2:$B$44,2,0)</f>
        <v>BRIDGESTONE ASIA PACIFIC PTE. LTD</v>
      </c>
      <c r="K316" t="str">
        <f>E_invoice[[#This Row],[Customer]]</f>
        <v>355000A</v>
      </c>
    </row>
    <row r="317" spans="1:11" x14ac:dyDescent="0.25">
      <c r="A317" t="s">
        <v>239</v>
      </c>
      <c r="B317" t="s">
        <v>5705</v>
      </c>
      <c r="C317" t="s">
        <v>73</v>
      </c>
      <c r="D317" t="s">
        <v>209</v>
      </c>
      <c r="E317">
        <v>18</v>
      </c>
      <c r="F317">
        <v>62.87</v>
      </c>
      <c r="G317">
        <v>1131.6600000000001</v>
      </c>
      <c r="H317" t="s">
        <v>183</v>
      </c>
      <c r="I317" t="str">
        <f>LEFT(E_invoice[[#This Row],[P.Code]],8)</f>
        <v>PSR0V21D</v>
      </c>
      <c r="J317" t="str">
        <f>VLOOKUP(E_invoice[[#This Row],[Customer]],$A$2:$B$44,2,0)</f>
        <v>BRIDGESTONE ASIA PACIFIC PTE. LTD</v>
      </c>
      <c r="K317" t="str">
        <f>E_invoice[[#This Row],[Customer]]</f>
        <v>355000A</v>
      </c>
    </row>
    <row r="318" spans="1:11" x14ac:dyDescent="0.25">
      <c r="A318" t="s">
        <v>239</v>
      </c>
      <c r="B318" t="s">
        <v>5705</v>
      </c>
      <c r="C318" t="s">
        <v>73</v>
      </c>
      <c r="D318" t="s">
        <v>225</v>
      </c>
      <c r="E318">
        <v>103</v>
      </c>
      <c r="F318">
        <v>41.34</v>
      </c>
      <c r="G318">
        <v>4258.0200000000004</v>
      </c>
      <c r="H318" t="s">
        <v>183</v>
      </c>
      <c r="I318" t="str">
        <f>LEFT(E_invoice[[#This Row],[P.Code]],8)</f>
        <v>PSR0V170</v>
      </c>
      <c r="J318" t="str">
        <f>VLOOKUP(E_invoice[[#This Row],[Customer]],$A$2:$B$44,2,0)</f>
        <v>BRIDGESTONE ASIA PACIFIC PTE. LTD</v>
      </c>
      <c r="K318" t="str">
        <f>E_invoice[[#This Row],[Customer]]</f>
        <v>355000A</v>
      </c>
    </row>
    <row r="319" spans="1:11" x14ac:dyDescent="0.25">
      <c r="A319" t="s">
        <v>239</v>
      </c>
      <c r="B319" t="s">
        <v>5705</v>
      </c>
      <c r="C319" t="s">
        <v>73</v>
      </c>
      <c r="D319" t="s">
        <v>262</v>
      </c>
      <c r="E319">
        <v>104</v>
      </c>
      <c r="F319">
        <v>49.35</v>
      </c>
      <c r="G319">
        <v>5132.3999999999996</v>
      </c>
      <c r="H319" t="s">
        <v>183</v>
      </c>
      <c r="I319" t="str">
        <f>LEFT(E_invoice[[#This Row],[P.Code]],8)</f>
        <v>PSR0V267</v>
      </c>
      <c r="J319" t="str">
        <f>VLOOKUP(E_invoice[[#This Row],[Customer]],$A$2:$B$44,2,0)</f>
        <v>BRIDGESTONE ASIA PACIFIC PTE. LTD</v>
      </c>
      <c r="K319" t="str">
        <f>E_invoice[[#This Row],[Customer]]</f>
        <v>355000A</v>
      </c>
    </row>
    <row r="320" spans="1:11" x14ac:dyDescent="0.25">
      <c r="A320" t="s">
        <v>239</v>
      </c>
      <c r="B320" t="s">
        <v>5705</v>
      </c>
      <c r="C320" t="s">
        <v>73</v>
      </c>
      <c r="D320" t="s">
        <v>196</v>
      </c>
      <c r="E320">
        <v>24</v>
      </c>
      <c r="F320">
        <v>59.81</v>
      </c>
      <c r="G320">
        <v>1435.44</v>
      </c>
      <c r="H320" t="s">
        <v>183</v>
      </c>
      <c r="I320" t="str">
        <f>LEFT(E_invoice[[#This Row],[P.Code]],8)</f>
        <v>PSR0V213</v>
      </c>
      <c r="J320" t="str">
        <f>VLOOKUP(E_invoice[[#This Row],[Customer]],$A$2:$B$44,2,0)</f>
        <v>BRIDGESTONE ASIA PACIFIC PTE. LTD</v>
      </c>
      <c r="K320" t="str">
        <f>E_invoice[[#This Row],[Customer]]</f>
        <v>355000A</v>
      </c>
    </row>
    <row r="321" spans="1:11" x14ac:dyDescent="0.25">
      <c r="A321" t="s">
        <v>239</v>
      </c>
      <c r="B321" t="s">
        <v>5705</v>
      </c>
      <c r="C321" t="s">
        <v>73</v>
      </c>
      <c r="D321" t="s">
        <v>260</v>
      </c>
      <c r="E321">
        <v>756</v>
      </c>
      <c r="F321">
        <v>51.99</v>
      </c>
      <c r="G321">
        <v>39304.44</v>
      </c>
      <c r="H321" t="s">
        <v>183</v>
      </c>
      <c r="I321" t="str">
        <f>LEFT(E_invoice[[#This Row],[P.Code]],8)</f>
        <v>PSR0V265</v>
      </c>
      <c r="J321" t="str">
        <f>VLOOKUP(E_invoice[[#This Row],[Customer]],$A$2:$B$44,2,0)</f>
        <v>BRIDGESTONE ASIA PACIFIC PTE. LTD</v>
      </c>
      <c r="K321" t="str">
        <f>E_invoice[[#This Row],[Customer]]</f>
        <v>355000A</v>
      </c>
    </row>
    <row r="322" spans="1:11" x14ac:dyDescent="0.25">
      <c r="A322" t="s">
        <v>239</v>
      </c>
      <c r="B322" t="s">
        <v>5705</v>
      </c>
      <c r="C322" t="s">
        <v>73</v>
      </c>
      <c r="D322" t="s">
        <v>245</v>
      </c>
      <c r="E322">
        <v>25</v>
      </c>
      <c r="F322">
        <v>61.68</v>
      </c>
      <c r="G322">
        <v>1542</v>
      </c>
      <c r="H322" t="s">
        <v>183</v>
      </c>
      <c r="I322" t="str">
        <f>LEFT(E_invoice[[#This Row],[P.Code]],8)</f>
        <v>PSR0V20D</v>
      </c>
      <c r="J322" t="str">
        <f>VLOOKUP(E_invoice[[#This Row],[Customer]],$A$2:$B$44,2,0)</f>
        <v>BRIDGESTONE ASIA PACIFIC PTE. LTD</v>
      </c>
      <c r="K322" t="str">
        <f>E_invoice[[#This Row],[Customer]]</f>
        <v>355000A</v>
      </c>
    </row>
    <row r="323" spans="1:11" x14ac:dyDescent="0.25">
      <c r="A323" t="s">
        <v>239</v>
      </c>
      <c r="B323" t="s">
        <v>5705</v>
      </c>
      <c r="C323" t="s">
        <v>73</v>
      </c>
      <c r="D323" t="s">
        <v>208</v>
      </c>
      <c r="E323">
        <v>274</v>
      </c>
      <c r="F323">
        <v>51.9</v>
      </c>
      <c r="G323">
        <v>14220.6</v>
      </c>
      <c r="H323" t="s">
        <v>183</v>
      </c>
      <c r="I323" t="str">
        <f>LEFT(E_invoice[[#This Row],[P.Code]],8)</f>
        <v>PSR0V186</v>
      </c>
      <c r="J323" t="str">
        <f>VLOOKUP(E_invoice[[#This Row],[Customer]],$A$2:$B$44,2,0)</f>
        <v>BRIDGESTONE ASIA PACIFIC PTE. LTD</v>
      </c>
      <c r="K323" t="str">
        <f>E_invoice[[#This Row],[Customer]]</f>
        <v>355000A</v>
      </c>
    </row>
    <row r="324" spans="1:11" x14ac:dyDescent="0.25">
      <c r="A324" t="s">
        <v>239</v>
      </c>
      <c r="B324" t="s">
        <v>5705</v>
      </c>
      <c r="C324" t="s">
        <v>73</v>
      </c>
      <c r="D324" t="s">
        <v>210</v>
      </c>
      <c r="E324">
        <v>126</v>
      </c>
      <c r="F324">
        <v>49.56</v>
      </c>
      <c r="G324">
        <v>6244.56</v>
      </c>
      <c r="H324" t="s">
        <v>183</v>
      </c>
      <c r="I324" t="str">
        <f>LEFT(E_invoice[[#This Row],[P.Code]],8)</f>
        <v>PSR0V168</v>
      </c>
      <c r="J324" t="str">
        <f>VLOOKUP(E_invoice[[#This Row],[Customer]],$A$2:$B$44,2,0)</f>
        <v>BRIDGESTONE ASIA PACIFIC PTE. LTD</v>
      </c>
      <c r="K324" t="str">
        <f>E_invoice[[#This Row],[Customer]]</f>
        <v>355000A</v>
      </c>
    </row>
    <row r="325" spans="1:11" x14ac:dyDescent="0.25">
      <c r="A325" t="s">
        <v>239</v>
      </c>
      <c r="B325" t="s">
        <v>5705</v>
      </c>
      <c r="C325" t="s">
        <v>73</v>
      </c>
      <c r="D325" t="s">
        <v>187</v>
      </c>
      <c r="E325">
        <v>2</v>
      </c>
      <c r="F325">
        <v>55.73</v>
      </c>
      <c r="G325">
        <v>111.46</v>
      </c>
      <c r="H325" t="s">
        <v>183</v>
      </c>
      <c r="I325" t="str">
        <f>LEFT(E_invoice[[#This Row],[P.Code]],8)</f>
        <v>PSR0V17D</v>
      </c>
      <c r="J325" t="str">
        <f>VLOOKUP(E_invoice[[#This Row],[Customer]],$A$2:$B$44,2,0)</f>
        <v>BRIDGESTONE ASIA PACIFIC PTE. LTD</v>
      </c>
      <c r="K325" t="str">
        <f>E_invoice[[#This Row],[Customer]]</f>
        <v>355000A</v>
      </c>
    </row>
    <row r="326" spans="1:11" x14ac:dyDescent="0.25">
      <c r="A326" t="s">
        <v>239</v>
      </c>
      <c r="B326" t="s">
        <v>5705</v>
      </c>
      <c r="C326" t="s">
        <v>73</v>
      </c>
      <c r="D326" t="s">
        <v>207</v>
      </c>
      <c r="E326">
        <v>18</v>
      </c>
      <c r="F326">
        <v>43.68</v>
      </c>
      <c r="G326">
        <v>786.24</v>
      </c>
      <c r="H326" t="s">
        <v>183</v>
      </c>
      <c r="I326" t="str">
        <f>LEFT(E_invoice[[#This Row],[P.Code]],8)</f>
        <v>PSR0V50D</v>
      </c>
      <c r="J326" t="str">
        <f>VLOOKUP(E_invoice[[#This Row],[Customer]],$A$2:$B$44,2,0)</f>
        <v>BRIDGESTONE ASIA PACIFIC PTE. LTD</v>
      </c>
      <c r="K326" t="str">
        <f>E_invoice[[#This Row],[Customer]]</f>
        <v>355000A</v>
      </c>
    </row>
    <row r="327" spans="1:11" x14ac:dyDescent="0.25">
      <c r="A327" t="s">
        <v>239</v>
      </c>
      <c r="B327" t="s">
        <v>5705</v>
      </c>
      <c r="C327" t="s">
        <v>73</v>
      </c>
      <c r="D327" t="s">
        <v>189</v>
      </c>
      <c r="E327">
        <v>5</v>
      </c>
      <c r="F327">
        <v>44.99</v>
      </c>
      <c r="G327">
        <v>224.95</v>
      </c>
      <c r="H327" t="s">
        <v>183</v>
      </c>
      <c r="I327" t="str">
        <f>LEFT(E_invoice[[#This Row],[P.Code]],8)</f>
        <v>PSR0V48D</v>
      </c>
      <c r="J327" t="str">
        <f>VLOOKUP(E_invoice[[#This Row],[Customer]],$A$2:$B$44,2,0)</f>
        <v>BRIDGESTONE ASIA PACIFIC PTE. LTD</v>
      </c>
      <c r="K327" t="str">
        <f>E_invoice[[#This Row],[Customer]]</f>
        <v>355000A</v>
      </c>
    </row>
    <row r="328" spans="1:11" x14ac:dyDescent="0.25">
      <c r="A328" t="s">
        <v>239</v>
      </c>
      <c r="B328" t="s">
        <v>5706</v>
      </c>
      <c r="C328" t="s">
        <v>70</v>
      </c>
      <c r="D328" t="s">
        <v>229</v>
      </c>
      <c r="E328">
        <v>976</v>
      </c>
      <c r="F328">
        <v>26.83</v>
      </c>
      <c r="G328">
        <v>26186.080000000002</v>
      </c>
      <c r="H328" t="s">
        <v>227</v>
      </c>
      <c r="I328" t="str">
        <f>LEFT(E_invoice[[#This Row],[P.Code]],8)</f>
        <v>PSR0V229</v>
      </c>
      <c r="J328" t="str">
        <f>VLOOKUP(E_invoice[[#This Row],[Customer]],$A$2:$B$44,2,0)</f>
        <v>BRIDGESTONE CORPORATION</v>
      </c>
      <c r="K328" t="str">
        <f>E_invoice[[#This Row],[Customer]]</f>
        <v>100000A</v>
      </c>
    </row>
    <row r="329" spans="1:11" x14ac:dyDescent="0.25">
      <c r="A329" t="s">
        <v>239</v>
      </c>
      <c r="B329" t="s">
        <v>5706</v>
      </c>
      <c r="C329" t="s">
        <v>70</v>
      </c>
      <c r="D329" t="s">
        <v>230</v>
      </c>
      <c r="E329">
        <v>536</v>
      </c>
      <c r="F329">
        <v>27.98</v>
      </c>
      <c r="G329">
        <v>14997.28</v>
      </c>
      <c r="H329" t="s">
        <v>227</v>
      </c>
      <c r="I329" t="str">
        <f>LEFT(E_invoice[[#This Row],[P.Code]],8)</f>
        <v>PSR0V234</v>
      </c>
      <c r="J329" t="str">
        <f>VLOOKUP(E_invoice[[#This Row],[Customer]],$A$2:$B$44,2,0)</f>
        <v>BRIDGESTONE CORPORATION</v>
      </c>
      <c r="K329" t="str">
        <f>E_invoice[[#This Row],[Customer]]</f>
        <v>100000A</v>
      </c>
    </row>
    <row r="330" spans="1:11" x14ac:dyDescent="0.25">
      <c r="A330" t="s">
        <v>239</v>
      </c>
      <c r="B330" t="s">
        <v>5707</v>
      </c>
      <c r="C330" t="s">
        <v>235</v>
      </c>
      <c r="D330" t="s">
        <v>251</v>
      </c>
      <c r="E330">
        <v>3744</v>
      </c>
      <c r="F330">
        <v>729000</v>
      </c>
      <c r="G330">
        <v>2729376000</v>
      </c>
      <c r="H330" t="s">
        <v>130</v>
      </c>
      <c r="I330" t="str">
        <f>LEFT(E_invoice[[#This Row],[P.Code]],8)</f>
        <v>PSR0V194</v>
      </c>
      <c r="J330" t="str">
        <f>VLOOKUP(E_invoice[[#This Row],[Customer]],$A$2:$B$44,2,0)</f>
        <v>Bridgestone Tire Sale Viet Nam LLC</v>
      </c>
      <c r="K330" t="str">
        <f>E_invoice[[#This Row],[Customer]]</f>
        <v>355001A</v>
      </c>
    </row>
    <row r="331" spans="1:11" x14ac:dyDescent="0.25">
      <c r="A331" t="s">
        <v>239</v>
      </c>
      <c r="B331" t="s">
        <v>5707</v>
      </c>
      <c r="C331" t="s">
        <v>235</v>
      </c>
      <c r="D331" t="s">
        <v>252</v>
      </c>
      <c r="E331">
        <v>819</v>
      </c>
      <c r="F331">
        <v>793000</v>
      </c>
      <c r="G331">
        <v>649467000</v>
      </c>
      <c r="H331" t="s">
        <v>130</v>
      </c>
      <c r="I331" t="str">
        <f>LEFT(E_invoice[[#This Row],[P.Code]],8)</f>
        <v>PSR0V247</v>
      </c>
      <c r="J331" t="str">
        <f>VLOOKUP(E_invoice[[#This Row],[Customer]],$A$2:$B$44,2,0)</f>
        <v>Bridgestone Tire Sale Viet Nam LLC</v>
      </c>
      <c r="K331" t="str">
        <f>E_invoice[[#This Row],[Customer]]</f>
        <v>355001A</v>
      </c>
    </row>
    <row r="332" spans="1:11" x14ac:dyDescent="0.25">
      <c r="A332" t="s">
        <v>239</v>
      </c>
      <c r="B332" t="s">
        <v>5707</v>
      </c>
      <c r="C332" t="s">
        <v>235</v>
      </c>
      <c r="D332" t="s">
        <v>253</v>
      </c>
      <c r="E332">
        <v>756</v>
      </c>
      <c r="F332">
        <v>966000</v>
      </c>
      <c r="G332">
        <v>730296000</v>
      </c>
      <c r="H332" t="s">
        <v>130</v>
      </c>
      <c r="I332" t="str">
        <f>LEFT(E_invoice[[#This Row],[P.Code]],8)</f>
        <v>PSR0V248</v>
      </c>
      <c r="J332" t="str">
        <f>VLOOKUP(E_invoice[[#This Row],[Customer]],$A$2:$B$44,2,0)</f>
        <v>Bridgestone Tire Sale Viet Nam LLC</v>
      </c>
      <c r="K332" t="str">
        <f>E_invoice[[#This Row],[Customer]]</f>
        <v>355001A</v>
      </c>
    </row>
    <row r="333" spans="1:11" x14ac:dyDescent="0.25">
      <c r="A333" t="s">
        <v>239</v>
      </c>
      <c r="B333" t="s">
        <v>5708</v>
      </c>
      <c r="C333" t="s">
        <v>73</v>
      </c>
      <c r="D333" t="s">
        <v>245</v>
      </c>
      <c r="E333">
        <v>27</v>
      </c>
      <c r="F333">
        <v>61.68</v>
      </c>
      <c r="G333">
        <v>1665.36</v>
      </c>
      <c r="H333" t="s">
        <v>183</v>
      </c>
      <c r="I333" t="str">
        <f>LEFT(E_invoice[[#This Row],[P.Code]],8)</f>
        <v>PSR0V20D</v>
      </c>
      <c r="J333" t="str">
        <f>VLOOKUP(E_invoice[[#This Row],[Customer]],$A$2:$B$44,2,0)</f>
        <v>BRIDGESTONE ASIA PACIFIC PTE. LTD</v>
      </c>
      <c r="K333" t="str">
        <f>E_invoice[[#This Row],[Customer]]</f>
        <v>355000A</v>
      </c>
    </row>
    <row r="334" spans="1:11" x14ac:dyDescent="0.25">
      <c r="A334" t="s">
        <v>239</v>
      </c>
      <c r="B334" t="s">
        <v>5708</v>
      </c>
      <c r="C334" t="s">
        <v>73</v>
      </c>
      <c r="D334" t="s">
        <v>215</v>
      </c>
      <c r="E334">
        <v>53</v>
      </c>
      <c r="F334">
        <v>31.73</v>
      </c>
      <c r="G334">
        <v>1681.69</v>
      </c>
      <c r="H334" t="s">
        <v>183</v>
      </c>
      <c r="I334" t="str">
        <f>LEFT(E_invoice[[#This Row],[P.Code]],8)</f>
        <v>PSR0V45D</v>
      </c>
      <c r="J334" t="str">
        <f>VLOOKUP(E_invoice[[#This Row],[Customer]],$A$2:$B$44,2,0)</f>
        <v>BRIDGESTONE ASIA PACIFIC PTE. LTD</v>
      </c>
      <c r="K334" t="str">
        <f>E_invoice[[#This Row],[Customer]]</f>
        <v>355000A</v>
      </c>
    </row>
    <row r="335" spans="1:11" x14ac:dyDescent="0.25">
      <c r="A335" t="s">
        <v>239</v>
      </c>
      <c r="B335" t="s">
        <v>5708</v>
      </c>
      <c r="C335" t="s">
        <v>73</v>
      </c>
      <c r="D335" t="s">
        <v>218</v>
      </c>
      <c r="E335">
        <v>4</v>
      </c>
      <c r="F335">
        <v>42.29</v>
      </c>
      <c r="G335">
        <v>169.16</v>
      </c>
      <c r="H335" t="s">
        <v>183</v>
      </c>
      <c r="I335" t="str">
        <f>LEFT(E_invoice[[#This Row],[P.Code]],8)</f>
        <v>PSR0V166</v>
      </c>
      <c r="J335" t="str">
        <f>VLOOKUP(E_invoice[[#This Row],[Customer]],$A$2:$B$44,2,0)</f>
        <v>BRIDGESTONE ASIA PACIFIC PTE. LTD</v>
      </c>
      <c r="K335" t="str">
        <f>E_invoice[[#This Row],[Customer]]</f>
        <v>355000A</v>
      </c>
    </row>
    <row r="336" spans="1:11" x14ac:dyDescent="0.25">
      <c r="A336" t="s">
        <v>239</v>
      </c>
      <c r="B336" t="s">
        <v>5708</v>
      </c>
      <c r="C336" t="s">
        <v>73</v>
      </c>
      <c r="D336" t="s">
        <v>223</v>
      </c>
      <c r="E336">
        <v>168</v>
      </c>
      <c r="F336">
        <v>59.39</v>
      </c>
      <c r="G336">
        <v>9977.52</v>
      </c>
      <c r="H336" t="s">
        <v>183</v>
      </c>
      <c r="I336" t="str">
        <f>LEFT(E_invoice[[#This Row],[P.Code]],8)</f>
        <v>PSR0V256</v>
      </c>
      <c r="J336" t="str">
        <f>VLOOKUP(E_invoice[[#This Row],[Customer]],$A$2:$B$44,2,0)</f>
        <v>BRIDGESTONE ASIA PACIFIC PTE. LTD</v>
      </c>
      <c r="K336" t="str">
        <f>E_invoice[[#This Row],[Customer]]</f>
        <v>355000A</v>
      </c>
    </row>
    <row r="337" spans="1:11" x14ac:dyDescent="0.25">
      <c r="A337" t="s">
        <v>239</v>
      </c>
      <c r="B337" t="s">
        <v>5708</v>
      </c>
      <c r="C337" t="s">
        <v>73</v>
      </c>
      <c r="D337" t="s">
        <v>199</v>
      </c>
      <c r="E337">
        <v>103</v>
      </c>
      <c r="F337">
        <v>40.81</v>
      </c>
      <c r="G337">
        <v>4203.43</v>
      </c>
      <c r="H337" t="s">
        <v>183</v>
      </c>
      <c r="I337" t="str">
        <f>LEFT(E_invoice[[#This Row],[P.Code]],8)</f>
        <v>PSR0V02P</v>
      </c>
      <c r="J337" t="str">
        <f>VLOOKUP(E_invoice[[#This Row],[Customer]],$A$2:$B$44,2,0)</f>
        <v>BRIDGESTONE ASIA PACIFIC PTE. LTD</v>
      </c>
      <c r="K337" t="str">
        <f>E_invoice[[#This Row],[Customer]]</f>
        <v>355000A</v>
      </c>
    </row>
    <row r="338" spans="1:11" x14ac:dyDescent="0.25">
      <c r="A338" t="s">
        <v>239</v>
      </c>
      <c r="B338" t="s">
        <v>5708</v>
      </c>
      <c r="C338" t="s">
        <v>73</v>
      </c>
      <c r="D338" t="s">
        <v>245</v>
      </c>
      <c r="E338">
        <v>2</v>
      </c>
      <c r="F338">
        <v>61.68</v>
      </c>
      <c r="G338">
        <v>123.36</v>
      </c>
      <c r="H338" t="s">
        <v>183</v>
      </c>
      <c r="I338" t="str">
        <f>LEFT(E_invoice[[#This Row],[P.Code]],8)</f>
        <v>PSR0V20D</v>
      </c>
      <c r="J338" t="str">
        <f>VLOOKUP(E_invoice[[#This Row],[Customer]],$A$2:$B$44,2,0)</f>
        <v>BRIDGESTONE ASIA PACIFIC PTE. LTD</v>
      </c>
      <c r="K338" t="str">
        <f>E_invoice[[#This Row],[Customer]]</f>
        <v>355000A</v>
      </c>
    </row>
    <row r="339" spans="1:11" x14ac:dyDescent="0.25">
      <c r="A339" t="s">
        <v>239</v>
      </c>
      <c r="B339" t="s">
        <v>5708</v>
      </c>
      <c r="C339" t="s">
        <v>73</v>
      </c>
      <c r="D339" t="s">
        <v>262</v>
      </c>
      <c r="E339">
        <v>28</v>
      </c>
      <c r="F339">
        <v>49.35</v>
      </c>
      <c r="G339">
        <v>1381.8</v>
      </c>
      <c r="H339" t="s">
        <v>183</v>
      </c>
      <c r="I339" t="str">
        <f>LEFT(E_invoice[[#This Row],[P.Code]],8)</f>
        <v>PSR0V267</v>
      </c>
      <c r="J339" t="str">
        <f>VLOOKUP(E_invoice[[#This Row],[Customer]],$A$2:$B$44,2,0)</f>
        <v>BRIDGESTONE ASIA PACIFIC PTE. LTD</v>
      </c>
      <c r="K339" t="str">
        <f>E_invoice[[#This Row],[Customer]]</f>
        <v>355000A</v>
      </c>
    </row>
    <row r="340" spans="1:11" x14ac:dyDescent="0.25">
      <c r="A340" t="s">
        <v>239</v>
      </c>
      <c r="B340" t="s">
        <v>5708</v>
      </c>
      <c r="C340" t="s">
        <v>73</v>
      </c>
      <c r="D340" t="s">
        <v>190</v>
      </c>
      <c r="E340">
        <v>14</v>
      </c>
      <c r="F340">
        <v>56.73</v>
      </c>
      <c r="G340">
        <v>794.22</v>
      </c>
      <c r="H340" t="s">
        <v>183</v>
      </c>
      <c r="I340" t="str">
        <f>LEFT(E_invoice[[#This Row],[P.Code]],8)</f>
        <v>PSR0V18D</v>
      </c>
      <c r="J340" t="str">
        <f>VLOOKUP(E_invoice[[#This Row],[Customer]],$A$2:$B$44,2,0)</f>
        <v>BRIDGESTONE ASIA PACIFIC PTE. LTD</v>
      </c>
      <c r="K340" t="str">
        <f>E_invoice[[#This Row],[Customer]]</f>
        <v>355000A</v>
      </c>
    </row>
    <row r="341" spans="1:11" x14ac:dyDescent="0.25">
      <c r="A341" t="s">
        <v>239</v>
      </c>
      <c r="B341" t="s">
        <v>5708</v>
      </c>
      <c r="C341" t="s">
        <v>73</v>
      </c>
      <c r="D341" t="s">
        <v>194</v>
      </c>
      <c r="E341">
        <v>7</v>
      </c>
      <c r="F341">
        <v>33.58</v>
      </c>
      <c r="G341">
        <v>235.06</v>
      </c>
      <c r="H341" t="s">
        <v>183</v>
      </c>
      <c r="I341" t="str">
        <f>LEFT(E_invoice[[#This Row],[P.Code]],8)</f>
        <v>PSR0V25S</v>
      </c>
      <c r="J341" t="str">
        <f>VLOOKUP(E_invoice[[#This Row],[Customer]],$A$2:$B$44,2,0)</f>
        <v>BRIDGESTONE ASIA PACIFIC PTE. LTD</v>
      </c>
      <c r="K341" t="str">
        <f>E_invoice[[#This Row],[Customer]]</f>
        <v>355000A</v>
      </c>
    </row>
    <row r="342" spans="1:11" x14ac:dyDescent="0.25">
      <c r="A342" t="s">
        <v>239</v>
      </c>
      <c r="B342" t="s">
        <v>5708</v>
      </c>
      <c r="C342" t="s">
        <v>73</v>
      </c>
      <c r="D342" t="s">
        <v>246</v>
      </c>
      <c r="E342">
        <v>4</v>
      </c>
      <c r="F342">
        <v>41.6</v>
      </c>
      <c r="G342">
        <v>166.4</v>
      </c>
      <c r="H342" t="s">
        <v>183</v>
      </c>
      <c r="I342" t="str">
        <f>LEFT(E_invoice[[#This Row],[P.Code]],8)</f>
        <v>PSR0V47D</v>
      </c>
      <c r="J342" t="str">
        <f>VLOOKUP(E_invoice[[#This Row],[Customer]],$A$2:$B$44,2,0)</f>
        <v>BRIDGESTONE ASIA PACIFIC PTE. LTD</v>
      </c>
      <c r="K342" t="str">
        <f>E_invoice[[#This Row],[Customer]]</f>
        <v>355000A</v>
      </c>
    </row>
    <row r="343" spans="1:11" x14ac:dyDescent="0.25">
      <c r="A343" t="s">
        <v>239</v>
      </c>
      <c r="B343" t="s">
        <v>5708</v>
      </c>
      <c r="C343" t="s">
        <v>73</v>
      </c>
      <c r="D343" t="s">
        <v>197</v>
      </c>
      <c r="E343">
        <v>28</v>
      </c>
      <c r="F343">
        <v>53.12</v>
      </c>
      <c r="G343">
        <v>1487.36</v>
      </c>
      <c r="H343" t="s">
        <v>183</v>
      </c>
      <c r="I343" t="str">
        <f>LEFT(E_invoice[[#This Row],[P.Code]],8)</f>
        <v>PSR0V19D</v>
      </c>
      <c r="J343" t="str">
        <f>VLOOKUP(E_invoice[[#This Row],[Customer]],$A$2:$B$44,2,0)</f>
        <v>BRIDGESTONE ASIA PACIFIC PTE. LTD</v>
      </c>
      <c r="K343" t="str">
        <f>E_invoice[[#This Row],[Customer]]</f>
        <v>355000A</v>
      </c>
    </row>
    <row r="344" spans="1:11" x14ac:dyDescent="0.25">
      <c r="A344" t="s">
        <v>239</v>
      </c>
      <c r="B344" t="s">
        <v>5708</v>
      </c>
      <c r="C344" t="s">
        <v>73</v>
      </c>
      <c r="D344" t="s">
        <v>204</v>
      </c>
      <c r="E344">
        <v>111</v>
      </c>
      <c r="F344">
        <v>51.27</v>
      </c>
      <c r="G344">
        <v>5690.97</v>
      </c>
      <c r="H344" t="s">
        <v>183</v>
      </c>
      <c r="I344" t="str">
        <f>LEFT(E_invoice[[#This Row],[P.Code]],8)</f>
        <v>PSR0V169</v>
      </c>
      <c r="J344" t="str">
        <f>VLOOKUP(E_invoice[[#This Row],[Customer]],$A$2:$B$44,2,0)</f>
        <v>BRIDGESTONE ASIA PACIFIC PTE. LTD</v>
      </c>
      <c r="K344" t="str">
        <f>E_invoice[[#This Row],[Customer]]</f>
        <v>355000A</v>
      </c>
    </row>
    <row r="345" spans="1:11" x14ac:dyDescent="0.25">
      <c r="A345" t="s">
        <v>239</v>
      </c>
      <c r="B345" t="s">
        <v>5708</v>
      </c>
      <c r="C345" t="s">
        <v>73</v>
      </c>
      <c r="D345" t="s">
        <v>232</v>
      </c>
      <c r="E345">
        <v>22</v>
      </c>
      <c r="F345">
        <v>71.06</v>
      </c>
      <c r="G345">
        <v>1563.32</v>
      </c>
      <c r="H345" t="s">
        <v>183</v>
      </c>
      <c r="I345" t="str">
        <f>LEFT(E_invoice[[#This Row],[P.Code]],8)</f>
        <v>PSR0V208</v>
      </c>
      <c r="J345" t="str">
        <f>VLOOKUP(E_invoice[[#This Row],[Customer]],$A$2:$B$44,2,0)</f>
        <v>BRIDGESTONE ASIA PACIFIC PTE. LTD</v>
      </c>
      <c r="K345" t="str">
        <f>E_invoice[[#This Row],[Customer]]</f>
        <v>355000A</v>
      </c>
    </row>
    <row r="346" spans="1:11" x14ac:dyDescent="0.25">
      <c r="A346" t="s">
        <v>239</v>
      </c>
      <c r="B346" t="s">
        <v>5708</v>
      </c>
      <c r="C346" t="s">
        <v>73</v>
      </c>
      <c r="D346" t="s">
        <v>196</v>
      </c>
      <c r="E346">
        <v>22</v>
      </c>
      <c r="F346">
        <v>59.81</v>
      </c>
      <c r="G346">
        <v>1315.82</v>
      </c>
      <c r="H346" t="s">
        <v>183</v>
      </c>
      <c r="I346" t="str">
        <f>LEFT(E_invoice[[#This Row],[P.Code]],8)</f>
        <v>PSR0V213</v>
      </c>
      <c r="J346" t="str">
        <f>VLOOKUP(E_invoice[[#This Row],[Customer]],$A$2:$B$44,2,0)</f>
        <v>BRIDGESTONE ASIA PACIFIC PTE. LTD</v>
      </c>
      <c r="K346" t="str">
        <f>E_invoice[[#This Row],[Customer]]</f>
        <v>355000A</v>
      </c>
    </row>
    <row r="347" spans="1:11" x14ac:dyDescent="0.25">
      <c r="A347" t="s">
        <v>239</v>
      </c>
      <c r="B347" t="s">
        <v>5708</v>
      </c>
      <c r="C347" t="s">
        <v>73</v>
      </c>
      <c r="D347" t="s">
        <v>211</v>
      </c>
      <c r="E347">
        <v>81</v>
      </c>
      <c r="F347">
        <v>41.23</v>
      </c>
      <c r="G347">
        <v>3339.63</v>
      </c>
      <c r="H347" t="s">
        <v>183</v>
      </c>
      <c r="I347" t="str">
        <f>LEFT(E_invoice[[#This Row],[P.Code]],8)</f>
        <v>PSR0V165</v>
      </c>
      <c r="J347" t="str">
        <f>VLOOKUP(E_invoice[[#This Row],[Customer]],$A$2:$B$44,2,0)</f>
        <v>BRIDGESTONE ASIA PACIFIC PTE. LTD</v>
      </c>
      <c r="K347" t="str">
        <f>E_invoice[[#This Row],[Customer]]</f>
        <v>355000A</v>
      </c>
    </row>
    <row r="348" spans="1:11" x14ac:dyDescent="0.25">
      <c r="A348" t="s">
        <v>239</v>
      </c>
      <c r="B348" t="s">
        <v>5708</v>
      </c>
      <c r="C348" t="s">
        <v>73</v>
      </c>
      <c r="D348" t="s">
        <v>187</v>
      </c>
      <c r="E348">
        <v>4</v>
      </c>
      <c r="F348">
        <v>55.73</v>
      </c>
      <c r="G348">
        <v>222.92</v>
      </c>
      <c r="H348" t="s">
        <v>183</v>
      </c>
      <c r="I348" t="str">
        <f>LEFT(E_invoice[[#This Row],[P.Code]],8)</f>
        <v>PSR0V17D</v>
      </c>
      <c r="J348" t="str">
        <f>VLOOKUP(E_invoice[[#This Row],[Customer]],$A$2:$B$44,2,0)</f>
        <v>BRIDGESTONE ASIA PACIFIC PTE. LTD</v>
      </c>
      <c r="K348" t="str">
        <f>E_invoice[[#This Row],[Customer]]</f>
        <v>355000A</v>
      </c>
    </row>
    <row r="349" spans="1:11" x14ac:dyDescent="0.25">
      <c r="A349" t="s">
        <v>239</v>
      </c>
      <c r="B349" t="s">
        <v>5708</v>
      </c>
      <c r="C349" t="s">
        <v>73</v>
      </c>
      <c r="D349" t="s">
        <v>215</v>
      </c>
      <c r="E349">
        <v>2</v>
      </c>
      <c r="F349">
        <v>31.73</v>
      </c>
      <c r="G349">
        <v>63.46</v>
      </c>
      <c r="H349" t="s">
        <v>183</v>
      </c>
      <c r="I349" t="str">
        <f>LEFT(E_invoice[[#This Row],[P.Code]],8)</f>
        <v>PSR0V45D</v>
      </c>
      <c r="J349" t="str">
        <f>VLOOKUP(E_invoice[[#This Row],[Customer]],$A$2:$B$44,2,0)</f>
        <v>BRIDGESTONE ASIA PACIFIC PTE. LTD</v>
      </c>
      <c r="K349" t="str">
        <f>E_invoice[[#This Row],[Customer]]</f>
        <v>355000A</v>
      </c>
    </row>
    <row r="350" spans="1:11" x14ac:dyDescent="0.25">
      <c r="A350" t="s">
        <v>239</v>
      </c>
      <c r="B350" t="s">
        <v>5708</v>
      </c>
      <c r="C350" t="s">
        <v>73</v>
      </c>
      <c r="D350" t="s">
        <v>260</v>
      </c>
      <c r="E350">
        <v>756</v>
      </c>
      <c r="F350">
        <v>51.99</v>
      </c>
      <c r="G350">
        <v>39304.44</v>
      </c>
      <c r="H350" t="s">
        <v>183</v>
      </c>
      <c r="I350" t="str">
        <f>LEFT(E_invoice[[#This Row],[P.Code]],8)</f>
        <v>PSR0V265</v>
      </c>
      <c r="J350" t="str">
        <f>VLOOKUP(E_invoice[[#This Row],[Customer]],$A$2:$B$44,2,0)</f>
        <v>BRIDGESTONE ASIA PACIFIC PTE. LTD</v>
      </c>
      <c r="K350" t="str">
        <f>E_invoice[[#This Row],[Customer]]</f>
        <v>355000A</v>
      </c>
    </row>
    <row r="351" spans="1:11" x14ac:dyDescent="0.25">
      <c r="A351" t="s">
        <v>239</v>
      </c>
      <c r="B351" t="s">
        <v>5709</v>
      </c>
      <c r="C351" t="s">
        <v>70</v>
      </c>
      <c r="D351" t="s">
        <v>228</v>
      </c>
      <c r="E351">
        <v>924</v>
      </c>
      <c r="F351">
        <v>34.770000000000003</v>
      </c>
      <c r="G351">
        <v>32127.48</v>
      </c>
      <c r="H351" t="s">
        <v>227</v>
      </c>
      <c r="I351" t="str">
        <f>LEFT(E_invoice[[#This Row],[P.Code]],8)</f>
        <v>PSR0V05B</v>
      </c>
      <c r="J351" t="str">
        <f>VLOOKUP(E_invoice[[#This Row],[Customer]],$A$2:$B$44,2,0)</f>
        <v>BRIDGESTONE CORPORATION</v>
      </c>
      <c r="K351" t="str">
        <f>E_invoice[[#This Row],[Customer]]</f>
        <v>100000A</v>
      </c>
    </row>
    <row r="352" spans="1:11" x14ac:dyDescent="0.25">
      <c r="A352" t="s">
        <v>239</v>
      </c>
      <c r="B352" t="s">
        <v>5710</v>
      </c>
      <c r="C352" t="s">
        <v>235</v>
      </c>
      <c r="D352" t="s">
        <v>5684</v>
      </c>
      <c r="E352">
        <v>100</v>
      </c>
      <c r="F352">
        <v>1206000</v>
      </c>
      <c r="G352">
        <v>120600000</v>
      </c>
      <c r="H352" t="s">
        <v>130</v>
      </c>
      <c r="I352" t="str">
        <f>LEFT(E_invoice[[#This Row],[P.Code]],8)</f>
        <v>PSR0V257</v>
      </c>
      <c r="J352" t="str">
        <f>VLOOKUP(E_invoice[[#This Row],[Customer]],$A$2:$B$44,2,0)</f>
        <v>Bridgestone Tire Sale Viet Nam LLC</v>
      </c>
      <c r="K352" t="str">
        <f>E_invoice[[#This Row],[Customer]]</f>
        <v>355001A</v>
      </c>
    </row>
    <row r="353" spans="1:11" x14ac:dyDescent="0.25">
      <c r="A353" t="s">
        <v>239</v>
      </c>
      <c r="B353" t="s">
        <v>5710</v>
      </c>
      <c r="C353" t="s">
        <v>235</v>
      </c>
      <c r="D353" t="s">
        <v>254</v>
      </c>
      <c r="E353">
        <v>125</v>
      </c>
      <c r="F353">
        <v>1482000</v>
      </c>
      <c r="G353">
        <v>185250000</v>
      </c>
      <c r="H353" t="s">
        <v>130</v>
      </c>
      <c r="I353" t="str">
        <f>LEFT(E_invoice[[#This Row],[P.Code]],8)</f>
        <v>PSR0V243</v>
      </c>
      <c r="J353" t="str">
        <f>VLOOKUP(E_invoice[[#This Row],[Customer]],$A$2:$B$44,2,0)</f>
        <v>Bridgestone Tire Sale Viet Nam LLC</v>
      </c>
      <c r="K353" t="str">
        <f>E_invoice[[#This Row],[Customer]]</f>
        <v>355001A</v>
      </c>
    </row>
    <row r="354" spans="1:11" x14ac:dyDescent="0.25">
      <c r="A354" t="s">
        <v>239</v>
      </c>
      <c r="B354" t="s">
        <v>5710</v>
      </c>
      <c r="C354" t="s">
        <v>235</v>
      </c>
      <c r="D354" t="s">
        <v>255</v>
      </c>
      <c r="E354">
        <v>520</v>
      </c>
      <c r="F354">
        <v>1193000</v>
      </c>
      <c r="G354">
        <v>620360000</v>
      </c>
      <c r="H354" t="s">
        <v>130</v>
      </c>
      <c r="I354" t="str">
        <f>LEFT(E_invoice[[#This Row],[P.Code]],8)</f>
        <v>PSR0V250</v>
      </c>
      <c r="J354" t="str">
        <f>VLOOKUP(E_invoice[[#This Row],[Customer]],$A$2:$B$44,2,0)</f>
        <v>Bridgestone Tire Sale Viet Nam LLC</v>
      </c>
      <c r="K354" t="str">
        <f>E_invoice[[#This Row],[Customer]]</f>
        <v>355001A</v>
      </c>
    </row>
    <row r="355" spans="1:11" x14ac:dyDescent="0.25">
      <c r="A355" t="s">
        <v>239</v>
      </c>
      <c r="B355" t="s">
        <v>5710</v>
      </c>
      <c r="C355" t="s">
        <v>235</v>
      </c>
      <c r="D355" t="s">
        <v>259</v>
      </c>
      <c r="E355">
        <v>39</v>
      </c>
      <c r="F355">
        <v>2143000</v>
      </c>
      <c r="G355">
        <v>83577000</v>
      </c>
      <c r="H355" t="s">
        <v>130</v>
      </c>
      <c r="I355" t="str">
        <f>LEFT(E_invoice[[#This Row],[P.Code]],8)</f>
        <v>PSR0V225</v>
      </c>
      <c r="J355" t="str">
        <f>VLOOKUP(E_invoice[[#This Row],[Customer]],$A$2:$B$44,2,0)</f>
        <v>Bridgestone Tire Sale Viet Nam LLC</v>
      </c>
      <c r="K355" t="str">
        <f>E_invoice[[#This Row],[Customer]]</f>
        <v>355001A</v>
      </c>
    </row>
    <row r="356" spans="1:11" x14ac:dyDescent="0.25">
      <c r="A356" t="s">
        <v>239</v>
      </c>
      <c r="B356" t="s">
        <v>5710</v>
      </c>
      <c r="C356" t="s">
        <v>235</v>
      </c>
      <c r="D356" t="s">
        <v>251</v>
      </c>
      <c r="E356">
        <v>20</v>
      </c>
      <c r="F356">
        <v>729000</v>
      </c>
      <c r="G356">
        <v>14580000</v>
      </c>
      <c r="H356" t="s">
        <v>130</v>
      </c>
      <c r="I356" t="str">
        <f>LEFT(E_invoice[[#This Row],[P.Code]],8)</f>
        <v>PSR0V194</v>
      </c>
      <c r="J356" t="str">
        <f>VLOOKUP(E_invoice[[#This Row],[Customer]],$A$2:$B$44,2,0)</f>
        <v>Bridgestone Tire Sale Viet Nam LLC</v>
      </c>
      <c r="K356" t="str">
        <f>E_invoice[[#This Row],[Customer]]</f>
        <v>355001A</v>
      </c>
    </row>
    <row r="357" spans="1:11" x14ac:dyDescent="0.25">
      <c r="A357" t="s">
        <v>239</v>
      </c>
      <c r="B357" t="s">
        <v>5710</v>
      </c>
      <c r="C357" t="s">
        <v>235</v>
      </c>
      <c r="D357" t="s">
        <v>252</v>
      </c>
      <c r="E357">
        <v>819</v>
      </c>
      <c r="F357">
        <v>793000</v>
      </c>
      <c r="G357">
        <v>649467000</v>
      </c>
      <c r="H357" t="s">
        <v>130</v>
      </c>
      <c r="I357" t="str">
        <f>LEFT(E_invoice[[#This Row],[P.Code]],8)</f>
        <v>PSR0V247</v>
      </c>
      <c r="J357" t="str">
        <f>VLOOKUP(E_invoice[[#This Row],[Customer]],$A$2:$B$44,2,0)</f>
        <v>Bridgestone Tire Sale Viet Nam LLC</v>
      </c>
      <c r="K357" t="str">
        <f>E_invoice[[#This Row],[Customer]]</f>
        <v>355001A</v>
      </c>
    </row>
    <row r="358" spans="1:11" x14ac:dyDescent="0.25">
      <c r="A358" t="s">
        <v>239</v>
      </c>
      <c r="B358" t="s">
        <v>5710</v>
      </c>
      <c r="C358" t="s">
        <v>235</v>
      </c>
      <c r="D358" t="s">
        <v>257</v>
      </c>
      <c r="E358">
        <v>681</v>
      </c>
      <c r="F358">
        <v>1257000</v>
      </c>
      <c r="G358">
        <v>856017000</v>
      </c>
      <c r="H358" t="s">
        <v>130</v>
      </c>
      <c r="I358" t="str">
        <f>LEFT(E_invoice[[#This Row],[P.Code]],8)</f>
        <v>PSR0V126</v>
      </c>
      <c r="J358" t="str">
        <f>VLOOKUP(E_invoice[[#This Row],[Customer]],$A$2:$B$44,2,0)</f>
        <v>Bridgestone Tire Sale Viet Nam LLC</v>
      </c>
      <c r="K358" t="str">
        <f>E_invoice[[#This Row],[Customer]]</f>
        <v>355001A</v>
      </c>
    </row>
    <row r="359" spans="1:11" x14ac:dyDescent="0.25">
      <c r="A359" t="s">
        <v>239</v>
      </c>
      <c r="B359" t="s">
        <v>5710</v>
      </c>
      <c r="C359" t="s">
        <v>235</v>
      </c>
      <c r="D359" t="s">
        <v>5684</v>
      </c>
      <c r="E359">
        <v>469</v>
      </c>
      <c r="F359">
        <v>1206000</v>
      </c>
      <c r="G359">
        <v>565614000</v>
      </c>
      <c r="H359" t="s">
        <v>130</v>
      </c>
      <c r="I359" t="str">
        <f>LEFT(E_invoice[[#This Row],[P.Code]],8)</f>
        <v>PSR0V257</v>
      </c>
      <c r="J359" t="str">
        <f>VLOOKUP(E_invoice[[#This Row],[Customer]],$A$2:$B$44,2,0)</f>
        <v>Bridgestone Tire Sale Viet Nam LLC</v>
      </c>
      <c r="K359" t="str">
        <f>E_invoice[[#This Row],[Customer]]</f>
        <v>355001A</v>
      </c>
    </row>
    <row r="360" spans="1:11" x14ac:dyDescent="0.25">
      <c r="A360" t="s">
        <v>239</v>
      </c>
      <c r="B360" t="s">
        <v>5710</v>
      </c>
      <c r="C360" t="s">
        <v>235</v>
      </c>
      <c r="D360" t="s">
        <v>254</v>
      </c>
      <c r="E360">
        <v>925</v>
      </c>
      <c r="F360">
        <v>1482000</v>
      </c>
      <c r="G360">
        <v>1370850000</v>
      </c>
      <c r="H360" t="s">
        <v>130</v>
      </c>
      <c r="I360" t="str">
        <f>LEFT(E_invoice[[#This Row],[P.Code]],8)</f>
        <v>PSR0V243</v>
      </c>
      <c r="J360" t="str">
        <f>VLOOKUP(E_invoice[[#This Row],[Customer]],$A$2:$B$44,2,0)</f>
        <v>Bridgestone Tire Sale Viet Nam LLC</v>
      </c>
      <c r="K360" t="str">
        <f>E_invoice[[#This Row],[Customer]]</f>
        <v>355001A</v>
      </c>
    </row>
    <row r="361" spans="1:11" x14ac:dyDescent="0.25">
      <c r="A361" t="s">
        <v>239</v>
      </c>
      <c r="B361" t="s">
        <v>5710</v>
      </c>
      <c r="C361" t="s">
        <v>235</v>
      </c>
      <c r="D361" t="s">
        <v>255</v>
      </c>
      <c r="E361">
        <v>530</v>
      </c>
      <c r="F361">
        <v>1193000</v>
      </c>
      <c r="G361">
        <v>632290000</v>
      </c>
      <c r="H361" t="s">
        <v>130</v>
      </c>
      <c r="I361" t="str">
        <f>LEFT(E_invoice[[#This Row],[P.Code]],8)</f>
        <v>PSR0V250</v>
      </c>
      <c r="J361" t="str">
        <f>VLOOKUP(E_invoice[[#This Row],[Customer]],$A$2:$B$44,2,0)</f>
        <v>Bridgestone Tire Sale Viet Nam LLC</v>
      </c>
      <c r="K361" t="str">
        <f>E_invoice[[#This Row],[Customer]]</f>
        <v>355001A</v>
      </c>
    </row>
    <row r="362" spans="1:11" x14ac:dyDescent="0.25">
      <c r="A362" t="s">
        <v>181</v>
      </c>
      <c r="B362" t="s">
        <v>5714</v>
      </c>
      <c r="C362" t="s">
        <v>73</v>
      </c>
      <c r="D362" t="s">
        <v>200</v>
      </c>
      <c r="E362">
        <v>32</v>
      </c>
      <c r="F362">
        <v>35.47</v>
      </c>
      <c r="G362">
        <v>1135.04</v>
      </c>
      <c r="H362" t="s">
        <v>183</v>
      </c>
      <c r="I362" t="str">
        <f>LEFT(E_invoice[[#This Row],[P.Code]],8)</f>
        <v>PSR0V06P</v>
      </c>
      <c r="J362" t="str">
        <f>VLOOKUP(E_invoice[[#This Row],[Customer]],$A$2:$B$44,2,0)</f>
        <v>BRIDGESTONE ASIA PACIFIC PTE. LTD</v>
      </c>
      <c r="K362" t="str">
        <f>E_invoice[[#This Row],[Customer]]</f>
        <v>355000A</v>
      </c>
    </row>
    <row r="363" spans="1:11" x14ac:dyDescent="0.25">
      <c r="A363" t="s">
        <v>181</v>
      </c>
      <c r="B363" t="s">
        <v>5714</v>
      </c>
      <c r="C363" t="s">
        <v>73</v>
      </c>
      <c r="D363" t="s">
        <v>214</v>
      </c>
      <c r="E363">
        <v>18</v>
      </c>
      <c r="F363">
        <v>46.11</v>
      </c>
      <c r="G363">
        <v>829.98</v>
      </c>
      <c r="H363" t="s">
        <v>183</v>
      </c>
      <c r="I363" t="str">
        <f>LEFT(E_invoice[[#This Row],[P.Code]],8)</f>
        <v>PSR0V52D</v>
      </c>
      <c r="J363" t="str">
        <f>VLOOKUP(E_invoice[[#This Row],[Customer]],$A$2:$B$44,2,0)</f>
        <v>BRIDGESTONE ASIA PACIFIC PTE. LTD</v>
      </c>
      <c r="K363" t="str">
        <f>E_invoice[[#This Row],[Customer]]</f>
        <v>355000A</v>
      </c>
    </row>
    <row r="364" spans="1:11" x14ac:dyDescent="0.25">
      <c r="A364" t="s">
        <v>181</v>
      </c>
      <c r="B364" t="s">
        <v>5714</v>
      </c>
      <c r="C364" t="s">
        <v>73</v>
      </c>
      <c r="D364" t="s">
        <v>246</v>
      </c>
      <c r="E364">
        <v>33</v>
      </c>
      <c r="F364">
        <v>41.6</v>
      </c>
      <c r="G364">
        <v>1372.8</v>
      </c>
      <c r="H364" t="s">
        <v>183</v>
      </c>
      <c r="I364" t="str">
        <f>LEFT(E_invoice[[#This Row],[P.Code]],8)</f>
        <v>PSR0V47D</v>
      </c>
      <c r="J364" t="str">
        <f>VLOOKUP(E_invoice[[#This Row],[Customer]],$A$2:$B$44,2,0)</f>
        <v>BRIDGESTONE ASIA PACIFIC PTE. LTD</v>
      </c>
      <c r="K364" t="str">
        <f>E_invoice[[#This Row],[Customer]]</f>
        <v>355000A</v>
      </c>
    </row>
    <row r="365" spans="1:11" x14ac:dyDescent="0.25">
      <c r="A365" t="s">
        <v>181</v>
      </c>
      <c r="B365" t="s">
        <v>5714</v>
      </c>
      <c r="C365" t="s">
        <v>73</v>
      </c>
      <c r="D365" t="s">
        <v>205</v>
      </c>
      <c r="E365">
        <v>34</v>
      </c>
      <c r="F365">
        <v>44.85</v>
      </c>
      <c r="G365">
        <v>1524.9</v>
      </c>
      <c r="H365" t="s">
        <v>183</v>
      </c>
      <c r="I365" t="str">
        <f>LEFT(E_invoice[[#This Row],[P.Code]],8)</f>
        <v>PSR0V149</v>
      </c>
      <c r="J365" t="str">
        <f>VLOOKUP(E_invoice[[#This Row],[Customer]],$A$2:$B$44,2,0)</f>
        <v>BRIDGESTONE ASIA PACIFIC PTE. LTD</v>
      </c>
      <c r="K365" t="str">
        <f>E_invoice[[#This Row],[Customer]]</f>
        <v>355000A</v>
      </c>
    </row>
    <row r="366" spans="1:11" x14ac:dyDescent="0.25">
      <c r="A366" t="s">
        <v>181</v>
      </c>
      <c r="B366" t="s">
        <v>5714</v>
      </c>
      <c r="C366" t="s">
        <v>73</v>
      </c>
      <c r="D366" t="s">
        <v>218</v>
      </c>
      <c r="E366">
        <v>36</v>
      </c>
      <c r="F366">
        <v>42.29</v>
      </c>
      <c r="G366">
        <v>1522.44</v>
      </c>
      <c r="H366" t="s">
        <v>183</v>
      </c>
      <c r="I366" t="str">
        <f>LEFT(E_invoice[[#This Row],[P.Code]],8)</f>
        <v>PSR0V166</v>
      </c>
      <c r="J366" t="str">
        <f>VLOOKUP(E_invoice[[#This Row],[Customer]],$A$2:$B$44,2,0)</f>
        <v>BRIDGESTONE ASIA PACIFIC PTE. LTD</v>
      </c>
      <c r="K366" t="str">
        <f>E_invoice[[#This Row],[Customer]]</f>
        <v>355000A</v>
      </c>
    </row>
    <row r="367" spans="1:11" x14ac:dyDescent="0.25">
      <c r="A367" t="s">
        <v>181</v>
      </c>
      <c r="B367" t="s">
        <v>5714</v>
      </c>
      <c r="C367" t="s">
        <v>73</v>
      </c>
      <c r="D367" t="s">
        <v>249</v>
      </c>
      <c r="E367">
        <v>6</v>
      </c>
      <c r="F367">
        <v>59.58</v>
      </c>
      <c r="G367">
        <v>357.48</v>
      </c>
      <c r="H367" t="s">
        <v>183</v>
      </c>
      <c r="I367" t="str">
        <f>LEFT(E_invoice[[#This Row],[P.Code]],8)</f>
        <v>PSR0V14D</v>
      </c>
      <c r="J367" t="str">
        <f>VLOOKUP(E_invoice[[#This Row],[Customer]],$A$2:$B$44,2,0)</f>
        <v>BRIDGESTONE ASIA PACIFIC PTE. LTD</v>
      </c>
      <c r="K367" t="str">
        <f>E_invoice[[#This Row],[Customer]]</f>
        <v>355000A</v>
      </c>
    </row>
    <row r="368" spans="1:11" x14ac:dyDescent="0.25">
      <c r="A368" t="s">
        <v>181</v>
      </c>
      <c r="B368" t="s">
        <v>5714</v>
      </c>
      <c r="C368" t="s">
        <v>73</v>
      </c>
      <c r="D368" t="s">
        <v>222</v>
      </c>
      <c r="E368">
        <v>84</v>
      </c>
      <c r="F368">
        <v>31.89</v>
      </c>
      <c r="G368">
        <v>2678.76</v>
      </c>
      <c r="H368" t="s">
        <v>183</v>
      </c>
      <c r="I368" t="str">
        <f>LEFT(E_invoice[[#This Row],[P.Code]],8)</f>
        <v>PSR0V01P</v>
      </c>
      <c r="J368" t="str">
        <f>VLOOKUP(E_invoice[[#This Row],[Customer]],$A$2:$B$44,2,0)</f>
        <v>BRIDGESTONE ASIA PACIFIC PTE. LTD</v>
      </c>
      <c r="K368" t="str">
        <f>E_invoice[[#This Row],[Customer]]</f>
        <v>355000A</v>
      </c>
    </row>
    <row r="369" spans="1:11" x14ac:dyDescent="0.25">
      <c r="A369" t="s">
        <v>181</v>
      </c>
      <c r="B369" t="s">
        <v>5714</v>
      </c>
      <c r="C369" t="s">
        <v>73</v>
      </c>
      <c r="D369" t="s">
        <v>201</v>
      </c>
      <c r="E369">
        <v>37</v>
      </c>
      <c r="F369">
        <v>46.66</v>
      </c>
      <c r="G369">
        <v>1726.42</v>
      </c>
      <c r="H369" t="s">
        <v>183</v>
      </c>
      <c r="I369" t="str">
        <f>LEFT(E_invoice[[#This Row],[P.Code]],8)</f>
        <v>PSR0V51D</v>
      </c>
      <c r="J369" t="str">
        <f>VLOOKUP(E_invoice[[#This Row],[Customer]],$A$2:$B$44,2,0)</f>
        <v>BRIDGESTONE ASIA PACIFIC PTE. LTD</v>
      </c>
      <c r="K369" t="str">
        <f>E_invoice[[#This Row],[Customer]]</f>
        <v>355000A</v>
      </c>
    </row>
    <row r="370" spans="1:11" x14ac:dyDescent="0.25">
      <c r="A370" t="s">
        <v>181</v>
      </c>
      <c r="B370" t="s">
        <v>5714</v>
      </c>
      <c r="C370" t="s">
        <v>73</v>
      </c>
      <c r="D370" t="s">
        <v>225</v>
      </c>
      <c r="E370">
        <v>12</v>
      </c>
      <c r="F370">
        <v>41.34</v>
      </c>
      <c r="G370">
        <v>496.08</v>
      </c>
      <c r="H370" t="s">
        <v>183</v>
      </c>
      <c r="I370" t="str">
        <f>LEFT(E_invoice[[#This Row],[P.Code]],8)</f>
        <v>PSR0V170</v>
      </c>
      <c r="J370" t="str">
        <f>VLOOKUP(E_invoice[[#This Row],[Customer]],$A$2:$B$44,2,0)</f>
        <v>BRIDGESTONE ASIA PACIFIC PTE. LTD</v>
      </c>
      <c r="K370" t="str">
        <f>E_invoice[[#This Row],[Customer]]</f>
        <v>355000A</v>
      </c>
    </row>
    <row r="371" spans="1:11" x14ac:dyDescent="0.25">
      <c r="A371" t="s">
        <v>181</v>
      </c>
      <c r="B371" t="s">
        <v>5714</v>
      </c>
      <c r="C371" t="s">
        <v>73</v>
      </c>
      <c r="D371" t="s">
        <v>189</v>
      </c>
      <c r="E371">
        <v>62</v>
      </c>
      <c r="F371">
        <v>44.99</v>
      </c>
      <c r="G371">
        <v>2789.38</v>
      </c>
      <c r="H371" t="s">
        <v>183</v>
      </c>
      <c r="I371" t="str">
        <f>LEFT(E_invoice[[#This Row],[P.Code]],8)</f>
        <v>PSR0V48D</v>
      </c>
      <c r="J371" t="str">
        <f>VLOOKUP(E_invoice[[#This Row],[Customer]],$A$2:$B$44,2,0)</f>
        <v>BRIDGESTONE ASIA PACIFIC PTE. LTD</v>
      </c>
      <c r="K371" t="str">
        <f>E_invoice[[#This Row],[Customer]]</f>
        <v>355000A</v>
      </c>
    </row>
    <row r="372" spans="1:11" x14ac:dyDescent="0.25">
      <c r="A372" t="s">
        <v>181</v>
      </c>
      <c r="B372" t="s">
        <v>5714</v>
      </c>
      <c r="C372" t="s">
        <v>73</v>
      </c>
      <c r="D372" t="s">
        <v>262</v>
      </c>
      <c r="E372">
        <v>31</v>
      </c>
      <c r="F372">
        <v>49.35</v>
      </c>
      <c r="G372">
        <v>1529.85</v>
      </c>
      <c r="H372" t="s">
        <v>183</v>
      </c>
      <c r="I372" t="str">
        <f>LEFT(E_invoice[[#This Row],[P.Code]],8)</f>
        <v>PSR0V267</v>
      </c>
      <c r="J372" t="str">
        <f>VLOOKUP(E_invoice[[#This Row],[Customer]],$A$2:$B$44,2,0)</f>
        <v>BRIDGESTONE ASIA PACIFIC PTE. LTD</v>
      </c>
      <c r="K372" t="str">
        <f>E_invoice[[#This Row],[Customer]]</f>
        <v>355000A</v>
      </c>
    </row>
    <row r="373" spans="1:11" x14ac:dyDescent="0.25">
      <c r="A373" t="s">
        <v>181</v>
      </c>
      <c r="B373" t="s">
        <v>5714</v>
      </c>
      <c r="C373" t="s">
        <v>73</v>
      </c>
      <c r="D373" t="s">
        <v>215</v>
      </c>
      <c r="E373">
        <v>73</v>
      </c>
      <c r="F373">
        <v>31.73</v>
      </c>
      <c r="G373">
        <v>2316.29</v>
      </c>
      <c r="H373" t="s">
        <v>183</v>
      </c>
      <c r="I373" t="str">
        <f>LEFT(E_invoice[[#This Row],[P.Code]],8)</f>
        <v>PSR0V45D</v>
      </c>
      <c r="J373" t="str">
        <f>VLOOKUP(E_invoice[[#This Row],[Customer]],$A$2:$B$44,2,0)</f>
        <v>BRIDGESTONE ASIA PACIFIC PTE. LTD</v>
      </c>
      <c r="K373" t="str">
        <f>E_invoice[[#This Row],[Customer]]</f>
        <v>355000A</v>
      </c>
    </row>
    <row r="374" spans="1:11" x14ac:dyDescent="0.25">
      <c r="A374" t="s">
        <v>181</v>
      </c>
      <c r="B374" t="s">
        <v>5714</v>
      </c>
      <c r="C374" t="s">
        <v>73</v>
      </c>
      <c r="D374" t="s">
        <v>186</v>
      </c>
      <c r="E374">
        <v>18</v>
      </c>
      <c r="F374">
        <v>55.61</v>
      </c>
      <c r="G374">
        <v>1000.98</v>
      </c>
      <c r="H374" t="s">
        <v>183</v>
      </c>
      <c r="I374" t="str">
        <f>LEFT(E_invoice[[#This Row],[P.Code]],8)</f>
        <v>PSR0V29D</v>
      </c>
      <c r="J374" t="str">
        <f>VLOOKUP(E_invoice[[#This Row],[Customer]],$A$2:$B$44,2,0)</f>
        <v>BRIDGESTONE ASIA PACIFIC PTE. LTD</v>
      </c>
      <c r="K374" t="str">
        <f>E_invoice[[#This Row],[Customer]]</f>
        <v>355000A</v>
      </c>
    </row>
    <row r="375" spans="1:11" x14ac:dyDescent="0.25">
      <c r="A375" t="s">
        <v>181</v>
      </c>
      <c r="B375" t="s">
        <v>5714</v>
      </c>
      <c r="C375" t="s">
        <v>73</v>
      </c>
      <c r="D375" t="s">
        <v>210</v>
      </c>
      <c r="E375">
        <v>1</v>
      </c>
      <c r="F375">
        <v>49.56</v>
      </c>
      <c r="G375">
        <v>49.56</v>
      </c>
      <c r="H375" t="s">
        <v>183</v>
      </c>
      <c r="I375" t="str">
        <f>LEFT(E_invoice[[#This Row],[P.Code]],8)</f>
        <v>PSR0V168</v>
      </c>
      <c r="J375" t="str">
        <f>VLOOKUP(E_invoice[[#This Row],[Customer]],$A$2:$B$44,2,0)</f>
        <v>BRIDGESTONE ASIA PACIFIC PTE. LTD</v>
      </c>
      <c r="K375" t="str">
        <f>E_invoice[[#This Row],[Customer]]</f>
        <v>355000A</v>
      </c>
    </row>
    <row r="376" spans="1:11" x14ac:dyDescent="0.25">
      <c r="A376" t="s">
        <v>181</v>
      </c>
      <c r="B376" t="s">
        <v>5714</v>
      </c>
      <c r="C376" t="s">
        <v>73</v>
      </c>
      <c r="D376" t="s">
        <v>246</v>
      </c>
      <c r="E376">
        <v>12</v>
      </c>
      <c r="F376">
        <v>41.6</v>
      </c>
      <c r="G376">
        <v>499.2</v>
      </c>
      <c r="H376" t="s">
        <v>183</v>
      </c>
      <c r="I376" t="str">
        <f>LEFT(E_invoice[[#This Row],[P.Code]],8)</f>
        <v>PSR0V47D</v>
      </c>
      <c r="J376" t="str">
        <f>VLOOKUP(E_invoice[[#This Row],[Customer]],$A$2:$B$44,2,0)</f>
        <v>BRIDGESTONE ASIA PACIFIC PTE. LTD</v>
      </c>
      <c r="K376" t="str">
        <f>E_invoice[[#This Row],[Customer]]</f>
        <v>355000A</v>
      </c>
    </row>
    <row r="377" spans="1:11" x14ac:dyDescent="0.25">
      <c r="A377" t="s">
        <v>181</v>
      </c>
      <c r="B377" t="s">
        <v>5714</v>
      </c>
      <c r="C377" t="s">
        <v>73</v>
      </c>
      <c r="D377" t="s">
        <v>262</v>
      </c>
      <c r="E377">
        <v>29</v>
      </c>
      <c r="F377">
        <v>49.35</v>
      </c>
      <c r="G377">
        <v>1431.15</v>
      </c>
      <c r="H377" t="s">
        <v>183</v>
      </c>
      <c r="I377" t="str">
        <f>LEFT(E_invoice[[#This Row],[P.Code]],8)</f>
        <v>PSR0V267</v>
      </c>
      <c r="J377" t="str">
        <f>VLOOKUP(E_invoice[[#This Row],[Customer]],$A$2:$B$44,2,0)</f>
        <v>BRIDGESTONE ASIA PACIFIC PTE. LTD</v>
      </c>
      <c r="K377" t="str">
        <f>E_invoice[[#This Row],[Customer]]</f>
        <v>355000A</v>
      </c>
    </row>
    <row r="378" spans="1:11" x14ac:dyDescent="0.25">
      <c r="A378" t="s">
        <v>181</v>
      </c>
      <c r="B378" t="s">
        <v>5714</v>
      </c>
      <c r="C378" t="s">
        <v>73</v>
      </c>
      <c r="D378" t="s">
        <v>245</v>
      </c>
      <c r="E378">
        <v>13</v>
      </c>
      <c r="F378">
        <v>61.68</v>
      </c>
      <c r="G378">
        <v>801.84</v>
      </c>
      <c r="H378" t="s">
        <v>183</v>
      </c>
      <c r="I378" t="str">
        <f>LEFT(E_invoice[[#This Row],[P.Code]],8)</f>
        <v>PSR0V20D</v>
      </c>
      <c r="J378" t="str">
        <f>VLOOKUP(E_invoice[[#This Row],[Customer]],$A$2:$B$44,2,0)</f>
        <v>BRIDGESTONE ASIA PACIFIC PTE. LTD</v>
      </c>
      <c r="K378" t="str">
        <f>E_invoice[[#This Row],[Customer]]</f>
        <v>355000A</v>
      </c>
    </row>
    <row r="379" spans="1:11" x14ac:dyDescent="0.25">
      <c r="A379" t="s">
        <v>181</v>
      </c>
      <c r="B379" t="s">
        <v>5714</v>
      </c>
      <c r="C379" t="s">
        <v>73</v>
      </c>
      <c r="D379" t="s">
        <v>211</v>
      </c>
      <c r="E379">
        <v>6</v>
      </c>
      <c r="F379">
        <v>41.23</v>
      </c>
      <c r="G379">
        <v>247.38</v>
      </c>
      <c r="H379" t="s">
        <v>183</v>
      </c>
      <c r="I379" t="str">
        <f>LEFT(E_invoice[[#This Row],[P.Code]],8)</f>
        <v>PSR0V165</v>
      </c>
      <c r="J379" t="str">
        <f>VLOOKUP(E_invoice[[#This Row],[Customer]],$A$2:$B$44,2,0)</f>
        <v>BRIDGESTONE ASIA PACIFIC PTE. LTD</v>
      </c>
      <c r="K379" t="str">
        <f>E_invoice[[#This Row],[Customer]]</f>
        <v>355000A</v>
      </c>
    </row>
    <row r="380" spans="1:11" x14ac:dyDescent="0.25">
      <c r="A380" t="s">
        <v>181</v>
      </c>
      <c r="B380" t="s">
        <v>5714</v>
      </c>
      <c r="C380" t="s">
        <v>73</v>
      </c>
      <c r="D380" t="s">
        <v>208</v>
      </c>
      <c r="E380">
        <v>94</v>
      </c>
      <c r="F380">
        <v>51.9</v>
      </c>
      <c r="G380">
        <v>4878.6000000000004</v>
      </c>
      <c r="H380" t="s">
        <v>183</v>
      </c>
      <c r="I380" t="str">
        <f>LEFT(E_invoice[[#This Row],[P.Code]],8)</f>
        <v>PSR0V186</v>
      </c>
      <c r="J380" t="str">
        <f>VLOOKUP(E_invoice[[#This Row],[Customer]],$A$2:$B$44,2,0)</f>
        <v>BRIDGESTONE ASIA PACIFIC PTE. LTD</v>
      </c>
      <c r="K380" t="str">
        <f>E_invoice[[#This Row],[Customer]]</f>
        <v>355000A</v>
      </c>
    </row>
    <row r="381" spans="1:11" x14ac:dyDescent="0.25">
      <c r="A381" t="s">
        <v>181</v>
      </c>
      <c r="B381" t="s">
        <v>5714</v>
      </c>
      <c r="C381" t="s">
        <v>73</v>
      </c>
      <c r="D381" t="s">
        <v>232</v>
      </c>
      <c r="E381">
        <v>4</v>
      </c>
      <c r="F381">
        <v>71.06</v>
      </c>
      <c r="G381">
        <v>284.24</v>
      </c>
      <c r="H381" t="s">
        <v>183</v>
      </c>
      <c r="I381" t="str">
        <f>LEFT(E_invoice[[#This Row],[P.Code]],8)</f>
        <v>PSR0V208</v>
      </c>
      <c r="J381" t="str">
        <f>VLOOKUP(E_invoice[[#This Row],[Customer]],$A$2:$B$44,2,0)</f>
        <v>BRIDGESTONE ASIA PACIFIC PTE. LTD</v>
      </c>
      <c r="K381" t="str">
        <f>E_invoice[[#This Row],[Customer]]</f>
        <v>355000A</v>
      </c>
    </row>
    <row r="382" spans="1:11" x14ac:dyDescent="0.25">
      <c r="A382" t="s">
        <v>181</v>
      </c>
      <c r="B382" t="s">
        <v>5714</v>
      </c>
      <c r="C382" t="s">
        <v>73</v>
      </c>
      <c r="D382" t="s">
        <v>215</v>
      </c>
      <c r="E382">
        <v>27</v>
      </c>
      <c r="F382">
        <v>31.73</v>
      </c>
      <c r="G382">
        <v>856.71</v>
      </c>
      <c r="H382" t="s">
        <v>183</v>
      </c>
      <c r="I382" t="str">
        <f>LEFT(E_invoice[[#This Row],[P.Code]],8)</f>
        <v>PSR0V45D</v>
      </c>
      <c r="J382" t="str">
        <f>VLOOKUP(E_invoice[[#This Row],[Customer]],$A$2:$B$44,2,0)</f>
        <v>BRIDGESTONE ASIA PACIFIC PTE. LTD</v>
      </c>
      <c r="K382" t="str">
        <f>E_invoice[[#This Row],[Customer]]</f>
        <v>355000A</v>
      </c>
    </row>
    <row r="383" spans="1:11" x14ac:dyDescent="0.25">
      <c r="A383" t="s">
        <v>181</v>
      </c>
      <c r="B383" t="s">
        <v>5714</v>
      </c>
      <c r="C383" t="s">
        <v>73</v>
      </c>
      <c r="D383" t="s">
        <v>213</v>
      </c>
      <c r="E383">
        <v>18</v>
      </c>
      <c r="F383">
        <v>54.94</v>
      </c>
      <c r="G383">
        <v>988.92</v>
      </c>
      <c r="H383" t="s">
        <v>183</v>
      </c>
      <c r="I383" t="str">
        <f>LEFT(E_invoice[[#This Row],[P.Code]],8)</f>
        <v>PSR0V13D</v>
      </c>
      <c r="J383" t="str">
        <f>VLOOKUP(E_invoice[[#This Row],[Customer]],$A$2:$B$44,2,0)</f>
        <v>BRIDGESTONE ASIA PACIFIC PTE. LTD</v>
      </c>
      <c r="K383" t="str">
        <f>E_invoice[[#This Row],[Customer]]</f>
        <v>355000A</v>
      </c>
    </row>
    <row r="384" spans="1:11" x14ac:dyDescent="0.25">
      <c r="A384" t="s">
        <v>181</v>
      </c>
      <c r="B384" t="s">
        <v>5714</v>
      </c>
      <c r="C384" t="s">
        <v>73</v>
      </c>
      <c r="D384" t="s">
        <v>195</v>
      </c>
      <c r="E384">
        <v>28</v>
      </c>
      <c r="F384">
        <v>39.51</v>
      </c>
      <c r="G384">
        <v>1106.28</v>
      </c>
      <c r="H384" t="s">
        <v>183</v>
      </c>
      <c r="I384" t="str">
        <f>LEFT(E_invoice[[#This Row],[P.Code]],8)</f>
        <v>PSR0V05S</v>
      </c>
      <c r="J384" t="str">
        <f>VLOOKUP(E_invoice[[#This Row],[Customer]],$A$2:$B$44,2,0)</f>
        <v>BRIDGESTONE ASIA PACIFIC PTE. LTD</v>
      </c>
      <c r="K384" t="str">
        <f>E_invoice[[#This Row],[Customer]]</f>
        <v>355000A</v>
      </c>
    </row>
    <row r="385" spans="1:11" x14ac:dyDescent="0.25">
      <c r="A385" t="s">
        <v>181</v>
      </c>
      <c r="B385" t="s">
        <v>5714</v>
      </c>
      <c r="C385" t="s">
        <v>73</v>
      </c>
      <c r="D385" t="s">
        <v>225</v>
      </c>
      <c r="E385">
        <v>64</v>
      </c>
      <c r="F385">
        <v>41.34</v>
      </c>
      <c r="G385">
        <v>2645.76</v>
      </c>
      <c r="H385" t="s">
        <v>183</v>
      </c>
      <c r="I385" t="str">
        <f>LEFT(E_invoice[[#This Row],[P.Code]],8)</f>
        <v>PSR0V170</v>
      </c>
      <c r="J385" t="str">
        <f>VLOOKUP(E_invoice[[#This Row],[Customer]],$A$2:$B$44,2,0)</f>
        <v>BRIDGESTONE ASIA PACIFIC PTE. LTD</v>
      </c>
      <c r="K385" t="str">
        <f>E_invoice[[#This Row],[Customer]]</f>
        <v>355000A</v>
      </c>
    </row>
    <row r="386" spans="1:11" x14ac:dyDescent="0.25">
      <c r="A386" t="s">
        <v>181</v>
      </c>
      <c r="B386" t="s">
        <v>5714</v>
      </c>
      <c r="C386" t="s">
        <v>73</v>
      </c>
      <c r="D386" t="s">
        <v>207</v>
      </c>
      <c r="E386">
        <v>12</v>
      </c>
      <c r="F386">
        <v>43.68</v>
      </c>
      <c r="G386">
        <v>524.16</v>
      </c>
      <c r="H386" t="s">
        <v>183</v>
      </c>
      <c r="I386" t="str">
        <f>LEFT(E_invoice[[#This Row],[P.Code]],8)</f>
        <v>PSR0V50D</v>
      </c>
      <c r="J386" t="str">
        <f>VLOOKUP(E_invoice[[#This Row],[Customer]],$A$2:$B$44,2,0)</f>
        <v>BRIDGESTONE ASIA PACIFIC PTE. LTD</v>
      </c>
      <c r="K386" t="str">
        <f>E_invoice[[#This Row],[Customer]]</f>
        <v>355000A</v>
      </c>
    </row>
    <row r="387" spans="1:11" x14ac:dyDescent="0.25">
      <c r="A387" t="s">
        <v>181</v>
      </c>
      <c r="B387" t="s">
        <v>5715</v>
      </c>
      <c r="C387" t="s">
        <v>73</v>
      </c>
      <c r="D387" t="s">
        <v>215</v>
      </c>
      <c r="E387">
        <v>40</v>
      </c>
      <c r="F387">
        <v>31.73</v>
      </c>
      <c r="G387">
        <v>1269.2</v>
      </c>
      <c r="H387" t="s">
        <v>231</v>
      </c>
      <c r="I387" t="str">
        <f>LEFT(E_invoice[[#This Row],[P.Code]],8)</f>
        <v>PSR0V45D</v>
      </c>
      <c r="J387" t="str">
        <f>VLOOKUP(E_invoice[[#This Row],[Customer]],$A$2:$B$44,2,0)</f>
        <v>BRIDGESTONE ASIA PACIFIC PTE. LTD</v>
      </c>
      <c r="K387" t="str">
        <f>E_invoice[[#This Row],[Customer]]</f>
        <v>355000A</v>
      </c>
    </row>
    <row r="388" spans="1:11" x14ac:dyDescent="0.25">
      <c r="A388" t="s">
        <v>181</v>
      </c>
      <c r="B388" t="s">
        <v>5715</v>
      </c>
      <c r="C388" t="s">
        <v>73</v>
      </c>
      <c r="D388" t="s">
        <v>182</v>
      </c>
      <c r="E388">
        <v>40</v>
      </c>
      <c r="F388">
        <v>65.459999999999994</v>
      </c>
      <c r="G388">
        <v>2618.4</v>
      </c>
      <c r="H388" t="s">
        <v>231</v>
      </c>
      <c r="I388" t="str">
        <f>LEFT(E_invoice[[#This Row],[P.Code]],8)</f>
        <v>PSR0V42D</v>
      </c>
      <c r="J388" t="str">
        <f>VLOOKUP(E_invoice[[#This Row],[Customer]],$A$2:$B$44,2,0)</f>
        <v>BRIDGESTONE ASIA PACIFIC PTE. LTD</v>
      </c>
      <c r="K388" t="str">
        <f>E_invoice[[#This Row],[Customer]]</f>
        <v>355000A</v>
      </c>
    </row>
    <row r="389" spans="1:11" x14ac:dyDescent="0.25">
      <c r="A389" t="s">
        <v>181</v>
      </c>
      <c r="B389" t="s">
        <v>5715</v>
      </c>
      <c r="C389" t="s">
        <v>73</v>
      </c>
      <c r="D389" t="s">
        <v>192</v>
      </c>
      <c r="E389">
        <v>38</v>
      </c>
      <c r="F389">
        <v>47.75</v>
      </c>
      <c r="G389">
        <v>1814.5</v>
      </c>
      <c r="H389" t="s">
        <v>231</v>
      </c>
      <c r="I389" t="str">
        <f>LEFT(E_invoice[[#This Row],[P.Code]],8)</f>
        <v>PSR0V15D</v>
      </c>
      <c r="J389" t="str">
        <f>VLOOKUP(E_invoice[[#This Row],[Customer]],$A$2:$B$44,2,0)</f>
        <v>BRIDGESTONE ASIA PACIFIC PTE. LTD</v>
      </c>
      <c r="K389" t="str">
        <f>E_invoice[[#This Row],[Customer]]</f>
        <v>355000A</v>
      </c>
    </row>
    <row r="390" spans="1:11" x14ac:dyDescent="0.25">
      <c r="A390" t="s">
        <v>181</v>
      </c>
      <c r="B390" t="s">
        <v>5715</v>
      </c>
      <c r="C390" t="s">
        <v>73</v>
      </c>
      <c r="D390" t="s">
        <v>190</v>
      </c>
      <c r="E390">
        <v>10</v>
      </c>
      <c r="F390">
        <v>56.73</v>
      </c>
      <c r="G390">
        <v>567.29999999999995</v>
      </c>
      <c r="H390" t="s">
        <v>231</v>
      </c>
      <c r="I390" t="str">
        <f>LEFT(E_invoice[[#This Row],[P.Code]],8)</f>
        <v>PSR0V18D</v>
      </c>
      <c r="J390" t="str">
        <f>VLOOKUP(E_invoice[[#This Row],[Customer]],$A$2:$B$44,2,0)</f>
        <v>BRIDGESTONE ASIA PACIFIC PTE. LTD</v>
      </c>
      <c r="K390" t="str">
        <f>E_invoice[[#This Row],[Customer]]</f>
        <v>355000A</v>
      </c>
    </row>
    <row r="391" spans="1:11" x14ac:dyDescent="0.25">
      <c r="A391" t="s">
        <v>181</v>
      </c>
      <c r="B391" t="s">
        <v>5715</v>
      </c>
      <c r="C391" t="s">
        <v>73</v>
      </c>
      <c r="D391" t="s">
        <v>213</v>
      </c>
      <c r="E391">
        <v>40</v>
      </c>
      <c r="F391">
        <v>54.94</v>
      </c>
      <c r="G391">
        <v>2197.6</v>
      </c>
      <c r="H391" t="s">
        <v>231</v>
      </c>
      <c r="I391" t="str">
        <f>LEFT(E_invoice[[#This Row],[P.Code]],8)</f>
        <v>PSR0V13D</v>
      </c>
      <c r="J391" t="str">
        <f>VLOOKUP(E_invoice[[#This Row],[Customer]],$A$2:$B$44,2,0)</f>
        <v>BRIDGESTONE ASIA PACIFIC PTE. LTD</v>
      </c>
      <c r="K391" t="str">
        <f>E_invoice[[#This Row],[Customer]]</f>
        <v>355000A</v>
      </c>
    </row>
    <row r="392" spans="1:11" x14ac:dyDescent="0.25">
      <c r="A392" t="s">
        <v>181</v>
      </c>
      <c r="B392" t="s">
        <v>5715</v>
      </c>
      <c r="C392" t="s">
        <v>73</v>
      </c>
      <c r="D392" t="s">
        <v>219</v>
      </c>
      <c r="E392">
        <v>56</v>
      </c>
      <c r="F392">
        <v>35.93</v>
      </c>
      <c r="G392">
        <v>2012.08</v>
      </c>
      <c r="H392" t="s">
        <v>231</v>
      </c>
      <c r="I392" t="str">
        <f>LEFT(E_invoice[[#This Row],[P.Code]],8)</f>
        <v>PSR0V03S</v>
      </c>
      <c r="J392" t="str">
        <f>VLOOKUP(E_invoice[[#This Row],[Customer]],$A$2:$B$44,2,0)</f>
        <v>BRIDGESTONE ASIA PACIFIC PTE. LTD</v>
      </c>
      <c r="K392" t="str">
        <f>E_invoice[[#This Row],[Customer]]</f>
        <v>355000A</v>
      </c>
    </row>
    <row r="393" spans="1:11" x14ac:dyDescent="0.25">
      <c r="A393" t="s">
        <v>181</v>
      </c>
      <c r="B393" t="s">
        <v>5715</v>
      </c>
      <c r="C393" t="s">
        <v>73</v>
      </c>
      <c r="D393" t="s">
        <v>189</v>
      </c>
      <c r="E393">
        <v>59</v>
      </c>
      <c r="F393">
        <v>44.99</v>
      </c>
      <c r="G393">
        <v>2654.41</v>
      </c>
      <c r="H393" t="s">
        <v>231</v>
      </c>
      <c r="I393" t="str">
        <f>LEFT(E_invoice[[#This Row],[P.Code]],8)</f>
        <v>PSR0V48D</v>
      </c>
      <c r="J393" t="str">
        <f>VLOOKUP(E_invoice[[#This Row],[Customer]],$A$2:$B$44,2,0)</f>
        <v>BRIDGESTONE ASIA PACIFIC PTE. LTD</v>
      </c>
      <c r="K393" t="str">
        <f>E_invoice[[#This Row],[Customer]]</f>
        <v>355000A</v>
      </c>
    </row>
    <row r="394" spans="1:11" x14ac:dyDescent="0.25">
      <c r="A394" t="s">
        <v>181</v>
      </c>
      <c r="B394" t="s">
        <v>5715</v>
      </c>
      <c r="C394" t="s">
        <v>73</v>
      </c>
      <c r="D394" t="s">
        <v>206</v>
      </c>
      <c r="E394">
        <v>40</v>
      </c>
      <c r="F394">
        <v>51.35</v>
      </c>
      <c r="G394">
        <v>2054</v>
      </c>
      <c r="H394" t="s">
        <v>231</v>
      </c>
      <c r="I394" t="str">
        <f>LEFT(E_invoice[[#This Row],[P.Code]],8)</f>
        <v>PSR0V16D</v>
      </c>
      <c r="J394" t="str">
        <f>VLOOKUP(E_invoice[[#This Row],[Customer]],$A$2:$B$44,2,0)</f>
        <v>BRIDGESTONE ASIA PACIFIC PTE. LTD</v>
      </c>
      <c r="K394" t="str">
        <f>E_invoice[[#This Row],[Customer]]</f>
        <v>355000A</v>
      </c>
    </row>
    <row r="395" spans="1:11" x14ac:dyDescent="0.25">
      <c r="A395" t="s">
        <v>181</v>
      </c>
      <c r="B395" t="s">
        <v>5715</v>
      </c>
      <c r="C395" t="s">
        <v>73</v>
      </c>
      <c r="D395" t="s">
        <v>191</v>
      </c>
      <c r="E395">
        <v>186</v>
      </c>
      <c r="F395">
        <v>34.130000000000003</v>
      </c>
      <c r="G395">
        <v>6348.18</v>
      </c>
      <c r="H395" t="s">
        <v>231</v>
      </c>
      <c r="I395" t="str">
        <f>LEFT(E_invoice[[#This Row],[P.Code]],8)</f>
        <v>PSR0V01S</v>
      </c>
      <c r="J395" t="str">
        <f>VLOOKUP(E_invoice[[#This Row],[Customer]],$A$2:$B$44,2,0)</f>
        <v>BRIDGESTONE ASIA PACIFIC PTE. LTD</v>
      </c>
      <c r="K395" t="str">
        <f>E_invoice[[#This Row],[Customer]]</f>
        <v>355000A</v>
      </c>
    </row>
    <row r="396" spans="1:11" x14ac:dyDescent="0.25">
      <c r="A396" t="s">
        <v>181</v>
      </c>
      <c r="B396" t="s">
        <v>5715</v>
      </c>
      <c r="C396" t="s">
        <v>73</v>
      </c>
      <c r="D396" t="s">
        <v>197</v>
      </c>
      <c r="E396">
        <v>52</v>
      </c>
      <c r="F396">
        <v>53.12</v>
      </c>
      <c r="G396">
        <v>2762.24</v>
      </c>
      <c r="H396" t="s">
        <v>231</v>
      </c>
      <c r="I396" t="str">
        <f>LEFT(E_invoice[[#This Row],[P.Code]],8)</f>
        <v>PSR0V19D</v>
      </c>
      <c r="J396" t="str">
        <f>VLOOKUP(E_invoice[[#This Row],[Customer]],$A$2:$B$44,2,0)</f>
        <v>BRIDGESTONE ASIA PACIFIC PTE. LTD</v>
      </c>
      <c r="K396" t="str">
        <f>E_invoice[[#This Row],[Customer]]</f>
        <v>355000A</v>
      </c>
    </row>
    <row r="397" spans="1:11" x14ac:dyDescent="0.25">
      <c r="A397" t="s">
        <v>181</v>
      </c>
      <c r="B397" t="s">
        <v>5715</v>
      </c>
      <c r="C397" t="s">
        <v>73</v>
      </c>
      <c r="D397" t="s">
        <v>194</v>
      </c>
      <c r="E397">
        <v>18</v>
      </c>
      <c r="F397">
        <v>33.58</v>
      </c>
      <c r="G397">
        <v>604.44000000000005</v>
      </c>
      <c r="H397" t="s">
        <v>231</v>
      </c>
      <c r="I397" t="str">
        <f>LEFT(E_invoice[[#This Row],[P.Code]],8)</f>
        <v>PSR0V25S</v>
      </c>
      <c r="J397" t="str">
        <f>VLOOKUP(E_invoice[[#This Row],[Customer]],$A$2:$B$44,2,0)</f>
        <v>BRIDGESTONE ASIA PACIFIC PTE. LTD</v>
      </c>
      <c r="K397" t="str">
        <f>E_invoice[[#This Row],[Customer]]</f>
        <v>355000A</v>
      </c>
    </row>
    <row r="398" spans="1:11" x14ac:dyDescent="0.25">
      <c r="A398" t="s">
        <v>181</v>
      </c>
      <c r="B398" t="s">
        <v>5715</v>
      </c>
      <c r="C398" t="s">
        <v>73</v>
      </c>
      <c r="D398" t="s">
        <v>207</v>
      </c>
      <c r="E398">
        <v>166</v>
      </c>
      <c r="F398">
        <v>43.68</v>
      </c>
      <c r="G398">
        <v>7250.88</v>
      </c>
      <c r="H398" t="s">
        <v>231</v>
      </c>
      <c r="I398" t="str">
        <f>LEFT(E_invoice[[#This Row],[P.Code]],8)</f>
        <v>PSR0V50D</v>
      </c>
      <c r="J398" t="str">
        <f>VLOOKUP(E_invoice[[#This Row],[Customer]],$A$2:$B$44,2,0)</f>
        <v>BRIDGESTONE ASIA PACIFIC PTE. LTD</v>
      </c>
      <c r="K398" t="str">
        <f>E_invoice[[#This Row],[Customer]]</f>
        <v>355000A</v>
      </c>
    </row>
    <row r="399" spans="1:11" x14ac:dyDescent="0.25">
      <c r="A399" t="s">
        <v>181</v>
      </c>
      <c r="B399" t="s">
        <v>5715</v>
      </c>
      <c r="C399" t="s">
        <v>73</v>
      </c>
      <c r="D399" t="s">
        <v>184</v>
      </c>
      <c r="E399">
        <v>10</v>
      </c>
      <c r="F399">
        <v>49.89</v>
      </c>
      <c r="G399">
        <v>498.9</v>
      </c>
      <c r="H399" t="s">
        <v>231</v>
      </c>
      <c r="I399" t="str">
        <f>LEFT(E_invoice[[#This Row],[P.Code]],8)</f>
        <v>PSR0V11D</v>
      </c>
      <c r="J399" t="str">
        <f>VLOOKUP(E_invoice[[#This Row],[Customer]],$A$2:$B$44,2,0)</f>
        <v>BRIDGESTONE ASIA PACIFIC PTE. LTD</v>
      </c>
      <c r="K399" t="str">
        <f>E_invoice[[#This Row],[Customer]]</f>
        <v>355000A</v>
      </c>
    </row>
    <row r="400" spans="1:11" x14ac:dyDescent="0.25">
      <c r="A400" t="s">
        <v>181</v>
      </c>
      <c r="B400" t="s">
        <v>5716</v>
      </c>
      <c r="C400" t="s">
        <v>73</v>
      </c>
      <c r="D400" t="s">
        <v>232</v>
      </c>
      <c r="E400">
        <v>10</v>
      </c>
      <c r="F400">
        <v>71.06</v>
      </c>
      <c r="G400">
        <v>710.6</v>
      </c>
      <c r="H400" t="s">
        <v>231</v>
      </c>
      <c r="I400" t="str">
        <f>LEFT(E_invoice[[#This Row],[P.Code]],8)</f>
        <v>PSR0V208</v>
      </c>
      <c r="J400" t="str">
        <f>VLOOKUP(E_invoice[[#This Row],[Customer]],$A$2:$B$44,2,0)</f>
        <v>BRIDGESTONE ASIA PACIFIC PTE. LTD</v>
      </c>
      <c r="K400" t="str">
        <f>E_invoice[[#This Row],[Customer]]</f>
        <v>355000A</v>
      </c>
    </row>
    <row r="401" spans="1:11" x14ac:dyDescent="0.25">
      <c r="A401" t="s">
        <v>181</v>
      </c>
      <c r="B401" t="s">
        <v>5716</v>
      </c>
      <c r="C401" t="s">
        <v>73</v>
      </c>
      <c r="D401" t="s">
        <v>202</v>
      </c>
      <c r="E401">
        <v>20</v>
      </c>
      <c r="F401">
        <v>39.29</v>
      </c>
      <c r="G401">
        <v>785.8</v>
      </c>
      <c r="H401" t="s">
        <v>231</v>
      </c>
      <c r="I401" t="str">
        <f>LEFT(E_invoice[[#This Row],[P.Code]],8)</f>
        <v>PSR0V11S</v>
      </c>
      <c r="J401" t="str">
        <f>VLOOKUP(E_invoice[[#This Row],[Customer]],$A$2:$B$44,2,0)</f>
        <v>BRIDGESTONE ASIA PACIFIC PTE. LTD</v>
      </c>
      <c r="K401" t="str">
        <f>E_invoice[[#This Row],[Customer]]</f>
        <v>355000A</v>
      </c>
    </row>
    <row r="402" spans="1:11" x14ac:dyDescent="0.25">
      <c r="A402" t="s">
        <v>181</v>
      </c>
      <c r="B402" t="s">
        <v>5716</v>
      </c>
      <c r="C402" t="s">
        <v>73</v>
      </c>
      <c r="D402" t="s">
        <v>198</v>
      </c>
      <c r="E402">
        <v>80</v>
      </c>
      <c r="F402">
        <v>53.46</v>
      </c>
      <c r="G402">
        <v>4276.8</v>
      </c>
      <c r="H402" t="s">
        <v>231</v>
      </c>
      <c r="I402" t="str">
        <f>LEFT(E_invoice[[#This Row],[P.Code]],8)</f>
        <v>PSR0V22D</v>
      </c>
      <c r="J402" t="str">
        <f>VLOOKUP(E_invoice[[#This Row],[Customer]],$A$2:$B$44,2,0)</f>
        <v>BRIDGESTONE ASIA PACIFIC PTE. LTD</v>
      </c>
      <c r="K402" t="str">
        <f>E_invoice[[#This Row],[Customer]]</f>
        <v>355000A</v>
      </c>
    </row>
    <row r="403" spans="1:11" x14ac:dyDescent="0.25">
      <c r="A403" t="s">
        <v>181</v>
      </c>
      <c r="B403" t="s">
        <v>5716</v>
      </c>
      <c r="C403" t="s">
        <v>73</v>
      </c>
      <c r="D403" t="s">
        <v>220</v>
      </c>
      <c r="E403">
        <v>30</v>
      </c>
      <c r="F403">
        <v>37.93</v>
      </c>
      <c r="G403">
        <v>1137.9000000000001</v>
      </c>
      <c r="H403" t="s">
        <v>231</v>
      </c>
      <c r="I403" t="str">
        <f>LEFT(E_invoice[[#This Row],[P.Code]],8)</f>
        <v>PSR0V46D</v>
      </c>
      <c r="J403" t="str">
        <f>VLOOKUP(E_invoice[[#This Row],[Customer]],$A$2:$B$44,2,0)</f>
        <v>BRIDGESTONE ASIA PACIFIC PTE. LTD</v>
      </c>
      <c r="K403" t="str">
        <f>E_invoice[[#This Row],[Customer]]</f>
        <v>355000A</v>
      </c>
    </row>
    <row r="404" spans="1:11" x14ac:dyDescent="0.25">
      <c r="A404" t="s">
        <v>181</v>
      </c>
      <c r="B404" t="s">
        <v>5716</v>
      </c>
      <c r="C404" t="s">
        <v>73</v>
      </c>
      <c r="D404" t="s">
        <v>216</v>
      </c>
      <c r="E404">
        <v>134</v>
      </c>
      <c r="F404">
        <v>47.95</v>
      </c>
      <c r="G404">
        <v>6425.3</v>
      </c>
      <c r="H404" t="s">
        <v>231</v>
      </c>
      <c r="I404" t="str">
        <f>LEFT(E_invoice[[#This Row],[P.Code]],8)</f>
        <v>PSR0V07S</v>
      </c>
      <c r="J404" t="str">
        <f>VLOOKUP(E_invoice[[#This Row],[Customer]],$A$2:$B$44,2,0)</f>
        <v>BRIDGESTONE ASIA PACIFIC PTE. LTD</v>
      </c>
      <c r="K404" t="str">
        <f>E_invoice[[#This Row],[Customer]]</f>
        <v>355000A</v>
      </c>
    </row>
    <row r="405" spans="1:11" x14ac:dyDescent="0.25">
      <c r="A405" t="s">
        <v>181</v>
      </c>
      <c r="B405" t="s">
        <v>5716</v>
      </c>
      <c r="C405" t="s">
        <v>73</v>
      </c>
      <c r="D405" t="s">
        <v>246</v>
      </c>
      <c r="E405">
        <v>22</v>
      </c>
      <c r="F405">
        <v>41.6</v>
      </c>
      <c r="G405">
        <v>915.2</v>
      </c>
      <c r="H405" t="s">
        <v>231</v>
      </c>
      <c r="I405" t="str">
        <f>LEFT(E_invoice[[#This Row],[P.Code]],8)</f>
        <v>PSR0V47D</v>
      </c>
      <c r="J405" t="str">
        <f>VLOOKUP(E_invoice[[#This Row],[Customer]],$A$2:$B$44,2,0)</f>
        <v>BRIDGESTONE ASIA PACIFIC PTE. LTD</v>
      </c>
      <c r="K405" t="str">
        <f>E_invoice[[#This Row],[Customer]]</f>
        <v>355000A</v>
      </c>
    </row>
    <row r="406" spans="1:11" x14ac:dyDescent="0.25">
      <c r="A406" t="s">
        <v>181</v>
      </c>
      <c r="B406" t="s">
        <v>5716</v>
      </c>
      <c r="C406" t="s">
        <v>73</v>
      </c>
      <c r="D406" t="s">
        <v>207</v>
      </c>
      <c r="E406">
        <v>70</v>
      </c>
      <c r="F406">
        <v>43.68</v>
      </c>
      <c r="G406">
        <v>3057.6</v>
      </c>
      <c r="H406" t="s">
        <v>231</v>
      </c>
      <c r="I406" t="str">
        <f>LEFT(E_invoice[[#This Row],[P.Code]],8)</f>
        <v>PSR0V50D</v>
      </c>
      <c r="J406" t="str">
        <f>VLOOKUP(E_invoice[[#This Row],[Customer]],$A$2:$B$44,2,0)</f>
        <v>BRIDGESTONE ASIA PACIFIC PTE. LTD</v>
      </c>
      <c r="K406" t="str">
        <f>E_invoice[[#This Row],[Customer]]</f>
        <v>355000A</v>
      </c>
    </row>
    <row r="407" spans="1:11" x14ac:dyDescent="0.25">
      <c r="A407" t="s">
        <v>181</v>
      </c>
      <c r="B407" t="s">
        <v>5716</v>
      </c>
      <c r="C407" t="s">
        <v>73</v>
      </c>
      <c r="D407" t="s">
        <v>184</v>
      </c>
      <c r="E407">
        <v>28</v>
      </c>
      <c r="F407">
        <v>49.89</v>
      </c>
      <c r="G407">
        <v>1396.92</v>
      </c>
      <c r="H407" t="s">
        <v>231</v>
      </c>
      <c r="I407" t="str">
        <f>LEFT(E_invoice[[#This Row],[P.Code]],8)</f>
        <v>PSR0V11D</v>
      </c>
      <c r="J407" t="str">
        <f>VLOOKUP(E_invoice[[#This Row],[Customer]],$A$2:$B$44,2,0)</f>
        <v>BRIDGESTONE ASIA PACIFIC PTE. LTD</v>
      </c>
      <c r="K407" t="str">
        <f>E_invoice[[#This Row],[Customer]]</f>
        <v>355000A</v>
      </c>
    </row>
    <row r="408" spans="1:11" x14ac:dyDescent="0.25">
      <c r="A408" t="s">
        <v>181</v>
      </c>
      <c r="B408" t="s">
        <v>5716</v>
      </c>
      <c r="C408" t="s">
        <v>73</v>
      </c>
      <c r="D408" t="s">
        <v>197</v>
      </c>
      <c r="E408">
        <v>44</v>
      </c>
      <c r="F408">
        <v>53.12</v>
      </c>
      <c r="G408">
        <v>2337.2800000000002</v>
      </c>
      <c r="H408" t="s">
        <v>231</v>
      </c>
      <c r="I408" t="str">
        <f>LEFT(E_invoice[[#This Row],[P.Code]],8)</f>
        <v>PSR0V19D</v>
      </c>
      <c r="J408" t="str">
        <f>VLOOKUP(E_invoice[[#This Row],[Customer]],$A$2:$B$44,2,0)</f>
        <v>BRIDGESTONE ASIA PACIFIC PTE. LTD</v>
      </c>
      <c r="K408" t="str">
        <f>E_invoice[[#This Row],[Customer]]</f>
        <v>355000A</v>
      </c>
    </row>
    <row r="409" spans="1:11" x14ac:dyDescent="0.25">
      <c r="A409" t="s">
        <v>181</v>
      </c>
      <c r="B409" t="s">
        <v>5716</v>
      </c>
      <c r="C409" t="s">
        <v>73</v>
      </c>
      <c r="D409" t="s">
        <v>192</v>
      </c>
      <c r="E409">
        <v>70</v>
      </c>
      <c r="F409">
        <v>47.75</v>
      </c>
      <c r="G409">
        <v>3342.5</v>
      </c>
      <c r="H409" t="s">
        <v>231</v>
      </c>
      <c r="I409" t="str">
        <f>LEFT(E_invoice[[#This Row],[P.Code]],8)</f>
        <v>PSR0V15D</v>
      </c>
      <c r="J409" t="str">
        <f>VLOOKUP(E_invoice[[#This Row],[Customer]],$A$2:$B$44,2,0)</f>
        <v>BRIDGESTONE ASIA PACIFIC PTE. LTD</v>
      </c>
      <c r="K409" t="str">
        <f>E_invoice[[#This Row],[Customer]]</f>
        <v>355000A</v>
      </c>
    </row>
    <row r="410" spans="1:11" x14ac:dyDescent="0.25">
      <c r="A410" t="s">
        <v>181</v>
      </c>
      <c r="B410" t="s">
        <v>5716</v>
      </c>
      <c r="C410" t="s">
        <v>73</v>
      </c>
      <c r="D410" t="s">
        <v>203</v>
      </c>
      <c r="E410">
        <v>10</v>
      </c>
      <c r="F410">
        <v>47.04</v>
      </c>
      <c r="G410">
        <v>470.4</v>
      </c>
      <c r="H410" t="s">
        <v>231</v>
      </c>
      <c r="I410" t="str">
        <f>LEFT(E_invoice[[#This Row],[P.Code]],8)</f>
        <v>PSR0V12D</v>
      </c>
      <c r="J410" t="str">
        <f>VLOOKUP(E_invoice[[#This Row],[Customer]],$A$2:$B$44,2,0)</f>
        <v>BRIDGESTONE ASIA PACIFIC PTE. LTD</v>
      </c>
      <c r="K410" t="str">
        <f>E_invoice[[#This Row],[Customer]]</f>
        <v>355000A</v>
      </c>
    </row>
    <row r="411" spans="1:11" x14ac:dyDescent="0.25">
      <c r="A411" t="s">
        <v>181</v>
      </c>
      <c r="B411" t="s">
        <v>5716</v>
      </c>
      <c r="C411" t="s">
        <v>73</v>
      </c>
      <c r="D411" t="s">
        <v>191</v>
      </c>
      <c r="E411">
        <v>144</v>
      </c>
      <c r="F411">
        <v>34.130000000000003</v>
      </c>
      <c r="G411">
        <v>4914.72</v>
      </c>
      <c r="H411" t="s">
        <v>231</v>
      </c>
      <c r="I411" t="str">
        <f>LEFT(E_invoice[[#This Row],[P.Code]],8)</f>
        <v>PSR0V01S</v>
      </c>
      <c r="J411" t="str">
        <f>VLOOKUP(E_invoice[[#This Row],[Customer]],$A$2:$B$44,2,0)</f>
        <v>BRIDGESTONE ASIA PACIFIC PTE. LTD</v>
      </c>
      <c r="K411" t="str">
        <f>E_invoice[[#This Row],[Customer]]</f>
        <v>355000A</v>
      </c>
    </row>
    <row r="412" spans="1:11" x14ac:dyDescent="0.25">
      <c r="A412" t="s">
        <v>181</v>
      </c>
      <c r="B412" t="s">
        <v>5716</v>
      </c>
      <c r="C412" t="s">
        <v>73</v>
      </c>
      <c r="D412" t="s">
        <v>215</v>
      </c>
      <c r="E412">
        <v>80</v>
      </c>
      <c r="F412">
        <v>31.73</v>
      </c>
      <c r="G412">
        <v>2538.4</v>
      </c>
      <c r="H412" t="s">
        <v>231</v>
      </c>
      <c r="I412" t="str">
        <f>LEFT(E_invoice[[#This Row],[P.Code]],8)</f>
        <v>PSR0V45D</v>
      </c>
      <c r="J412" t="str">
        <f>VLOOKUP(E_invoice[[#This Row],[Customer]],$A$2:$B$44,2,0)</f>
        <v>BRIDGESTONE ASIA PACIFIC PTE. LTD</v>
      </c>
      <c r="K412" t="str">
        <f>E_invoice[[#This Row],[Customer]]</f>
        <v>355000A</v>
      </c>
    </row>
    <row r="413" spans="1:11" x14ac:dyDescent="0.25">
      <c r="A413" t="s">
        <v>181</v>
      </c>
      <c r="B413" t="s">
        <v>5717</v>
      </c>
      <c r="C413" t="s">
        <v>73</v>
      </c>
      <c r="D413" t="s">
        <v>184</v>
      </c>
      <c r="E413">
        <v>45</v>
      </c>
      <c r="F413">
        <v>49.89</v>
      </c>
      <c r="G413">
        <v>2245.0500000000002</v>
      </c>
      <c r="H413" t="s">
        <v>231</v>
      </c>
      <c r="I413" t="str">
        <f>LEFT(E_invoice[[#This Row],[P.Code]],8)</f>
        <v>PSR0V11D</v>
      </c>
      <c r="J413" t="str">
        <f>VLOOKUP(E_invoice[[#This Row],[Customer]],$A$2:$B$44,2,0)</f>
        <v>BRIDGESTONE ASIA PACIFIC PTE. LTD</v>
      </c>
      <c r="K413" t="str">
        <f>E_invoice[[#This Row],[Customer]]</f>
        <v>355000A</v>
      </c>
    </row>
    <row r="414" spans="1:11" x14ac:dyDescent="0.25">
      <c r="A414" t="s">
        <v>181</v>
      </c>
      <c r="B414" t="s">
        <v>5717</v>
      </c>
      <c r="C414" t="s">
        <v>73</v>
      </c>
      <c r="D414" t="s">
        <v>198</v>
      </c>
      <c r="E414">
        <v>242</v>
      </c>
      <c r="F414">
        <v>53.46</v>
      </c>
      <c r="G414">
        <v>12937.32</v>
      </c>
      <c r="H414" t="s">
        <v>231</v>
      </c>
      <c r="I414" t="str">
        <f>LEFT(E_invoice[[#This Row],[P.Code]],8)</f>
        <v>PSR0V22D</v>
      </c>
      <c r="J414" t="str">
        <f>VLOOKUP(E_invoice[[#This Row],[Customer]],$A$2:$B$44,2,0)</f>
        <v>BRIDGESTONE ASIA PACIFIC PTE. LTD</v>
      </c>
      <c r="K414" t="str">
        <f>E_invoice[[#This Row],[Customer]]</f>
        <v>355000A</v>
      </c>
    </row>
    <row r="415" spans="1:11" x14ac:dyDescent="0.25">
      <c r="A415" t="s">
        <v>181</v>
      </c>
      <c r="B415" t="s">
        <v>5717</v>
      </c>
      <c r="C415" t="s">
        <v>73</v>
      </c>
      <c r="D415" t="s">
        <v>189</v>
      </c>
      <c r="E415">
        <v>144</v>
      </c>
      <c r="F415">
        <v>44.99</v>
      </c>
      <c r="G415">
        <v>6478.56</v>
      </c>
      <c r="H415" t="s">
        <v>231</v>
      </c>
      <c r="I415" t="str">
        <f>LEFT(E_invoice[[#This Row],[P.Code]],8)</f>
        <v>PSR0V48D</v>
      </c>
      <c r="J415" t="str">
        <f>VLOOKUP(E_invoice[[#This Row],[Customer]],$A$2:$B$44,2,0)</f>
        <v>BRIDGESTONE ASIA PACIFIC PTE. LTD</v>
      </c>
      <c r="K415" t="str">
        <f>E_invoice[[#This Row],[Customer]]</f>
        <v>355000A</v>
      </c>
    </row>
    <row r="416" spans="1:11" x14ac:dyDescent="0.25">
      <c r="A416" t="s">
        <v>181</v>
      </c>
      <c r="B416" t="s">
        <v>5717</v>
      </c>
      <c r="C416" t="s">
        <v>73</v>
      </c>
      <c r="D416" t="s">
        <v>250</v>
      </c>
      <c r="E416">
        <v>194</v>
      </c>
      <c r="F416">
        <v>39.020000000000003</v>
      </c>
      <c r="G416">
        <v>7569.88</v>
      </c>
      <c r="H416" t="s">
        <v>231</v>
      </c>
      <c r="I416" t="str">
        <f>LEFT(E_invoice[[#This Row],[P.Code]],8)</f>
        <v>PSR0V04S</v>
      </c>
      <c r="J416" t="str">
        <f>VLOOKUP(E_invoice[[#This Row],[Customer]],$A$2:$B$44,2,0)</f>
        <v>BRIDGESTONE ASIA PACIFIC PTE. LTD</v>
      </c>
      <c r="K416" t="str">
        <f>E_invoice[[#This Row],[Customer]]</f>
        <v>355000A</v>
      </c>
    </row>
    <row r="417" spans="1:11" x14ac:dyDescent="0.25">
      <c r="A417" t="s">
        <v>181</v>
      </c>
      <c r="B417" t="s">
        <v>5717</v>
      </c>
      <c r="C417" t="s">
        <v>73</v>
      </c>
      <c r="D417" t="s">
        <v>213</v>
      </c>
      <c r="E417">
        <v>320</v>
      </c>
      <c r="F417">
        <v>54.94</v>
      </c>
      <c r="G417">
        <v>17580.8</v>
      </c>
      <c r="H417" t="s">
        <v>231</v>
      </c>
      <c r="I417" t="str">
        <f>LEFT(E_invoice[[#This Row],[P.Code]],8)</f>
        <v>PSR0V13D</v>
      </c>
      <c r="J417" t="str">
        <f>VLOOKUP(E_invoice[[#This Row],[Customer]],$A$2:$B$44,2,0)</f>
        <v>BRIDGESTONE ASIA PACIFIC PTE. LTD</v>
      </c>
      <c r="K417" t="str">
        <f>E_invoice[[#This Row],[Customer]]</f>
        <v>355000A</v>
      </c>
    </row>
    <row r="418" spans="1:11" x14ac:dyDescent="0.25">
      <c r="A418" t="s">
        <v>181</v>
      </c>
      <c r="B418" t="s">
        <v>5717</v>
      </c>
      <c r="C418" t="s">
        <v>73</v>
      </c>
      <c r="D418" t="s">
        <v>220</v>
      </c>
      <c r="E418">
        <v>110</v>
      </c>
      <c r="F418">
        <v>37.93</v>
      </c>
      <c r="G418">
        <v>4172.3</v>
      </c>
      <c r="H418" t="s">
        <v>231</v>
      </c>
      <c r="I418" t="str">
        <f>LEFT(E_invoice[[#This Row],[P.Code]],8)</f>
        <v>PSR0V46D</v>
      </c>
      <c r="J418" t="str">
        <f>VLOOKUP(E_invoice[[#This Row],[Customer]],$A$2:$B$44,2,0)</f>
        <v>BRIDGESTONE ASIA PACIFIC PTE. LTD</v>
      </c>
      <c r="K418" t="str">
        <f>E_invoice[[#This Row],[Customer]]</f>
        <v>355000A</v>
      </c>
    </row>
    <row r="419" spans="1:11" x14ac:dyDescent="0.25">
      <c r="A419" t="s">
        <v>181</v>
      </c>
      <c r="B419" t="s">
        <v>5717</v>
      </c>
      <c r="C419" t="s">
        <v>73</v>
      </c>
      <c r="D419" t="s">
        <v>215</v>
      </c>
      <c r="E419">
        <v>188</v>
      </c>
      <c r="F419">
        <v>31.73</v>
      </c>
      <c r="G419">
        <v>5965.24</v>
      </c>
      <c r="H419" t="s">
        <v>231</v>
      </c>
      <c r="I419" t="str">
        <f>LEFT(E_invoice[[#This Row],[P.Code]],8)</f>
        <v>PSR0V45D</v>
      </c>
      <c r="J419" t="str">
        <f>VLOOKUP(E_invoice[[#This Row],[Customer]],$A$2:$B$44,2,0)</f>
        <v>BRIDGESTONE ASIA PACIFIC PTE. LTD</v>
      </c>
      <c r="K419" t="str">
        <f>E_invoice[[#This Row],[Customer]]</f>
        <v>355000A</v>
      </c>
    </row>
    <row r="420" spans="1:11" x14ac:dyDescent="0.25">
      <c r="A420" t="s">
        <v>181</v>
      </c>
      <c r="B420" t="s">
        <v>5717</v>
      </c>
      <c r="C420" t="s">
        <v>73</v>
      </c>
      <c r="D420" t="s">
        <v>207</v>
      </c>
      <c r="E420">
        <v>115</v>
      </c>
      <c r="F420">
        <v>43.68</v>
      </c>
      <c r="G420">
        <v>5023.2</v>
      </c>
      <c r="H420" t="s">
        <v>231</v>
      </c>
      <c r="I420" t="str">
        <f>LEFT(E_invoice[[#This Row],[P.Code]],8)</f>
        <v>PSR0V50D</v>
      </c>
      <c r="J420" t="str">
        <f>VLOOKUP(E_invoice[[#This Row],[Customer]],$A$2:$B$44,2,0)</f>
        <v>BRIDGESTONE ASIA PACIFIC PTE. LTD</v>
      </c>
      <c r="K420" t="str">
        <f>E_invoice[[#This Row],[Customer]]</f>
        <v>355000A</v>
      </c>
    </row>
    <row r="421" spans="1:11" x14ac:dyDescent="0.25">
      <c r="A421" t="s">
        <v>181</v>
      </c>
      <c r="B421" t="s">
        <v>5717</v>
      </c>
      <c r="C421" t="s">
        <v>73</v>
      </c>
      <c r="D421" t="s">
        <v>194</v>
      </c>
      <c r="E421">
        <v>10</v>
      </c>
      <c r="F421">
        <v>33.58</v>
      </c>
      <c r="G421">
        <v>335.8</v>
      </c>
      <c r="H421" t="s">
        <v>231</v>
      </c>
      <c r="I421" t="str">
        <f>LEFT(E_invoice[[#This Row],[P.Code]],8)</f>
        <v>PSR0V25S</v>
      </c>
      <c r="J421" t="str">
        <f>VLOOKUP(E_invoice[[#This Row],[Customer]],$A$2:$B$44,2,0)</f>
        <v>BRIDGESTONE ASIA PACIFIC PTE. LTD</v>
      </c>
      <c r="K421" t="str">
        <f>E_invoice[[#This Row],[Customer]]</f>
        <v>355000A</v>
      </c>
    </row>
    <row r="422" spans="1:11" x14ac:dyDescent="0.25">
      <c r="A422" t="s">
        <v>181</v>
      </c>
      <c r="B422" t="s">
        <v>5718</v>
      </c>
      <c r="C422" t="s">
        <v>73</v>
      </c>
      <c r="D422" t="s">
        <v>5719</v>
      </c>
      <c r="E422">
        <v>7</v>
      </c>
      <c r="F422">
        <v>56.75</v>
      </c>
      <c r="G422">
        <v>397.25</v>
      </c>
      <c r="H422" t="s">
        <v>5720</v>
      </c>
      <c r="I422" t="str">
        <f>LEFT(E_invoice[[#This Row],[P.Code]],8)</f>
        <v>PSR0V184</v>
      </c>
      <c r="J422" t="str">
        <f>VLOOKUP(E_invoice[[#This Row],[Customer]],$A$2:$B$44,2,0)</f>
        <v>BRIDGESTONE ASIA PACIFIC PTE. LTD</v>
      </c>
      <c r="K422" t="str">
        <f>E_invoice[[#This Row],[Customer]]</f>
        <v>355000A</v>
      </c>
    </row>
    <row r="423" spans="1:11" x14ac:dyDescent="0.25">
      <c r="A423" t="s">
        <v>181</v>
      </c>
      <c r="B423" t="s">
        <v>5718</v>
      </c>
      <c r="C423" t="s">
        <v>73</v>
      </c>
      <c r="D423" t="s">
        <v>5719</v>
      </c>
      <c r="E423">
        <v>186</v>
      </c>
      <c r="F423">
        <v>56.75</v>
      </c>
      <c r="G423">
        <v>10555.5</v>
      </c>
      <c r="H423" t="s">
        <v>5720</v>
      </c>
      <c r="I423" t="str">
        <f>LEFT(E_invoice[[#This Row],[P.Code]],8)</f>
        <v>PSR0V184</v>
      </c>
      <c r="J423" t="str">
        <f>VLOOKUP(E_invoice[[#This Row],[Customer]],$A$2:$B$44,2,0)</f>
        <v>BRIDGESTONE ASIA PACIFIC PTE. LTD</v>
      </c>
      <c r="K423" t="str">
        <f>E_invoice[[#This Row],[Customer]]</f>
        <v>355000A</v>
      </c>
    </row>
    <row r="424" spans="1:11" x14ac:dyDescent="0.25">
      <c r="A424" t="s">
        <v>181</v>
      </c>
      <c r="B424" t="s">
        <v>5718</v>
      </c>
      <c r="C424" t="s">
        <v>73</v>
      </c>
      <c r="D424" t="s">
        <v>5719</v>
      </c>
      <c r="E424">
        <v>7</v>
      </c>
      <c r="F424">
        <v>56.75</v>
      </c>
      <c r="G424">
        <v>397.25</v>
      </c>
      <c r="H424" t="s">
        <v>5720</v>
      </c>
      <c r="I424" t="str">
        <f>LEFT(E_invoice[[#This Row],[P.Code]],8)</f>
        <v>PSR0V184</v>
      </c>
      <c r="J424" t="str">
        <f>VLOOKUP(E_invoice[[#This Row],[Customer]],$A$2:$B$44,2,0)</f>
        <v>BRIDGESTONE ASIA PACIFIC PTE. LTD</v>
      </c>
      <c r="K424" t="str">
        <f>E_invoice[[#This Row],[Customer]]</f>
        <v>355000A</v>
      </c>
    </row>
    <row r="425" spans="1:11" x14ac:dyDescent="0.25">
      <c r="A425" t="s">
        <v>181</v>
      </c>
      <c r="B425" t="s">
        <v>5718</v>
      </c>
      <c r="C425" t="s">
        <v>73</v>
      </c>
      <c r="D425" t="s">
        <v>5721</v>
      </c>
      <c r="E425">
        <v>2</v>
      </c>
      <c r="F425">
        <v>47.23</v>
      </c>
      <c r="G425">
        <v>94.46</v>
      </c>
      <c r="H425" t="s">
        <v>5720</v>
      </c>
      <c r="I425" t="str">
        <f>LEFT(E_invoice[[#This Row],[P.Code]],8)</f>
        <v>PSR0V130</v>
      </c>
      <c r="J425" t="str">
        <f>VLOOKUP(E_invoice[[#This Row],[Customer]],$A$2:$B$44,2,0)</f>
        <v>BRIDGESTONE ASIA PACIFIC PTE. LTD</v>
      </c>
      <c r="K425" t="str">
        <f>E_invoice[[#This Row],[Customer]]</f>
        <v>355000A</v>
      </c>
    </row>
    <row r="426" spans="1:11" x14ac:dyDescent="0.25">
      <c r="A426" t="s">
        <v>181</v>
      </c>
      <c r="B426" t="s">
        <v>5718</v>
      </c>
      <c r="C426" t="s">
        <v>73</v>
      </c>
      <c r="D426" t="s">
        <v>262</v>
      </c>
      <c r="E426">
        <v>8</v>
      </c>
      <c r="F426">
        <v>49.35</v>
      </c>
      <c r="G426">
        <v>394.8</v>
      </c>
      <c r="H426" t="s">
        <v>5720</v>
      </c>
      <c r="I426" t="str">
        <f>LEFT(E_invoice[[#This Row],[P.Code]],8)</f>
        <v>PSR0V267</v>
      </c>
      <c r="J426" t="str">
        <f>VLOOKUP(E_invoice[[#This Row],[Customer]],$A$2:$B$44,2,0)</f>
        <v>BRIDGESTONE ASIA PACIFIC PTE. LTD</v>
      </c>
      <c r="K426" t="str">
        <f>E_invoice[[#This Row],[Customer]]</f>
        <v>355000A</v>
      </c>
    </row>
    <row r="427" spans="1:11" x14ac:dyDescent="0.25">
      <c r="A427" t="s">
        <v>181</v>
      </c>
      <c r="B427" t="s">
        <v>5722</v>
      </c>
      <c r="C427" t="s">
        <v>70</v>
      </c>
      <c r="D427" t="s">
        <v>229</v>
      </c>
      <c r="E427">
        <v>600</v>
      </c>
      <c r="F427">
        <v>26.83</v>
      </c>
      <c r="G427">
        <v>16098</v>
      </c>
      <c r="H427" t="s">
        <v>227</v>
      </c>
      <c r="I427" t="str">
        <f>LEFT(E_invoice[[#This Row],[P.Code]],8)</f>
        <v>PSR0V229</v>
      </c>
      <c r="J427" t="str">
        <f>VLOOKUP(E_invoice[[#This Row],[Customer]],$A$2:$B$44,2,0)</f>
        <v>BRIDGESTONE CORPORATION</v>
      </c>
      <c r="K427" t="str">
        <f>E_invoice[[#This Row],[Customer]]</f>
        <v>100000A</v>
      </c>
    </row>
    <row r="428" spans="1:11" x14ac:dyDescent="0.25">
      <c r="A428" t="s">
        <v>181</v>
      </c>
      <c r="B428" t="s">
        <v>5723</v>
      </c>
      <c r="C428" t="s">
        <v>73</v>
      </c>
      <c r="D428" t="s">
        <v>209</v>
      </c>
      <c r="E428">
        <v>18</v>
      </c>
      <c r="F428">
        <v>62.87</v>
      </c>
      <c r="G428">
        <v>1131.6600000000001</v>
      </c>
      <c r="H428" t="s">
        <v>183</v>
      </c>
      <c r="I428" t="str">
        <f>LEFT(E_invoice[[#This Row],[P.Code]],8)</f>
        <v>PSR0V21D</v>
      </c>
      <c r="J428" t="str">
        <f>VLOOKUP(E_invoice[[#This Row],[Customer]],$A$2:$B$44,2,0)</f>
        <v>BRIDGESTONE ASIA PACIFIC PTE. LTD</v>
      </c>
      <c r="K428" t="str">
        <f>E_invoice[[#This Row],[Customer]]</f>
        <v>355000A</v>
      </c>
    </row>
    <row r="429" spans="1:11" x14ac:dyDescent="0.25">
      <c r="A429" t="s">
        <v>181</v>
      </c>
      <c r="B429" t="s">
        <v>5723</v>
      </c>
      <c r="C429" t="s">
        <v>73</v>
      </c>
      <c r="D429" t="s">
        <v>185</v>
      </c>
      <c r="E429">
        <v>21</v>
      </c>
      <c r="F429">
        <v>35.630000000000003</v>
      </c>
      <c r="G429">
        <v>748.23</v>
      </c>
      <c r="H429" t="s">
        <v>183</v>
      </c>
      <c r="I429" t="str">
        <f>LEFT(E_invoice[[#This Row],[P.Code]],8)</f>
        <v>PSR0V05P</v>
      </c>
      <c r="J429" t="str">
        <f>VLOOKUP(E_invoice[[#This Row],[Customer]],$A$2:$B$44,2,0)</f>
        <v>BRIDGESTONE ASIA PACIFIC PTE. LTD</v>
      </c>
      <c r="K429" t="str">
        <f>E_invoice[[#This Row],[Customer]]</f>
        <v>355000A</v>
      </c>
    </row>
    <row r="430" spans="1:11" x14ac:dyDescent="0.25">
      <c r="A430" t="s">
        <v>181</v>
      </c>
      <c r="B430" t="s">
        <v>5723</v>
      </c>
      <c r="C430" t="s">
        <v>73</v>
      </c>
      <c r="D430" t="s">
        <v>220</v>
      </c>
      <c r="E430">
        <v>93</v>
      </c>
      <c r="F430">
        <v>37.93</v>
      </c>
      <c r="G430">
        <v>3527.49</v>
      </c>
      <c r="H430" t="s">
        <v>183</v>
      </c>
      <c r="I430" t="str">
        <f>LEFT(E_invoice[[#This Row],[P.Code]],8)</f>
        <v>PSR0V46D</v>
      </c>
      <c r="J430" t="str">
        <f>VLOOKUP(E_invoice[[#This Row],[Customer]],$A$2:$B$44,2,0)</f>
        <v>BRIDGESTONE ASIA PACIFIC PTE. LTD</v>
      </c>
      <c r="K430" t="str">
        <f>E_invoice[[#This Row],[Customer]]</f>
        <v>355000A</v>
      </c>
    </row>
    <row r="431" spans="1:11" x14ac:dyDescent="0.25">
      <c r="A431" t="s">
        <v>181</v>
      </c>
      <c r="B431" t="s">
        <v>5723</v>
      </c>
      <c r="C431" t="s">
        <v>73</v>
      </c>
      <c r="D431" t="s">
        <v>203</v>
      </c>
      <c r="E431">
        <v>18</v>
      </c>
      <c r="F431">
        <v>47.04</v>
      </c>
      <c r="G431">
        <v>846.72</v>
      </c>
      <c r="H431" t="s">
        <v>183</v>
      </c>
      <c r="I431" t="str">
        <f>LEFT(E_invoice[[#This Row],[P.Code]],8)</f>
        <v>PSR0V12D</v>
      </c>
      <c r="J431" t="str">
        <f>VLOOKUP(E_invoice[[#This Row],[Customer]],$A$2:$B$44,2,0)</f>
        <v>BRIDGESTONE ASIA PACIFIC PTE. LTD</v>
      </c>
      <c r="K431" t="str">
        <f>E_invoice[[#This Row],[Customer]]</f>
        <v>355000A</v>
      </c>
    </row>
    <row r="432" spans="1:11" x14ac:dyDescent="0.25">
      <c r="A432" t="s">
        <v>181</v>
      </c>
      <c r="B432" t="s">
        <v>5723</v>
      </c>
      <c r="C432" t="s">
        <v>73</v>
      </c>
      <c r="D432" t="s">
        <v>188</v>
      </c>
      <c r="E432">
        <v>124</v>
      </c>
      <c r="F432">
        <v>45.47</v>
      </c>
      <c r="G432">
        <v>5638.28</v>
      </c>
      <c r="H432" t="s">
        <v>183</v>
      </c>
      <c r="I432" t="str">
        <f>LEFT(E_invoice[[#This Row],[P.Code]],8)</f>
        <v>PSR0V03P</v>
      </c>
      <c r="J432" t="str">
        <f>VLOOKUP(E_invoice[[#This Row],[Customer]],$A$2:$B$44,2,0)</f>
        <v>BRIDGESTONE ASIA PACIFIC PTE. LTD</v>
      </c>
      <c r="K432" t="str">
        <f>E_invoice[[#This Row],[Customer]]</f>
        <v>355000A</v>
      </c>
    </row>
    <row r="433" spans="1:11" x14ac:dyDescent="0.25">
      <c r="A433" t="s">
        <v>181</v>
      </c>
      <c r="B433" t="s">
        <v>5723</v>
      </c>
      <c r="C433" t="s">
        <v>73</v>
      </c>
      <c r="D433" t="s">
        <v>260</v>
      </c>
      <c r="E433">
        <v>95</v>
      </c>
      <c r="F433">
        <v>51.99</v>
      </c>
      <c r="G433">
        <v>4939.05</v>
      </c>
      <c r="H433" t="s">
        <v>183</v>
      </c>
      <c r="I433" t="str">
        <f>LEFT(E_invoice[[#This Row],[P.Code]],8)</f>
        <v>PSR0V265</v>
      </c>
      <c r="J433" t="str">
        <f>VLOOKUP(E_invoice[[#This Row],[Customer]],$A$2:$B$44,2,0)</f>
        <v>BRIDGESTONE ASIA PACIFIC PTE. LTD</v>
      </c>
      <c r="K433" t="str">
        <f>E_invoice[[#This Row],[Customer]]</f>
        <v>355000A</v>
      </c>
    </row>
    <row r="434" spans="1:11" x14ac:dyDescent="0.25">
      <c r="A434" t="s">
        <v>181</v>
      </c>
      <c r="B434" t="s">
        <v>5723</v>
      </c>
      <c r="C434" t="s">
        <v>73</v>
      </c>
      <c r="D434" t="s">
        <v>192</v>
      </c>
      <c r="E434">
        <v>21</v>
      </c>
      <c r="F434">
        <v>47.75</v>
      </c>
      <c r="G434">
        <v>1002.75</v>
      </c>
      <c r="H434" t="s">
        <v>183</v>
      </c>
      <c r="I434" t="str">
        <f>LEFT(E_invoice[[#This Row],[P.Code]],8)</f>
        <v>PSR0V15D</v>
      </c>
      <c r="J434" t="str">
        <f>VLOOKUP(E_invoice[[#This Row],[Customer]],$A$2:$B$44,2,0)</f>
        <v>BRIDGESTONE ASIA PACIFIC PTE. LTD</v>
      </c>
      <c r="K434" t="str">
        <f>E_invoice[[#This Row],[Customer]]</f>
        <v>355000A</v>
      </c>
    </row>
    <row r="435" spans="1:11" x14ac:dyDescent="0.25">
      <c r="A435" t="s">
        <v>181</v>
      </c>
      <c r="B435" t="s">
        <v>5723</v>
      </c>
      <c r="C435" t="s">
        <v>73</v>
      </c>
      <c r="D435" t="s">
        <v>210</v>
      </c>
      <c r="E435">
        <v>22</v>
      </c>
      <c r="F435">
        <v>49.56</v>
      </c>
      <c r="G435">
        <v>1090.32</v>
      </c>
      <c r="H435" t="s">
        <v>183</v>
      </c>
      <c r="I435" t="str">
        <f>LEFT(E_invoice[[#This Row],[P.Code]],8)</f>
        <v>PSR0V168</v>
      </c>
      <c r="J435" t="str">
        <f>VLOOKUP(E_invoice[[#This Row],[Customer]],$A$2:$B$44,2,0)</f>
        <v>BRIDGESTONE ASIA PACIFIC PTE. LTD</v>
      </c>
      <c r="K435" t="str">
        <f>E_invoice[[#This Row],[Customer]]</f>
        <v>355000A</v>
      </c>
    </row>
    <row r="436" spans="1:11" x14ac:dyDescent="0.25">
      <c r="A436" t="s">
        <v>181</v>
      </c>
      <c r="B436" t="s">
        <v>5723</v>
      </c>
      <c r="C436" t="s">
        <v>73</v>
      </c>
      <c r="D436" t="s">
        <v>185</v>
      </c>
      <c r="E436">
        <v>25</v>
      </c>
      <c r="F436">
        <v>35.630000000000003</v>
      </c>
      <c r="G436">
        <v>890.75</v>
      </c>
      <c r="H436" t="s">
        <v>183</v>
      </c>
      <c r="I436" t="str">
        <f>LEFT(E_invoice[[#This Row],[P.Code]],8)</f>
        <v>PSR0V05P</v>
      </c>
      <c r="J436" t="str">
        <f>VLOOKUP(E_invoice[[#This Row],[Customer]],$A$2:$B$44,2,0)</f>
        <v>BRIDGESTONE ASIA PACIFIC PTE. LTD</v>
      </c>
      <c r="K436" t="str">
        <f>E_invoice[[#This Row],[Customer]]</f>
        <v>355000A</v>
      </c>
    </row>
    <row r="437" spans="1:11" x14ac:dyDescent="0.25">
      <c r="A437" t="s">
        <v>181</v>
      </c>
      <c r="B437" t="s">
        <v>5723</v>
      </c>
      <c r="C437" t="s">
        <v>73</v>
      </c>
      <c r="D437" t="s">
        <v>193</v>
      </c>
      <c r="E437">
        <v>17</v>
      </c>
      <c r="F437">
        <v>52.15</v>
      </c>
      <c r="G437">
        <v>886.55</v>
      </c>
      <c r="H437" t="s">
        <v>183</v>
      </c>
      <c r="I437" t="str">
        <f>LEFT(E_invoice[[#This Row],[P.Code]],8)</f>
        <v>PSR0V193</v>
      </c>
      <c r="J437" t="str">
        <f>VLOOKUP(E_invoice[[#This Row],[Customer]],$A$2:$B$44,2,0)</f>
        <v>BRIDGESTONE ASIA PACIFIC PTE. LTD</v>
      </c>
      <c r="K437" t="str">
        <f>E_invoice[[#This Row],[Customer]]</f>
        <v>355000A</v>
      </c>
    </row>
    <row r="438" spans="1:11" x14ac:dyDescent="0.25">
      <c r="A438" t="s">
        <v>181</v>
      </c>
      <c r="B438" t="s">
        <v>5723</v>
      </c>
      <c r="C438" t="s">
        <v>73</v>
      </c>
      <c r="D438" t="s">
        <v>223</v>
      </c>
      <c r="E438">
        <v>170</v>
      </c>
      <c r="F438">
        <v>59.39</v>
      </c>
      <c r="G438">
        <v>10096.299999999999</v>
      </c>
      <c r="H438" t="s">
        <v>183</v>
      </c>
      <c r="I438" t="str">
        <f>LEFT(E_invoice[[#This Row],[P.Code]],8)</f>
        <v>PSR0V256</v>
      </c>
      <c r="J438" t="str">
        <f>VLOOKUP(E_invoice[[#This Row],[Customer]],$A$2:$B$44,2,0)</f>
        <v>BRIDGESTONE ASIA PACIFIC PTE. LTD</v>
      </c>
      <c r="K438" t="str">
        <f>E_invoice[[#This Row],[Customer]]</f>
        <v>355000A</v>
      </c>
    </row>
    <row r="439" spans="1:11" x14ac:dyDescent="0.25">
      <c r="A439" t="s">
        <v>181</v>
      </c>
      <c r="B439" t="s">
        <v>5723</v>
      </c>
      <c r="C439" t="s">
        <v>73</v>
      </c>
      <c r="D439" t="s">
        <v>224</v>
      </c>
      <c r="E439">
        <v>28</v>
      </c>
      <c r="F439">
        <v>53.69</v>
      </c>
      <c r="G439">
        <v>1503.32</v>
      </c>
      <c r="H439" t="s">
        <v>183</v>
      </c>
      <c r="I439" t="str">
        <f>LEFT(E_invoice[[#This Row],[P.Code]],8)</f>
        <v>PSR0V187</v>
      </c>
      <c r="J439" t="str">
        <f>VLOOKUP(E_invoice[[#This Row],[Customer]],$A$2:$B$44,2,0)</f>
        <v>BRIDGESTONE ASIA PACIFIC PTE. LTD</v>
      </c>
      <c r="K439" t="str">
        <f>E_invoice[[#This Row],[Customer]]</f>
        <v>355000A</v>
      </c>
    </row>
    <row r="440" spans="1:11" x14ac:dyDescent="0.25">
      <c r="A440" t="s">
        <v>181</v>
      </c>
      <c r="B440" t="s">
        <v>5723</v>
      </c>
      <c r="C440" t="s">
        <v>73</v>
      </c>
      <c r="D440" t="s">
        <v>204</v>
      </c>
      <c r="E440">
        <v>19</v>
      </c>
      <c r="F440">
        <v>51.27</v>
      </c>
      <c r="G440">
        <v>974.13</v>
      </c>
      <c r="H440" t="s">
        <v>183</v>
      </c>
      <c r="I440" t="str">
        <f>LEFT(E_invoice[[#This Row],[P.Code]],8)</f>
        <v>PSR0V169</v>
      </c>
      <c r="J440" t="str">
        <f>VLOOKUP(E_invoice[[#This Row],[Customer]],$A$2:$B$44,2,0)</f>
        <v>BRIDGESTONE ASIA PACIFIC PTE. LTD</v>
      </c>
      <c r="K440" t="str">
        <f>E_invoice[[#This Row],[Customer]]</f>
        <v>355000A</v>
      </c>
    </row>
    <row r="441" spans="1:11" x14ac:dyDescent="0.25">
      <c r="A441" t="s">
        <v>181</v>
      </c>
      <c r="B441" t="s">
        <v>5723</v>
      </c>
      <c r="C441" t="s">
        <v>73</v>
      </c>
      <c r="D441" t="s">
        <v>218</v>
      </c>
      <c r="E441">
        <v>35</v>
      </c>
      <c r="F441">
        <v>42.29</v>
      </c>
      <c r="G441">
        <v>1480.15</v>
      </c>
      <c r="H441" t="s">
        <v>183</v>
      </c>
      <c r="I441" t="str">
        <f>LEFT(E_invoice[[#This Row],[P.Code]],8)</f>
        <v>PSR0V166</v>
      </c>
      <c r="J441" t="str">
        <f>VLOOKUP(E_invoice[[#This Row],[Customer]],$A$2:$B$44,2,0)</f>
        <v>BRIDGESTONE ASIA PACIFIC PTE. LTD</v>
      </c>
      <c r="K441" t="str">
        <f>E_invoice[[#This Row],[Customer]]</f>
        <v>355000A</v>
      </c>
    </row>
    <row r="442" spans="1:11" x14ac:dyDescent="0.25">
      <c r="A442" t="s">
        <v>181</v>
      </c>
      <c r="B442" t="s">
        <v>5724</v>
      </c>
      <c r="C442" t="s">
        <v>235</v>
      </c>
      <c r="D442" t="s">
        <v>252</v>
      </c>
      <c r="E442">
        <v>20</v>
      </c>
      <c r="F442">
        <v>793000</v>
      </c>
      <c r="G442">
        <v>15860000</v>
      </c>
      <c r="H442" t="s">
        <v>130</v>
      </c>
      <c r="I442" t="str">
        <f>LEFT(E_invoice[[#This Row],[P.Code]],8)</f>
        <v>PSR0V247</v>
      </c>
      <c r="J442" t="str">
        <f>VLOOKUP(E_invoice[[#This Row],[Customer]],$A$2:$B$44,2,0)</f>
        <v>Bridgestone Tire Sale Viet Nam LLC</v>
      </c>
      <c r="K442" t="str">
        <f>E_invoice[[#This Row],[Customer]]</f>
        <v>355001A</v>
      </c>
    </row>
    <row r="443" spans="1:11" x14ac:dyDescent="0.25">
      <c r="A443" t="s">
        <v>181</v>
      </c>
      <c r="B443" t="s">
        <v>5724</v>
      </c>
      <c r="C443" t="s">
        <v>235</v>
      </c>
      <c r="D443" t="s">
        <v>257</v>
      </c>
      <c r="E443">
        <v>225</v>
      </c>
      <c r="F443">
        <v>1257000</v>
      </c>
      <c r="G443">
        <v>282825000</v>
      </c>
      <c r="H443" t="s">
        <v>130</v>
      </c>
      <c r="I443" t="str">
        <f>LEFT(E_invoice[[#This Row],[P.Code]],8)</f>
        <v>PSR0V126</v>
      </c>
      <c r="J443" t="str">
        <f>VLOOKUP(E_invoice[[#This Row],[Customer]],$A$2:$B$44,2,0)</f>
        <v>Bridgestone Tire Sale Viet Nam LLC</v>
      </c>
      <c r="K443" t="str">
        <f>E_invoice[[#This Row],[Customer]]</f>
        <v>355001A</v>
      </c>
    </row>
    <row r="444" spans="1:11" x14ac:dyDescent="0.25">
      <c r="A444" t="s">
        <v>181</v>
      </c>
      <c r="B444" t="s">
        <v>5724</v>
      </c>
      <c r="C444" t="s">
        <v>235</v>
      </c>
      <c r="D444" t="s">
        <v>254</v>
      </c>
      <c r="E444">
        <v>30</v>
      </c>
      <c r="F444">
        <v>1482000</v>
      </c>
      <c r="G444">
        <v>44460000</v>
      </c>
      <c r="H444" t="s">
        <v>130</v>
      </c>
      <c r="I444" t="str">
        <f>LEFT(E_invoice[[#This Row],[P.Code]],8)</f>
        <v>PSR0V243</v>
      </c>
      <c r="J444" t="str">
        <f>VLOOKUP(E_invoice[[#This Row],[Customer]],$A$2:$B$44,2,0)</f>
        <v>Bridgestone Tire Sale Viet Nam LLC</v>
      </c>
      <c r="K444" t="str">
        <f>E_invoice[[#This Row],[Customer]]</f>
        <v>355001A</v>
      </c>
    </row>
    <row r="445" spans="1:11" x14ac:dyDescent="0.25">
      <c r="A445" t="s">
        <v>181</v>
      </c>
      <c r="B445" t="s">
        <v>5724</v>
      </c>
      <c r="C445" t="s">
        <v>235</v>
      </c>
      <c r="D445" t="s">
        <v>253</v>
      </c>
      <c r="E445">
        <v>32</v>
      </c>
      <c r="F445">
        <v>966000</v>
      </c>
      <c r="G445">
        <v>30912000</v>
      </c>
      <c r="H445" t="s">
        <v>130</v>
      </c>
      <c r="I445" t="str">
        <f>LEFT(E_invoice[[#This Row],[P.Code]],8)</f>
        <v>PSR0V248</v>
      </c>
      <c r="J445" t="str">
        <f>VLOOKUP(E_invoice[[#This Row],[Customer]],$A$2:$B$44,2,0)</f>
        <v>Bridgestone Tire Sale Viet Nam LLC</v>
      </c>
      <c r="K445" t="str">
        <f>E_invoice[[#This Row],[Customer]]</f>
        <v>355001A</v>
      </c>
    </row>
  </sheetData>
  <phoneticPr fontId="4" type="noConversion"/>
  <hyperlinks>
    <hyperlink ref="A1" r:id="rId1" xr:uid="{9B944C95-BBBE-4FAD-A186-7D6A4AB6A2A2}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B35E7-C5F1-4D4B-9AD7-E69058295499}">
  <sheetPr codeName="Sheet3">
    <tabColor rgb="FFFF0000"/>
  </sheetPr>
  <dimension ref="A2:C304"/>
  <sheetViews>
    <sheetView workbookViewId="0"/>
  </sheetViews>
  <sheetFormatPr defaultRowHeight="15" x14ac:dyDescent="0.25"/>
  <cols>
    <col min="1" max="1" width="24.42578125" customWidth="1"/>
  </cols>
  <sheetData>
    <row r="2" spans="1:3" x14ac:dyDescent="0.25">
      <c r="A2" t="s">
        <v>270</v>
      </c>
      <c r="B2" t="s">
        <v>271</v>
      </c>
      <c r="C2" t="s">
        <v>272</v>
      </c>
    </row>
    <row r="3" spans="1:3" x14ac:dyDescent="0.25">
      <c r="A3" t="s">
        <v>273</v>
      </c>
      <c r="B3">
        <v>6.8949999999999996</v>
      </c>
      <c r="C3">
        <v>3.4380000000000002</v>
      </c>
    </row>
    <row r="4" spans="1:3" x14ac:dyDescent="0.25">
      <c r="A4" t="s">
        <v>274</v>
      </c>
      <c r="B4">
        <v>8.7780000000000005</v>
      </c>
      <c r="C4">
        <v>4.0990000000000002</v>
      </c>
    </row>
    <row r="5" spans="1:3" x14ac:dyDescent="0.25">
      <c r="A5" t="s">
        <v>275</v>
      </c>
      <c r="B5">
        <v>5.5380000000000003</v>
      </c>
      <c r="C5">
        <v>2.726</v>
      </c>
    </row>
    <row r="6" spans="1:3" x14ac:dyDescent="0.25">
      <c r="A6" t="s">
        <v>276</v>
      </c>
      <c r="B6">
        <v>9.02</v>
      </c>
      <c r="C6">
        <v>4.2670000000000003</v>
      </c>
    </row>
    <row r="7" spans="1:3" x14ac:dyDescent="0.25">
      <c r="A7" t="s">
        <v>277</v>
      </c>
      <c r="B7">
        <v>6.1260000000000003</v>
      </c>
      <c r="C7">
        <v>3.0659999999999998</v>
      </c>
    </row>
    <row r="8" spans="1:3" x14ac:dyDescent="0.25">
      <c r="A8" t="s">
        <v>278</v>
      </c>
      <c r="B8">
        <v>10.268000000000001</v>
      </c>
      <c r="C8">
        <v>4.4809999999999999</v>
      </c>
    </row>
    <row r="9" spans="1:3" x14ac:dyDescent="0.25">
      <c r="A9" t="s">
        <v>279</v>
      </c>
      <c r="B9">
        <v>10.268000000000001</v>
      </c>
      <c r="C9">
        <v>4.4809999999999999</v>
      </c>
    </row>
    <row r="10" spans="1:3" x14ac:dyDescent="0.25">
      <c r="A10" t="s">
        <v>280</v>
      </c>
      <c r="B10">
        <v>7.48</v>
      </c>
      <c r="C10">
        <v>3.794</v>
      </c>
    </row>
    <row r="11" spans="1:3" x14ac:dyDescent="0.25">
      <c r="A11" t="s">
        <v>281</v>
      </c>
      <c r="B11">
        <v>7.48</v>
      </c>
      <c r="C11">
        <v>3.794</v>
      </c>
    </row>
    <row r="12" spans="1:3" x14ac:dyDescent="0.25">
      <c r="A12" t="s">
        <v>282</v>
      </c>
      <c r="B12">
        <v>8.3179999999999996</v>
      </c>
      <c r="C12">
        <v>3.9510000000000001</v>
      </c>
    </row>
    <row r="13" spans="1:3" x14ac:dyDescent="0.25">
      <c r="A13" t="s">
        <v>88</v>
      </c>
      <c r="B13">
        <v>11.726000000000001</v>
      </c>
      <c r="C13">
        <v>5.4470000000000001</v>
      </c>
    </row>
    <row r="14" spans="1:3" x14ac:dyDescent="0.25">
      <c r="A14" t="s">
        <v>283</v>
      </c>
      <c r="B14">
        <v>8.3230000000000004</v>
      </c>
      <c r="C14">
        <v>4.1120000000000001</v>
      </c>
    </row>
    <row r="15" spans="1:3" x14ac:dyDescent="0.25">
      <c r="A15" t="s">
        <v>284</v>
      </c>
      <c r="B15">
        <v>11.811999999999999</v>
      </c>
      <c r="C15">
        <v>5.6040000000000001</v>
      </c>
    </row>
    <row r="16" spans="1:3" x14ac:dyDescent="0.25">
      <c r="A16" t="s">
        <v>285</v>
      </c>
      <c r="B16">
        <v>10.273</v>
      </c>
      <c r="C16">
        <v>4.726</v>
      </c>
    </row>
    <row r="17" spans="1:3" x14ac:dyDescent="0.25">
      <c r="A17" t="s">
        <v>103</v>
      </c>
      <c r="B17">
        <v>10.819000000000001</v>
      </c>
      <c r="C17">
        <v>5.07</v>
      </c>
    </row>
    <row r="18" spans="1:3" x14ac:dyDescent="0.25">
      <c r="A18" t="s">
        <v>86</v>
      </c>
      <c r="B18">
        <v>10.164</v>
      </c>
      <c r="C18">
        <v>4.7539999999999996</v>
      </c>
    </row>
    <row r="19" spans="1:3" x14ac:dyDescent="0.25">
      <c r="A19" t="s">
        <v>108</v>
      </c>
      <c r="B19">
        <v>12.536</v>
      </c>
      <c r="C19">
        <v>5.806</v>
      </c>
    </row>
    <row r="20" spans="1:3" x14ac:dyDescent="0.25">
      <c r="A20" t="s">
        <v>286</v>
      </c>
      <c r="B20">
        <v>11.143000000000001</v>
      </c>
      <c r="C20">
        <v>5.194</v>
      </c>
    </row>
    <row r="21" spans="1:3" x14ac:dyDescent="0.25">
      <c r="A21" t="s">
        <v>109</v>
      </c>
      <c r="B21">
        <v>12.596</v>
      </c>
      <c r="C21">
        <v>5.8319999999999999</v>
      </c>
    </row>
    <row r="22" spans="1:3" x14ac:dyDescent="0.25">
      <c r="A22" t="s">
        <v>81</v>
      </c>
      <c r="B22">
        <v>8.4610000000000003</v>
      </c>
      <c r="C22">
        <v>4.04</v>
      </c>
    </row>
    <row r="23" spans="1:3" x14ac:dyDescent="0.25">
      <c r="A23" t="s">
        <v>166</v>
      </c>
      <c r="B23">
        <v>10.076000000000001</v>
      </c>
      <c r="C23">
        <v>4.6180000000000003</v>
      </c>
    </row>
    <row r="24" spans="1:3" x14ac:dyDescent="0.25">
      <c r="A24" t="s">
        <v>102</v>
      </c>
      <c r="B24">
        <v>7.4530000000000003</v>
      </c>
      <c r="C24">
        <v>3.5680000000000001</v>
      </c>
    </row>
    <row r="25" spans="1:3" x14ac:dyDescent="0.25">
      <c r="A25" t="s">
        <v>82</v>
      </c>
      <c r="B25">
        <v>7.0469999999999997</v>
      </c>
      <c r="C25">
        <v>3.4060000000000001</v>
      </c>
    </row>
    <row r="26" spans="1:3" x14ac:dyDescent="0.25">
      <c r="A26" t="s">
        <v>287</v>
      </c>
      <c r="B26">
        <v>7.077</v>
      </c>
      <c r="C26">
        <v>3.5609999999999999</v>
      </c>
    </row>
    <row r="27" spans="1:3" x14ac:dyDescent="0.25">
      <c r="A27" t="s">
        <v>94</v>
      </c>
      <c r="B27">
        <v>8.5839999999999996</v>
      </c>
      <c r="C27">
        <v>4.0860000000000003</v>
      </c>
    </row>
    <row r="28" spans="1:3" x14ac:dyDescent="0.25">
      <c r="A28" t="s">
        <v>91</v>
      </c>
      <c r="B28">
        <v>9.5890000000000004</v>
      </c>
      <c r="C28">
        <v>4.4729999999999999</v>
      </c>
    </row>
    <row r="29" spans="1:3" x14ac:dyDescent="0.25">
      <c r="A29" t="s">
        <v>288</v>
      </c>
      <c r="B29">
        <v>7.7140000000000004</v>
      </c>
      <c r="C29">
        <v>3.7559999999999998</v>
      </c>
    </row>
    <row r="30" spans="1:3" x14ac:dyDescent="0.25">
      <c r="A30" t="s">
        <v>289</v>
      </c>
      <c r="B30">
        <v>7.077</v>
      </c>
      <c r="C30">
        <v>3.5609999999999999</v>
      </c>
    </row>
    <row r="31" spans="1:3" x14ac:dyDescent="0.25">
      <c r="A31" t="s">
        <v>290</v>
      </c>
      <c r="B31">
        <v>7.9160000000000004</v>
      </c>
      <c r="C31">
        <v>3.83</v>
      </c>
    </row>
    <row r="32" spans="1:3" x14ac:dyDescent="0.25">
      <c r="A32" t="s">
        <v>291</v>
      </c>
      <c r="B32">
        <v>4.6639999999999997</v>
      </c>
      <c r="C32">
        <v>2.355</v>
      </c>
    </row>
    <row r="33" spans="1:3" x14ac:dyDescent="0.25">
      <c r="A33" t="s">
        <v>292</v>
      </c>
      <c r="B33">
        <v>5.6550000000000002</v>
      </c>
      <c r="C33">
        <v>2.8159999999999998</v>
      </c>
    </row>
    <row r="34" spans="1:3" x14ac:dyDescent="0.25">
      <c r="A34" t="s">
        <v>154</v>
      </c>
      <c r="B34">
        <v>9.9860000000000007</v>
      </c>
      <c r="C34">
        <v>4.7869999999999999</v>
      </c>
    </row>
    <row r="35" spans="1:3" x14ac:dyDescent="0.25">
      <c r="A35" t="s">
        <v>293</v>
      </c>
      <c r="B35">
        <v>5.68</v>
      </c>
      <c r="C35">
        <v>2.911</v>
      </c>
    </row>
    <row r="36" spans="1:3" x14ac:dyDescent="0.25">
      <c r="A36" t="s">
        <v>294</v>
      </c>
      <c r="B36">
        <v>7.9160000000000004</v>
      </c>
      <c r="C36">
        <v>3.83</v>
      </c>
    </row>
    <row r="37" spans="1:3" x14ac:dyDescent="0.25">
      <c r="A37" t="s">
        <v>126</v>
      </c>
      <c r="B37">
        <v>10.731999999999999</v>
      </c>
      <c r="C37">
        <v>5.0970000000000004</v>
      </c>
    </row>
    <row r="38" spans="1:3" x14ac:dyDescent="0.25">
      <c r="A38" t="s">
        <v>295</v>
      </c>
      <c r="B38">
        <v>7.9160000000000004</v>
      </c>
      <c r="C38">
        <v>3.83</v>
      </c>
    </row>
    <row r="39" spans="1:3" x14ac:dyDescent="0.25">
      <c r="A39" t="s">
        <v>296</v>
      </c>
      <c r="B39">
        <v>7.9160000000000004</v>
      </c>
      <c r="C39">
        <v>3.83</v>
      </c>
    </row>
    <row r="40" spans="1:3" x14ac:dyDescent="0.25">
      <c r="A40" t="s">
        <v>297</v>
      </c>
      <c r="B40">
        <v>5.1890000000000001</v>
      </c>
      <c r="C40">
        <v>2.6190000000000002</v>
      </c>
    </row>
    <row r="41" spans="1:3" x14ac:dyDescent="0.25">
      <c r="A41" t="s">
        <v>139</v>
      </c>
      <c r="B41">
        <v>14.24</v>
      </c>
      <c r="C41">
        <v>6.625</v>
      </c>
    </row>
    <row r="42" spans="1:3" x14ac:dyDescent="0.25">
      <c r="A42" t="s">
        <v>298</v>
      </c>
      <c r="B42">
        <v>6.0410000000000004</v>
      </c>
      <c r="C42">
        <v>3.0139999999999998</v>
      </c>
    </row>
    <row r="43" spans="1:3" x14ac:dyDescent="0.25">
      <c r="A43" t="s">
        <v>299</v>
      </c>
      <c r="B43">
        <v>6.4550000000000001</v>
      </c>
      <c r="C43">
        <v>3.01</v>
      </c>
    </row>
    <row r="44" spans="1:3" x14ac:dyDescent="0.25">
      <c r="A44" t="s">
        <v>129</v>
      </c>
      <c r="B44">
        <v>6.4349999999999996</v>
      </c>
      <c r="C44">
        <v>3.133</v>
      </c>
    </row>
    <row r="45" spans="1:3" x14ac:dyDescent="0.25">
      <c r="A45" t="s">
        <v>300</v>
      </c>
      <c r="B45">
        <v>6.4329999999999998</v>
      </c>
      <c r="C45">
        <v>3.214</v>
      </c>
    </row>
    <row r="46" spans="1:3" x14ac:dyDescent="0.25">
      <c r="A46" t="s">
        <v>301</v>
      </c>
      <c r="B46">
        <v>5.9459999999999997</v>
      </c>
      <c r="C46">
        <v>2.9489999999999998</v>
      </c>
    </row>
    <row r="47" spans="1:3" x14ac:dyDescent="0.25">
      <c r="A47" t="s">
        <v>302</v>
      </c>
      <c r="B47">
        <v>8.641</v>
      </c>
      <c r="C47">
        <v>4.1459999999999999</v>
      </c>
    </row>
    <row r="48" spans="1:3" x14ac:dyDescent="0.25">
      <c r="A48" t="s">
        <v>303</v>
      </c>
      <c r="B48">
        <v>9.5960000000000001</v>
      </c>
      <c r="C48">
        <v>4.5039999999999996</v>
      </c>
    </row>
    <row r="49" spans="1:3" x14ac:dyDescent="0.25">
      <c r="A49" t="s">
        <v>304</v>
      </c>
      <c r="B49">
        <v>8.07</v>
      </c>
      <c r="C49">
        <v>3.8420000000000001</v>
      </c>
    </row>
    <row r="50" spans="1:3" x14ac:dyDescent="0.25">
      <c r="A50" t="s">
        <v>305</v>
      </c>
      <c r="B50">
        <v>7.3979999999999997</v>
      </c>
      <c r="C50">
        <v>3.5249999999999999</v>
      </c>
    </row>
    <row r="51" spans="1:3" x14ac:dyDescent="0.25">
      <c r="A51" t="s">
        <v>306</v>
      </c>
      <c r="B51">
        <v>7.8639999999999999</v>
      </c>
      <c r="C51">
        <v>3.7610000000000001</v>
      </c>
    </row>
    <row r="52" spans="1:3" x14ac:dyDescent="0.25">
      <c r="A52" t="s">
        <v>98</v>
      </c>
      <c r="B52">
        <v>8.4719999999999995</v>
      </c>
      <c r="C52">
        <v>4.0739999999999998</v>
      </c>
    </row>
    <row r="53" spans="1:3" x14ac:dyDescent="0.25">
      <c r="A53" t="s">
        <v>150</v>
      </c>
      <c r="B53">
        <v>8.8919999999999995</v>
      </c>
      <c r="C53">
        <v>4.1379999999999999</v>
      </c>
    </row>
    <row r="54" spans="1:3" x14ac:dyDescent="0.25">
      <c r="A54" t="s">
        <v>307</v>
      </c>
      <c r="B54">
        <v>7.976</v>
      </c>
      <c r="C54" t="e">
        <v>#N/A</v>
      </c>
    </row>
    <row r="55" spans="1:3" x14ac:dyDescent="0.25">
      <c r="A55" t="s">
        <v>308</v>
      </c>
      <c r="B55">
        <v>7.3970000000000002</v>
      </c>
      <c r="C55">
        <v>3.6230000000000002</v>
      </c>
    </row>
    <row r="56" spans="1:3" x14ac:dyDescent="0.25">
      <c r="A56" t="s">
        <v>309</v>
      </c>
      <c r="B56">
        <v>10.919</v>
      </c>
      <c r="C56">
        <v>4.7409999999999997</v>
      </c>
    </row>
    <row r="57" spans="1:3" x14ac:dyDescent="0.25">
      <c r="A57" t="s">
        <v>310</v>
      </c>
      <c r="B57">
        <v>10.474</v>
      </c>
      <c r="C57">
        <v>5.0389999999999997</v>
      </c>
    </row>
    <row r="58" spans="1:3" x14ac:dyDescent="0.25">
      <c r="A58" t="s">
        <v>311</v>
      </c>
      <c r="B58">
        <v>12.278</v>
      </c>
      <c r="C58">
        <v>5.4249999999999998</v>
      </c>
    </row>
    <row r="59" spans="1:3" x14ac:dyDescent="0.25">
      <c r="A59" t="s">
        <v>312</v>
      </c>
      <c r="B59">
        <v>9.0709999999999997</v>
      </c>
      <c r="C59">
        <v>4.3049999999999997</v>
      </c>
    </row>
    <row r="60" spans="1:3" x14ac:dyDescent="0.25">
      <c r="A60" t="s">
        <v>93</v>
      </c>
      <c r="B60">
        <v>8.9689999999999994</v>
      </c>
      <c r="C60">
        <v>4.2249999999999996</v>
      </c>
    </row>
    <row r="61" spans="1:3" x14ac:dyDescent="0.25">
      <c r="A61" t="s">
        <v>313</v>
      </c>
      <c r="B61">
        <v>11.629</v>
      </c>
      <c r="C61">
        <v>5.484</v>
      </c>
    </row>
    <row r="62" spans="1:3" x14ac:dyDescent="0.25">
      <c r="A62" t="s">
        <v>314</v>
      </c>
      <c r="B62">
        <v>10.016999999999999</v>
      </c>
      <c r="C62">
        <v>4.79</v>
      </c>
    </row>
    <row r="63" spans="1:3" x14ac:dyDescent="0.25">
      <c r="A63" t="s">
        <v>315</v>
      </c>
      <c r="B63">
        <v>10.09</v>
      </c>
      <c r="C63">
        <v>4.8319999999999999</v>
      </c>
    </row>
    <row r="64" spans="1:3" x14ac:dyDescent="0.25">
      <c r="A64" t="s">
        <v>316</v>
      </c>
      <c r="B64">
        <v>8.923</v>
      </c>
      <c r="C64">
        <v>4.0839999999999996</v>
      </c>
    </row>
    <row r="65" spans="1:3" x14ac:dyDescent="0.25">
      <c r="A65" t="s">
        <v>317</v>
      </c>
      <c r="B65">
        <v>7.5460000000000003</v>
      </c>
      <c r="C65">
        <v>3.6419999999999999</v>
      </c>
    </row>
    <row r="66" spans="1:3" x14ac:dyDescent="0.25">
      <c r="A66" t="s">
        <v>318</v>
      </c>
      <c r="B66">
        <v>8.7319999999999993</v>
      </c>
      <c r="C66">
        <v>4.048</v>
      </c>
    </row>
    <row r="67" spans="1:3" x14ac:dyDescent="0.25">
      <c r="A67" t="s">
        <v>84</v>
      </c>
      <c r="B67">
        <v>8.8629999999999995</v>
      </c>
      <c r="C67">
        <v>4.2960000000000003</v>
      </c>
    </row>
    <row r="68" spans="1:3" x14ac:dyDescent="0.25">
      <c r="A68" t="s">
        <v>319</v>
      </c>
      <c r="B68">
        <v>11.218999999999999</v>
      </c>
      <c r="C68">
        <v>5.1440000000000001</v>
      </c>
    </row>
    <row r="69" spans="1:3" x14ac:dyDescent="0.25">
      <c r="A69" t="s">
        <v>320</v>
      </c>
      <c r="B69">
        <v>7.0960000000000001</v>
      </c>
      <c r="C69">
        <v>3.4209999999999998</v>
      </c>
    </row>
    <row r="70" spans="1:3" x14ac:dyDescent="0.25">
      <c r="A70" t="s">
        <v>136</v>
      </c>
      <c r="B70">
        <v>13.46</v>
      </c>
      <c r="C70">
        <v>6.3</v>
      </c>
    </row>
    <row r="71" spans="1:3" x14ac:dyDescent="0.25">
      <c r="A71" t="s">
        <v>89</v>
      </c>
      <c r="B71">
        <v>12.114000000000001</v>
      </c>
      <c r="C71">
        <v>5.6340000000000003</v>
      </c>
    </row>
    <row r="72" spans="1:3" x14ac:dyDescent="0.25">
      <c r="A72" t="s">
        <v>119</v>
      </c>
      <c r="B72">
        <v>13.974</v>
      </c>
      <c r="C72">
        <v>6.524</v>
      </c>
    </row>
    <row r="73" spans="1:3" x14ac:dyDescent="0.25">
      <c r="A73" t="s">
        <v>321</v>
      </c>
      <c r="B73">
        <v>8.7780000000000005</v>
      </c>
      <c r="C73">
        <v>4.0990000000000002</v>
      </c>
    </row>
    <row r="74" spans="1:3" x14ac:dyDescent="0.25">
      <c r="A74" t="s">
        <v>322</v>
      </c>
      <c r="B74">
        <v>7.4880000000000004</v>
      </c>
      <c r="C74">
        <v>3.625</v>
      </c>
    </row>
    <row r="75" spans="1:3" x14ac:dyDescent="0.25">
      <c r="A75" t="s">
        <v>323</v>
      </c>
      <c r="B75">
        <v>6.8289999999999997</v>
      </c>
      <c r="C75">
        <v>3.286</v>
      </c>
    </row>
    <row r="76" spans="1:3" x14ac:dyDescent="0.25">
      <c r="A76" t="s">
        <v>324</v>
      </c>
      <c r="B76">
        <v>6.8289999999999997</v>
      </c>
      <c r="C76">
        <v>3.286</v>
      </c>
    </row>
    <row r="77" spans="1:3" x14ac:dyDescent="0.25">
      <c r="A77" t="s">
        <v>325</v>
      </c>
      <c r="B77">
        <v>6.8289999999999997</v>
      </c>
      <c r="C77">
        <v>3.286</v>
      </c>
    </row>
    <row r="78" spans="1:3" x14ac:dyDescent="0.25">
      <c r="A78" t="s">
        <v>78</v>
      </c>
      <c r="B78">
        <v>12.351000000000001</v>
      </c>
      <c r="C78">
        <v>5.7389999999999999</v>
      </c>
    </row>
    <row r="79" spans="1:3" x14ac:dyDescent="0.25">
      <c r="A79" t="s">
        <v>326</v>
      </c>
      <c r="B79">
        <v>6.7919999999999998</v>
      </c>
      <c r="C79">
        <v>3.2730000000000001</v>
      </c>
    </row>
    <row r="80" spans="1:3" x14ac:dyDescent="0.25">
      <c r="A80" t="s">
        <v>327</v>
      </c>
      <c r="B80">
        <v>10.163</v>
      </c>
      <c r="C80">
        <v>4.923</v>
      </c>
    </row>
    <row r="81" spans="1:3" x14ac:dyDescent="0.25">
      <c r="A81" t="s">
        <v>328</v>
      </c>
      <c r="B81">
        <v>5.4409999999999998</v>
      </c>
      <c r="C81">
        <v>2.6779999999999999</v>
      </c>
    </row>
    <row r="82" spans="1:3" x14ac:dyDescent="0.25">
      <c r="A82" t="s">
        <v>329</v>
      </c>
      <c r="B82">
        <v>10.481</v>
      </c>
      <c r="C82">
        <v>4.5819999999999999</v>
      </c>
    </row>
    <row r="83" spans="1:3" x14ac:dyDescent="0.25">
      <c r="A83" t="s">
        <v>330</v>
      </c>
      <c r="B83">
        <v>12.435</v>
      </c>
      <c r="C83">
        <v>5.5389999999999997</v>
      </c>
    </row>
    <row r="84" spans="1:3" x14ac:dyDescent="0.25">
      <c r="A84" t="s">
        <v>331</v>
      </c>
      <c r="B84">
        <v>12.435</v>
      </c>
      <c r="C84">
        <v>5.5389999999999997</v>
      </c>
    </row>
    <row r="85" spans="1:3" x14ac:dyDescent="0.25">
      <c r="A85" t="s">
        <v>332</v>
      </c>
      <c r="B85">
        <v>10.723000000000001</v>
      </c>
      <c r="C85">
        <v>5.0570000000000004</v>
      </c>
    </row>
    <row r="86" spans="1:3" x14ac:dyDescent="0.25">
      <c r="A86" t="s">
        <v>142</v>
      </c>
      <c r="B86">
        <v>8.39</v>
      </c>
      <c r="C86">
        <v>4.0519999999999996</v>
      </c>
    </row>
    <row r="87" spans="1:3" x14ac:dyDescent="0.25">
      <c r="A87" t="s">
        <v>333</v>
      </c>
      <c r="B87">
        <v>8.4260000000000002</v>
      </c>
      <c r="C87">
        <v>4.2190000000000003</v>
      </c>
    </row>
    <row r="88" spans="1:3" x14ac:dyDescent="0.25">
      <c r="A88" t="s">
        <v>334</v>
      </c>
      <c r="B88">
        <v>8.6240000000000006</v>
      </c>
      <c r="C88">
        <v>4.0330000000000004</v>
      </c>
    </row>
    <row r="89" spans="1:3" x14ac:dyDescent="0.25">
      <c r="A89" t="s">
        <v>335</v>
      </c>
      <c r="B89">
        <v>7.7320000000000002</v>
      </c>
      <c r="C89">
        <v>3.875</v>
      </c>
    </row>
    <row r="90" spans="1:3" x14ac:dyDescent="0.25">
      <c r="A90" t="s">
        <v>336</v>
      </c>
      <c r="B90">
        <v>8.3379999999999992</v>
      </c>
      <c r="C90">
        <v>4.03</v>
      </c>
    </row>
    <row r="91" spans="1:3" x14ac:dyDescent="0.25">
      <c r="A91" t="s">
        <v>337</v>
      </c>
      <c r="B91">
        <v>10.683</v>
      </c>
      <c r="C91">
        <v>5.0609999999999999</v>
      </c>
    </row>
    <row r="92" spans="1:3" x14ac:dyDescent="0.25">
      <c r="A92" t="s">
        <v>338</v>
      </c>
      <c r="B92">
        <v>11.92</v>
      </c>
      <c r="C92">
        <v>5.2439999999999998</v>
      </c>
    </row>
    <row r="93" spans="1:3" x14ac:dyDescent="0.25">
      <c r="A93" t="s">
        <v>339</v>
      </c>
      <c r="B93">
        <v>10.326000000000001</v>
      </c>
      <c r="C93">
        <v>4.6689999999999996</v>
      </c>
    </row>
    <row r="94" spans="1:3" x14ac:dyDescent="0.25">
      <c r="A94" t="s">
        <v>340</v>
      </c>
      <c r="B94">
        <v>8.1039999999999992</v>
      </c>
      <c r="C94">
        <v>3.85</v>
      </c>
    </row>
    <row r="95" spans="1:3" x14ac:dyDescent="0.25">
      <c r="A95" t="s">
        <v>341</v>
      </c>
      <c r="B95">
        <v>8.1039999999999992</v>
      </c>
      <c r="C95">
        <v>3.85</v>
      </c>
    </row>
    <row r="96" spans="1:3" x14ac:dyDescent="0.25">
      <c r="A96" t="s">
        <v>342</v>
      </c>
      <c r="B96">
        <v>8.1039999999999992</v>
      </c>
      <c r="C96">
        <v>3.85</v>
      </c>
    </row>
    <row r="97" spans="1:3" x14ac:dyDescent="0.25">
      <c r="A97" t="s">
        <v>343</v>
      </c>
      <c r="B97">
        <v>9.1609999999999996</v>
      </c>
      <c r="C97">
        <v>4.4619999999999997</v>
      </c>
    </row>
    <row r="98" spans="1:3" x14ac:dyDescent="0.25">
      <c r="A98" t="s">
        <v>344</v>
      </c>
      <c r="B98">
        <v>11.135999999999999</v>
      </c>
      <c r="C98">
        <v>5.2839999999999998</v>
      </c>
    </row>
    <row r="99" spans="1:3" x14ac:dyDescent="0.25">
      <c r="A99" t="s">
        <v>345</v>
      </c>
      <c r="B99">
        <v>6.3769999999999998</v>
      </c>
      <c r="C99">
        <v>3.1749999999999998</v>
      </c>
    </row>
    <row r="100" spans="1:3" x14ac:dyDescent="0.25">
      <c r="A100" t="s">
        <v>346</v>
      </c>
      <c r="B100">
        <v>7.2839999999999998</v>
      </c>
      <c r="C100">
        <v>3.5390000000000001</v>
      </c>
    </row>
    <row r="101" spans="1:3" x14ac:dyDescent="0.25">
      <c r="A101" t="s">
        <v>347</v>
      </c>
      <c r="B101">
        <v>7.2839999999999998</v>
      </c>
      <c r="C101">
        <v>3.5390000000000001</v>
      </c>
    </row>
    <row r="102" spans="1:3" x14ac:dyDescent="0.25">
      <c r="A102" t="s">
        <v>348</v>
      </c>
      <c r="B102">
        <v>11.487</v>
      </c>
      <c r="C102">
        <v>5.383</v>
      </c>
    </row>
    <row r="103" spans="1:3" x14ac:dyDescent="0.25">
      <c r="A103" t="s">
        <v>349</v>
      </c>
      <c r="B103">
        <v>6.73</v>
      </c>
      <c r="C103">
        <v>3.3069999999999999</v>
      </c>
    </row>
    <row r="104" spans="1:3" x14ac:dyDescent="0.25">
      <c r="A104" t="s">
        <v>350</v>
      </c>
      <c r="B104">
        <v>6.4640000000000004</v>
      </c>
      <c r="C104">
        <v>3.2170000000000001</v>
      </c>
    </row>
    <row r="105" spans="1:3" x14ac:dyDescent="0.25">
      <c r="A105" t="s">
        <v>351</v>
      </c>
      <c r="B105">
        <v>4.8220000000000001</v>
      </c>
      <c r="C105">
        <v>2.4409999999999998</v>
      </c>
    </row>
    <row r="106" spans="1:3" x14ac:dyDescent="0.25">
      <c r="A106" t="s">
        <v>352</v>
      </c>
      <c r="B106">
        <v>6.5490000000000004</v>
      </c>
      <c r="C106">
        <v>3.266</v>
      </c>
    </row>
    <row r="107" spans="1:3" x14ac:dyDescent="0.25">
      <c r="A107" t="s">
        <v>353</v>
      </c>
      <c r="B107">
        <v>9.2680000000000007</v>
      </c>
      <c r="C107">
        <v>4.59</v>
      </c>
    </row>
    <row r="108" spans="1:3" x14ac:dyDescent="0.25">
      <c r="A108" t="s">
        <v>354</v>
      </c>
      <c r="B108">
        <v>5.1929999999999996</v>
      </c>
      <c r="C108">
        <v>2.5710000000000002</v>
      </c>
    </row>
    <row r="109" spans="1:3" x14ac:dyDescent="0.25">
      <c r="A109" t="s">
        <v>355</v>
      </c>
      <c r="B109">
        <v>6.0039999999999996</v>
      </c>
      <c r="C109">
        <v>2.9910000000000001</v>
      </c>
    </row>
    <row r="110" spans="1:3" x14ac:dyDescent="0.25">
      <c r="A110" t="s">
        <v>356</v>
      </c>
      <c r="B110">
        <v>7.9269999999999996</v>
      </c>
      <c r="C110">
        <v>3.9620000000000002</v>
      </c>
    </row>
    <row r="111" spans="1:3" x14ac:dyDescent="0.25">
      <c r="A111" t="s">
        <v>357</v>
      </c>
      <c r="B111">
        <v>7.1550000000000002</v>
      </c>
      <c r="C111">
        <v>3.581</v>
      </c>
    </row>
    <row r="112" spans="1:3" x14ac:dyDescent="0.25">
      <c r="A112" t="s">
        <v>358</v>
      </c>
      <c r="B112">
        <v>6.9710000000000001</v>
      </c>
      <c r="C112">
        <v>3.464</v>
      </c>
    </row>
    <row r="113" spans="1:3" x14ac:dyDescent="0.25">
      <c r="A113" t="s">
        <v>359</v>
      </c>
      <c r="B113">
        <v>5.6189999999999998</v>
      </c>
      <c r="C113">
        <v>2.677</v>
      </c>
    </row>
    <row r="114" spans="1:3" x14ac:dyDescent="0.25">
      <c r="A114" t="s">
        <v>360</v>
      </c>
      <c r="B114">
        <v>6.6139999999999999</v>
      </c>
      <c r="C114">
        <v>3.234</v>
      </c>
    </row>
    <row r="115" spans="1:3" x14ac:dyDescent="0.25">
      <c r="A115" t="s">
        <v>361</v>
      </c>
      <c r="B115">
        <v>8.3940000000000001</v>
      </c>
      <c r="C115">
        <v>4.0540000000000003</v>
      </c>
    </row>
    <row r="116" spans="1:3" x14ac:dyDescent="0.25">
      <c r="A116" t="s">
        <v>125</v>
      </c>
      <c r="B116">
        <v>13.335000000000001</v>
      </c>
      <c r="C116">
        <v>6.1920000000000002</v>
      </c>
    </row>
    <row r="117" spans="1:3" x14ac:dyDescent="0.25">
      <c r="A117" t="s">
        <v>95</v>
      </c>
      <c r="B117">
        <v>12.31</v>
      </c>
      <c r="C117">
        <v>5.7290000000000001</v>
      </c>
    </row>
    <row r="118" spans="1:3" x14ac:dyDescent="0.25">
      <c r="A118" t="s">
        <v>362</v>
      </c>
      <c r="B118">
        <v>15.04</v>
      </c>
      <c r="C118">
        <v>7.0629999999999997</v>
      </c>
    </row>
    <row r="119" spans="1:3" x14ac:dyDescent="0.25">
      <c r="A119" t="s">
        <v>155</v>
      </c>
      <c r="B119">
        <v>11.298999999999999</v>
      </c>
      <c r="C119">
        <v>5.3479999999999999</v>
      </c>
    </row>
    <row r="120" spans="1:3" x14ac:dyDescent="0.25">
      <c r="A120" t="s">
        <v>114</v>
      </c>
      <c r="B120">
        <v>10.54</v>
      </c>
      <c r="C120">
        <v>4.97</v>
      </c>
    </row>
    <row r="121" spans="1:3" x14ac:dyDescent="0.25">
      <c r="A121" t="s">
        <v>363</v>
      </c>
      <c r="B121">
        <v>12.217000000000001</v>
      </c>
      <c r="C121">
        <v>5.7160000000000002</v>
      </c>
    </row>
    <row r="122" spans="1:3" x14ac:dyDescent="0.25">
      <c r="A122" t="s">
        <v>364</v>
      </c>
      <c r="B122">
        <v>8.8130000000000006</v>
      </c>
      <c r="C122">
        <v>4.3849999999999998</v>
      </c>
    </row>
    <row r="123" spans="1:3" x14ac:dyDescent="0.25">
      <c r="A123" t="s">
        <v>365</v>
      </c>
      <c r="B123">
        <v>6.2859999999999996</v>
      </c>
      <c r="C123">
        <v>3.1360000000000001</v>
      </c>
    </row>
    <row r="124" spans="1:3" x14ac:dyDescent="0.25">
      <c r="A124" t="s">
        <v>156</v>
      </c>
      <c r="B124">
        <v>12.073</v>
      </c>
      <c r="C124">
        <v>5.649</v>
      </c>
    </row>
    <row r="125" spans="1:3" x14ac:dyDescent="0.25">
      <c r="A125" t="s">
        <v>83</v>
      </c>
      <c r="B125">
        <v>7.5460000000000003</v>
      </c>
      <c r="C125">
        <v>3.5219999999999998</v>
      </c>
    </row>
    <row r="126" spans="1:3" x14ac:dyDescent="0.25">
      <c r="A126" t="s">
        <v>366</v>
      </c>
      <c r="B126">
        <v>4.673</v>
      </c>
      <c r="C126">
        <v>2.1880000000000002</v>
      </c>
    </row>
    <row r="127" spans="1:3" x14ac:dyDescent="0.25">
      <c r="A127" t="s">
        <v>367</v>
      </c>
      <c r="B127">
        <v>6.9509999999999996</v>
      </c>
      <c r="C127">
        <v>3.383</v>
      </c>
    </row>
    <row r="128" spans="1:3" x14ac:dyDescent="0.25">
      <c r="A128" t="s">
        <v>368</v>
      </c>
      <c r="B128">
        <v>9.7309999999999999</v>
      </c>
      <c r="C128">
        <v>4.7670000000000003</v>
      </c>
    </row>
    <row r="129" spans="1:3" x14ac:dyDescent="0.25">
      <c r="A129" t="s">
        <v>369</v>
      </c>
      <c r="B129">
        <v>9.7729999999999997</v>
      </c>
      <c r="C129">
        <v>4.7149999999999999</v>
      </c>
    </row>
    <row r="130" spans="1:3" x14ac:dyDescent="0.25">
      <c r="A130" t="s">
        <v>167</v>
      </c>
      <c r="B130">
        <v>11.913</v>
      </c>
      <c r="C130">
        <v>5.5789999999999997</v>
      </c>
    </row>
    <row r="131" spans="1:3" x14ac:dyDescent="0.25">
      <c r="A131" t="s">
        <v>370</v>
      </c>
      <c r="B131">
        <v>6.0910000000000002</v>
      </c>
      <c r="C131">
        <v>2.9550000000000001</v>
      </c>
    </row>
    <row r="132" spans="1:3" x14ac:dyDescent="0.25">
      <c r="A132" t="s">
        <v>148</v>
      </c>
      <c r="B132">
        <v>9.1159999999999997</v>
      </c>
      <c r="C132">
        <v>4.4870000000000001</v>
      </c>
    </row>
    <row r="133" spans="1:3" x14ac:dyDescent="0.25">
      <c r="A133" t="s">
        <v>371</v>
      </c>
      <c r="B133">
        <v>9.2729999999999997</v>
      </c>
      <c r="C133">
        <v>4.4320000000000004</v>
      </c>
    </row>
    <row r="134" spans="1:3" x14ac:dyDescent="0.25">
      <c r="A134" t="s">
        <v>372</v>
      </c>
      <c r="B134">
        <v>12.635</v>
      </c>
      <c r="C134">
        <v>5.5810000000000004</v>
      </c>
    </row>
    <row r="135" spans="1:3" x14ac:dyDescent="0.25">
      <c r="A135" t="s">
        <v>373</v>
      </c>
      <c r="B135">
        <v>10.1</v>
      </c>
      <c r="C135">
        <v>4.407</v>
      </c>
    </row>
    <row r="136" spans="1:3" x14ac:dyDescent="0.25">
      <c r="A136" t="s">
        <v>374</v>
      </c>
      <c r="B136">
        <v>10.411</v>
      </c>
      <c r="C136">
        <v>4.5220000000000002</v>
      </c>
    </row>
    <row r="137" spans="1:3" x14ac:dyDescent="0.25">
      <c r="A137" t="s">
        <v>375</v>
      </c>
      <c r="B137">
        <v>10.026</v>
      </c>
      <c r="C137">
        <v>4.3280000000000003</v>
      </c>
    </row>
    <row r="138" spans="1:3" x14ac:dyDescent="0.25">
      <c r="A138" t="s">
        <v>137</v>
      </c>
      <c r="B138">
        <v>9.9239999999999995</v>
      </c>
      <c r="C138">
        <v>4.4580000000000002</v>
      </c>
    </row>
    <row r="139" spans="1:3" x14ac:dyDescent="0.25">
      <c r="A139" t="s">
        <v>376</v>
      </c>
      <c r="B139">
        <v>7.0659999999999998</v>
      </c>
      <c r="C139">
        <v>3.4319999999999999</v>
      </c>
    </row>
    <row r="140" spans="1:3" x14ac:dyDescent="0.25">
      <c r="A140" t="s">
        <v>377</v>
      </c>
      <c r="B140">
        <v>10.257999999999999</v>
      </c>
      <c r="C140">
        <v>4.5730000000000004</v>
      </c>
    </row>
    <row r="141" spans="1:3" x14ac:dyDescent="0.25">
      <c r="A141" t="s">
        <v>378</v>
      </c>
      <c r="B141">
        <v>11.07</v>
      </c>
      <c r="C141">
        <v>4.9870000000000001</v>
      </c>
    </row>
    <row r="142" spans="1:3" x14ac:dyDescent="0.25">
      <c r="A142" t="s">
        <v>379</v>
      </c>
      <c r="B142">
        <v>6.6820000000000004</v>
      </c>
      <c r="C142">
        <v>3.258</v>
      </c>
    </row>
    <row r="143" spans="1:3" x14ac:dyDescent="0.25">
      <c r="A143" t="s">
        <v>85</v>
      </c>
      <c r="B143">
        <v>9.9870000000000001</v>
      </c>
      <c r="C143">
        <v>4.7030000000000003</v>
      </c>
    </row>
    <row r="144" spans="1:3" x14ac:dyDescent="0.25">
      <c r="A144" t="s">
        <v>380</v>
      </c>
      <c r="B144">
        <v>12.635</v>
      </c>
      <c r="C144">
        <v>5.5810000000000004</v>
      </c>
    </row>
    <row r="145" spans="1:3" x14ac:dyDescent="0.25">
      <c r="A145" t="s">
        <v>381</v>
      </c>
      <c r="B145">
        <v>7.7359999999999998</v>
      </c>
      <c r="C145">
        <v>3.7029999999999998</v>
      </c>
    </row>
    <row r="146" spans="1:3" x14ac:dyDescent="0.25">
      <c r="A146" t="s">
        <v>128</v>
      </c>
      <c r="B146">
        <v>7.5060000000000002</v>
      </c>
      <c r="C146">
        <v>3.6480000000000001</v>
      </c>
    </row>
    <row r="147" spans="1:3" x14ac:dyDescent="0.25">
      <c r="A147" t="s">
        <v>79</v>
      </c>
      <c r="B147">
        <v>10.704000000000001</v>
      </c>
      <c r="C147">
        <v>4.9470000000000001</v>
      </c>
    </row>
    <row r="148" spans="1:3" x14ac:dyDescent="0.25">
      <c r="A148" t="s">
        <v>151</v>
      </c>
      <c r="B148">
        <v>8.6999999999999993</v>
      </c>
      <c r="C148">
        <v>4.008</v>
      </c>
    </row>
    <row r="149" spans="1:3" x14ac:dyDescent="0.25">
      <c r="A149" t="s">
        <v>382</v>
      </c>
      <c r="B149">
        <v>8.5350000000000001</v>
      </c>
      <c r="C149">
        <v>3.8980000000000001</v>
      </c>
    </row>
    <row r="150" spans="1:3" x14ac:dyDescent="0.25">
      <c r="A150" t="s">
        <v>110</v>
      </c>
      <c r="B150">
        <v>8.5120000000000005</v>
      </c>
      <c r="C150">
        <v>4.0250000000000004</v>
      </c>
    </row>
    <row r="151" spans="1:3" x14ac:dyDescent="0.25">
      <c r="A151" t="s">
        <v>116</v>
      </c>
      <c r="B151">
        <v>8.7940000000000005</v>
      </c>
      <c r="C151">
        <v>4.1399999999999997</v>
      </c>
    </row>
    <row r="152" spans="1:3" x14ac:dyDescent="0.25">
      <c r="A152" t="s">
        <v>383</v>
      </c>
      <c r="B152">
        <v>9.9770000000000003</v>
      </c>
      <c r="C152">
        <v>4.5380000000000003</v>
      </c>
    </row>
    <row r="153" spans="1:3" x14ac:dyDescent="0.25">
      <c r="A153" t="s">
        <v>135</v>
      </c>
      <c r="B153">
        <v>7.3860000000000001</v>
      </c>
      <c r="C153">
        <v>3.5830000000000002</v>
      </c>
    </row>
    <row r="154" spans="1:3" x14ac:dyDescent="0.25">
      <c r="A154" t="s">
        <v>124</v>
      </c>
      <c r="B154">
        <v>10.753</v>
      </c>
      <c r="C154">
        <v>4.7539999999999996</v>
      </c>
    </row>
    <row r="155" spans="1:3" x14ac:dyDescent="0.25">
      <c r="A155" t="s">
        <v>115</v>
      </c>
      <c r="B155">
        <v>10.209</v>
      </c>
      <c r="C155">
        <v>4.5789999999999997</v>
      </c>
    </row>
    <row r="156" spans="1:3" x14ac:dyDescent="0.25">
      <c r="A156" t="s">
        <v>384</v>
      </c>
      <c r="B156">
        <v>11.161</v>
      </c>
      <c r="C156">
        <v>5.0279999999999996</v>
      </c>
    </row>
    <row r="157" spans="1:3" x14ac:dyDescent="0.25">
      <c r="A157" t="s">
        <v>385</v>
      </c>
      <c r="B157">
        <v>12.08</v>
      </c>
      <c r="C157">
        <v>5.5069999999999997</v>
      </c>
    </row>
    <row r="158" spans="1:3" x14ac:dyDescent="0.25">
      <c r="A158" t="s">
        <v>386</v>
      </c>
      <c r="B158">
        <v>8.5039999999999996</v>
      </c>
      <c r="C158">
        <v>4.0759999999999996</v>
      </c>
    </row>
    <row r="159" spans="1:3" x14ac:dyDescent="0.25">
      <c r="A159" t="s">
        <v>387</v>
      </c>
      <c r="B159">
        <v>6.1539999999999999</v>
      </c>
      <c r="C159">
        <v>2.9889999999999999</v>
      </c>
    </row>
    <row r="160" spans="1:3" x14ac:dyDescent="0.25">
      <c r="A160" t="s">
        <v>123</v>
      </c>
      <c r="B160">
        <v>11.827999999999999</v>
      </c>
      <c r="C160">
        <v>5.2380000000000004</v>
      </c>
    </row>
    <row r="161" spans="1:3" x14ac:dyDescent="0.25">
      <c r="A161" t="s">
        <v>388</v>
      </c>
      <c r="B161">
        <v>12.553000000000001</v>
      </c>
      <c r="C161">
        <v>5.6260000000000003</v>
      </c>
    </row>
    <row r="162" spans="1:3" x14ac:dyDescent="0.25">
      <c r="A162" t="s">
        <v>101</v>
      </c>
      <c r="B162">
        <v>8.5340000000000007</v>
      </c>
      <c r="C162">
        <v>4.0190000000000001</v>
      </c>
    </row>
    <row r="163" spans="1:3" x14ac:dyDescent="0.25">
      <c r="A163" t="s">
        <v>153</v>
      </c>
      <c r="B163">
        <v>6.5460000000000003</v>
      </c>
      <c r="C163">
        <v>3.1059999999999999</v>
      </c>
    </row>
    <row r="164" spans="1:3" x14ac:dyDescent="0.25">
      <c r="A164" t="s">
        <v>173</v>
      </c>
      <c r="B164">
        <v>6.2770000000000001</v>
      </c>
      <c r="C164">
        <v>2.9870000000000001</v>
      </c>
    </row>
    <row r="165" spans="1:3" x14ac:dyDescent="0.25">
      <c r="A165" t="s">
        <v>168</v>
      </c>
      <c r="B165">
        <v>6.6790000000000003</v>
      </c>
      <c r="C165">
        <v>3.1469999999999998</v>
      </c>
    </row>
    <row r="166" spans="1:3" x14ac:dyDescent="0.25">
      <c r="A166" t="s">
        <v>389</v>
      </c>
      <c r="B166">
        <v>6.6609999999999996</v>
      </c>
      <c r="C166">
        <v>3.1379999999999999</v>
      </c>
    </row>
    <row r="167" spans="1:3" x14ac:dyDescent="0.25">
      <c r="A167" t="s">
        <v>390</v>
      </c>
      <c r="B167">
        <v>8.16</v>
      </c>
      <c r="C167">
        <v>3.8980000000000001</v>
      </c>
    </row>
    <row r="168" spans="1:3" x14ac:dyDescent="0.25">
      <c r="A168" t="s">
        <v>158</v>
      </c>
      <c r="B168">
        <v>13.510999999999999</v>
      </c>
      <c r="C168">
        <v>6.2969999999999997</v>
      </c>
    </row>
    <row r="169" spans="1:3" x14ac:dyDescent="0.25">
      <c r="A169" t="s">
        <v>391</v>
      </c>
      <c r="B169">
        <v>8.0269999999999992</v>
      </c>
      <c r="C169">
        <v>3.7810000000000001</v>
      </c>
    </row>
    <row r="170" spans="1:3" x14ac:dyDescent="0.25">
      <c r="A170" t="s">
        <v>105</v>
      </c>
      <c r="B170">
        <v>15.095000000000001</v>
      </c>
      <c r="C170">
        <v>7.0540000000000003</v>
      </c>
    </row>
    <row r="171" spans="1:3" x14ac:dyDescent="0.25">
      <c r="A171" t="s">
        <v>392</v>
      </c>
      <c r="B171">
        <v>11.45</v>
      </c>
      <c r="C171">
        <v>4.9980000000000002</v>
      </c>
    </row>
    <row r="172" spans="1:3" x14ac:dyDescent="0.25">
      <c r="A172" t="s">
        <v>393</v>
      </c>
      <c r="B172">
        <v>5.6029999999999998</v>
      </c>
      <c r="C172">
        <v>2.7290000000000001</v>
      </c>
    </row>
    <row r="173" spans="1:3" x14ac:dyDescent="0.25">
      <c r="A173" t="s">
        <v>87</v>
      </c>
      <c r="B173">
        <v>6.9329999999999998</v>
      </c>
      <c r="C173">
        <v>3.3180000000000001</v>
      </c>
    </row>
    <row r="174" spans="1:3" x14ac:dyDescent="0.25">
      <c r="A174" t="s">
        <v>147</v>
      </c>
      <c r="B174">
        <v>11.557</v>
      </c>
      <c r="C174">
        <v>5.13</v>
      </c>
    </row>
    <row r="175" spans="1:3" x14ac:dyDescent="0.25">
      <c r="A175" t="s">
        <v>80</v>
      </c>
      <c r="B175">
        <v>11.02</v>
      </c>
      <c r="C175">
        <v>4.9009999999999998</v>
      </c>
    </row>
    <row r="176" spans="1:3" x14ac:dyDescent="0.25">
      <c r="A176" t="s">
        <v>74</v>
      </c>
      <c r="B176">
        <v>11.404999999999999</v>
      </c>
      <c r="C176">
        <v>5.0789999999999997</v>
      </c>
    </row>
    <row r="177" spans="1:3" x14ac:dyDescent="0.25">
      <c r="A177" t="s">
        <v>127</v>
      </c>
      <c r="B177">
        <v>5.367</v>
      </c>
      <c r="C177">
        <v>2.52</v>
      </c>
    </row>
    <row r="178" spans="1:3" x14ac:dyDescent="0.25">
      <c r="A178" t="s">
        <v>394</v>
      </c>
      <c r="B178">
        <v>7.2560000000000002</v>
      </c>
      <c r="C178">
        <v>3.53</v>
      </c>
    </row>
    <row r="179" spans="1:3" x14ac:dyDescent="0.25">
      <c r="A179" t="s">
        <v>143</v>
      </c>
      <c r="B179">
        <v>6.1509999999999998</v>
      </c>
      <c r="C179">
        <v>2.9279999999999999</v>
      </c>
    </row>
    <row r="180" spans="1:3" x14ac:dyDescent="0.25">
      <c r="A180" t="s">
        <v>75</v>
      </c>
      <c r="B180">
        <v>9.2270000000000003</v>
      </c>
      <c r="C180">
        <v>4.2160000000000002</v>
      </c>
    </row>
    <row r="181" spans="1:3" x14ac:dyDescent="0.25">
      <c r="A181" t="s">
        <v>113</v>
      </c>
      <c r="B181">
        <v>7.968</v>
      </c>
      <c r="C181">
        <v>3.6880000000000002</v>
      </c>
    </row>
    <row r="182" spans="1:3" x14ac:dyDescent="0.25">
      <c r="A182" t="s">
        <v>97</v>
      </c>
      <c r="B182">
        <v>9.516</v>
      </c>
      <c r="C182">
        <v>4.2789999999999999</v>
      </c>
    </row>
    <row r="183" spans="1:3" x14ac:dyDescent="0.25">
      <c r="A183" t="s">
        <v>112</v>
      </c>
      <c r="B183">
        <v>9.9629999999999992</v>
      </c>
      <c r="C183">
        <v>4.4390000000000001</v>
      </c>
    </row>
    <row r="184" spans="1:3" x14ac:dyDescent="0.25">
      <c r="A184" t="s">
        <v>111</v>
      </c>
      <c r="B184">
        <v>10.848000000000001</v>
      </c>
      <c r="C184">
        <v>4.8680000000000003</v>
      </c>
    </row>
    <row r="185" spans="1:3" x14ac:dyDescent="0.25">
      <c r="A185" t="s">
        <v>72</v>
      </c>
      <c r="B185">
        <v>9.0589999999999993</v>
      </c>
      <c r="C185">
        <v>4.2549999999999999</v>
      </c>
    </row>
    <row r="186" spans="1:3" x14ac:dyDescent="0.25">
      <c r="A186" t="s">
        <v>104</v>
      </c>
      <c r="B186">
        <v>6.3879999999999999</v>
      </c>
      <c r="C186">
        <v>3.0289999999999999</v>
      </c>
    </row>
    <row r="187" spans="1:3" x14ac:dyDescent="0.25">
      <c r="A187" t="s">
        <v>167</v>
      </c>
      <c r="B187">
        <v>11.827</v>
      </c>
      <c r="C187">
        <v>5.5339999999999998</v>
      </c>
    </row>
    <row r="188" spans="1:3" x14ac:dyDescent="0.25">
      <c r="A188" t="s">
        <v>395</v>
      </c>
      <c r="B188">
        <v>10.88</v>
      </c>
      <c r="C188">
        <v>5.0199999999999996</v>
      </c>
    </row>
    <row r="189" spans="1:3" x14ac:dyDescent="0.25">
      <c r="A189" t="s">
        <v>396</v>
      </c>
      <c r="B189">
        <v>13.564</v>
      </c>
      <c r="C189">
        <v>6.2279999999999998</v>
      </c>
    </row>
    <row r="190" spans="1:3" x14ac:dyDescent="0.25">
      <c r="A190" t="s">
        <v>92</v>
      </c>
      <c r="B190">
        <v>8.0890000000000004</v>
      </c>
      <c r="C190">
        <v>3.9430000000000001</v>
      </c>
    </row>
    <row r="191" spans="1:3" x14ac:dyDescent="0.25">
      <c r="A191" t="s">
        <v>77</v>
      </c>
      <c r="B191">
        <v>9.7560000000000002</v>
      </c>
      <c r="C191">
        <v>4.6539999999999999</v>
      </c>
    </row>
    <row r="192" spans="1:3" x14ac:dyDescent="0.25">
      <c r="A192" t="s">
        <v>397</v>
      </c>
      <c r="B192">
        <v>10.374000000000001</v>
      </c>
      <c r="C192">
        <v>4.524</v>
      </c>
    </row>
    <row r="193" spans="1:3" x14ac:dyDescent="0.25">
      <c r="A193" t="s">
        <v>120</v>
      </c>
      <c r="B193">
        <v>9.7769999999999992</v>
      </c>
      <c r="C193">
        <v>4.3920000000000003</v>
      </c>
    </row>
    <row r="194" spans="1:3" x14ac:dyDescent="0.25">
      <c r="A194" t="s">
        <v>398</v>
      </c>
      <c r="B194">
        <v>11.009</v>
      </c>
      <c r="C194">
        <v>4.8090000000000002</v>
      </c>
    </row>
    <row r="195" spans="1:3" x14ac:dyDescent="0.25">
      <c r="A195" t="s">
        <v>399</v>
      </c>
      <c r="B195">
        <v>9.1379999999999999</v>
      </c>
      <c r="C195">
        <v>4.1280000000000001</v>
      </c>
    </row>
    <row r="196" spans="1:3" x14ac:dyDescent="0.25">
      <c r="A196" t="s">
        <v>400</v>
      </c>
      <c r="B196">
        <v>15.167999999999999</v>
      </c>
      <c r="C196">
        <v>7.0019999999999998</v>
      </c>
    </row>
    <row r="197" spans="1:3" x14ac:dyDescent="0.25">
      <c r="A197" t="s">
        <v>401</v>
      </c>
      <c r="B197">
        <v>7.5629999999999997</v>
      </c>
      <c r="C197">
        <v>3.66</v>
      </c>
    </row>
    <row r="198" spans="1:3" x14ac:dyDescent="0.25">
      <c r="A198" t="s">
        <v>402</v>
      </c>
      <c r="B198">
        <v>7.6459999999999999</v>
      </c>
      <c r="C198">
        <v>3.7320000000000002</v>
      </c>
    </row>
    <row r="199" spans="1:3" x14ac:dyDescent="0.25">
      <c r="A199" t="s">
        <v>403</v>
      </c>
      <c r="B199">
        <v>9.3840000000000003</v>
      </c>
      <c r="C199">
        <v>4.5529999999999999</v>
      </c>
    </row>
    <row r="200" spans="1:3" x14ac:dyDescent="0.25">
      <c r="A200" t="s">
        <v>157</v>
      </c>
      <c r="B200">
        <v>15.343999999999999</v>
      </c>
      <c r="C200">
        <v>7.01</v>
      </c>
    </row>
    <row r="201" spans="1:3" x14ac:dyDescent="0.25">
      <c r="A201" t="s">
        <v>404</v>
      </c>
      <c r="B201">
        <v>6.8470000000000004</v>
      </c>
      <c r="C201">
        <v>3.35</v>
      </c>
    </row>
    <row r="202" spans="1:3" x14ac:dyDescent="0.25">
      <c r="A202" t="s">
        <v>171</v>
      </c>
      <c r="B202">
        <v>10.695</v>
      </c>
      <c r="C202">
        <v>4.766</v>
      </c>
    </row>
    <row r="203" spans="1:3" x14ac:dyDescent="0.25">
      <c r="A203" t="s">
        <v>405</v>
      </c>
      <c r="B203">
        <v>9.1329999999999991</v>
      </c>
      <c r="C203">
        <v>4.5019999999999998</v>
      </c>
    </row>
    <row r="204" spans="1:3" x14ac:dyDescent="0.25">
      <c r="A204" t="s">
        <v>406</v>
      </c>
      <c r="B204">
        <v>10.36</v>
      </c>
      <c r="C204">
        <v>4.6349999999999998</v>
      </c>
    </row>
    <row r="205" spans="1:3" x14ac:dyDescent="0.25">
      <c r="A205" t="s">
        <v>407</v>
      </c>
      <c r="B205">
        <v>9.4260000000000002</v>
      </c>
      <c r="C205">
        <v>4.452</v>
      </c>
    </row>
    <row r="206" spans="1:3" x14ac:dyDescent="0.25">
      <c r="A206" t="s">
        <v>408</v>
      </c>
      <c r="B206">
        <v>10.781000000000001</v>
      </c>
      <c r="C206">
        <v>5.1959999999999997</v>
      </c>
    </row>
    <row r="207" spans="1:3" x14ac:dyDescent="0.25">
      <c r="A207" t="s">
        <v>409</v>
      </c>
      <c r="B207">
        <v>7.1260000000000003</v>
      </c>
      <c r="C207">
        <v>3.5209999999999999</v>
      </c>
    </row>
    <row r="208" spans="1:3" x14ac:dyDescent="0.25">
      <c r="A208" t="s">
        <v>410</v>
      </c>
      <c r="B208">
        <v>13.372</v>
      </c>
      <c r="C208">
        <v>6.2939999999999996</v>
      </c>
    </row>
    <row r="209" spans="1:3" x14ac:dyDescent="0.25">
      <c r="A209" t="s">
        <v>411</v>
      </c>
      <c r="B209">
        <v>10.457000000000001</v>
      </c>
      <c r="C209">
        <v>4.7329999999999997</v>
      </c>
    </row>
    <row r="210" spans="1:3" x14ac:dyDescent="0.25">
      <c r="A210" t="s">
        <v>412</v>
      </c>
      <c r="B210">
        <v>9.6890000000000001</v>
      </c>
      <c r="C210">
        <v>4.5529999999999999</v>
      </c>
    </row>
    <row r="211" spans="1:3" x14ac:dyDescent="0.25">
      <c r="A211" t="s">
        <v>76</v>
      </c>
      <c r="B211">
        <v>12.566000000000001</v>
      </c>
      <c r="C211">
        <v>5.8869999999999996</v>
      </c>
    </row>
    <row r="212" spans="1:3" x14ac:dyDescent="0.25">
      <c r="A212" t="s">
        <v>413</v>
      </c>
      <c r="B212">
        <v>13.664999999999999</v>
      </c>
      <c r="C212">
        <v>6.2880000000000003</v>
      </c>
    </row>
    <row r="213" spans="1:3" x14ac:dyDescent="0.25">
      <c r="A213" t="s">
        <v>145</v>
      </c>
      <c r="B213">
        <v>15.115</v>
      </c>
      <c r="C213">
        <v>6.976</v>
      </c>
    </row>
    <row r="214" spans="1:3" x14ac:dyDescent="0.25">
      <c r="A214" t="s">
        <v>414</v>
      </c>
      <c r="B214">
        <v>12.313000000000001</v>
      </c>
      <c r="C214">
        <v>5.5830000000000002</v>
      </c>
    </row>
    <row r="215" spans="1:3" x14ac:dyDescent="0.25">
      <c r="A215" t="s">
        <v>96</v>
      </c>
      <c r="B215">
        <v>16.266999999999999</v>
      </c>
      <c r="C215">
        <v>7.7350000000000003</v>
      </c>
    </row>
    <row r="216" spans="1:3" x14ac:dyDescent="0.25">
      <c r="A216" t="s">
        <v>90</v>
      </c>
      <c r="B216">
        <v>16.079999999999998</v>
      </c>
      <c r="C216">
        <v>7.7279999999999998</v>
      </c>
    </row>
    <row r="217" spans="1:3" x14ac:dyDescent="0.25">
      <c r="A217" t="s">
        <v>415</v>
      </c>
      <c r="B217">
        <v>8.3379999999999992</v>
      </c>
      <c r="C217">
        <v>4.03</v>
      </c>
    </row>
    <row r="218" spans="1:3" x14ac:dyDescent="0.25">
      <c r="A218" t="s">
        <v>99</v>
      </c>
      <c r="B218">
        <v>9.01</v>
      </c>
      <c r="C218">
        <v>4.26</v>
      </c>
    </row>
    <row r="219" spans="1:3" x14ac:dyDescent="0.25">
      <c r="A219" t="s">
        <v>416</v>
      </c>
      <c r="B219">
        <v>6.53</v>
      </c>
      <c r="C219">
        <v>3.3559999999999999</v>
      </c>
    </row>
    <row r="220" spans="1:3" x14ac:dyDescent="0.25">
      <c r="A220" t="s">
        <v>417</v>
      </c>
      <c r="B220">
        <v>8.2430000000000003</v>
      </c>
      <c r="C220">
        <v>3.923</v>
      </c>
    </row>
    <row r="221" spans="1:3" x14ac:dyDescent="0.25">
      <c r="A221" t="s">
        <v>418</v>
      </c>
      <c r="B221">
        <v>12.218999999999999</v>
      </c>
      <c r="C221">
        <v>5.7809999999999997</v>
      </c>
    </row>
    <row r="222" spans="1:3" x14ac:dyDescent="0.25">
      <c r="A222" t="s">
        <v>419</v>
      </c>
      <c r="B222">
        <v>8.218</v>
      </c>
      <c r="C222">
        <v>3.9820000000000002</v>
      </c>
    </row>
    <row r="223" spans="1:3" x14ac:dyDescent="0.25">
      <c r="A223" t="s">
        <v>121</v>
      </c>
      <c r="B223">
        <v>4.9290000000000003</v>
      </c>
      <c r="C223">
        <v>2.4169999999999998</v>
      </c>
    </row>
    <row r="224" spans="1:3" x14ac:dyDescent="0.25">
      <c r="A224" t="s">
        <v>134</v>
      </c>
      <c r="B224">
        <v>6.8449999999999998</v>
      </c>
      <c r="C224">
        <v>3.2130000000000001</v>
      </c>
    </row>
    <row r="225" spans="1:3" x14ac:dyDescent="0.25">
      <c r="A225" t="s">
        <v>420</v>
      </c>
      <c r="B225">
        <v>6.6760000000000002</v>
      </c>
      <c r="C225">
        <v>3.298</v>
      </c>
    </row>
    <row r="226" spans="1:3" x14ac:dyDescent="0.25">
      <c r="A226" t="s">
        <v>421</v>
      </c>
      <c r="B226">
        <v>7.2690000000000001</v>
      </c>
      <c r="C226">
        <v>3.5920000000000001</v>
      </c>
    </row>
    <row r="227" spans="1:3" x14ac:dyDescent="0.25">
      <c r="A227" t="s">
        <v>100</v>
      </c>
      <c r="B227">
        <v>13.664999999999999</v>
      </c>
      <c r="C227">
        <v>6.2880000000000003</v>
      </c>
    </row>
    <row r="228" spans="1:3" x14ac:dyDescent="0.25">
      <c r="A228" t="s">
        <v>422</v>
      </c>
      <c r="B228">
        <v>4.6109999999999998</v>
      </c>
      <c r="C228">
        <v>2.306</v>
      </c>
    </row>
    <row r="229" spans="1:3" x14ac:dyDescent="0.25">
      <c r="A229" t="s">
        <v>423</v>
      </c>
      <c r="B229">
        <v>6.9180000000000001</v>
      </c>
      <c r="C229">
        <v>3.4060000000000001</v>
      </c>
    </row>
    <row r="230" spans="1:3" x14ac:dyDescent="0.25">
      <c r="A230" t="s">
        <v>424</v>
      </c>
      <c r="B230">
        <v>6.2969999999999997</v>
      </c>
      <c r="C230">
        <v>3.0939999999999999</v>
      </c>
    </row>
    <row r="231" spans="1:3" x14ac:dyDescent="0.25">
      <c r="A231" t="s">
        <v>425</v>
      </c>
      <c r="B231">
        <v>7.0129999999999999</v>
      </c>
      <c r="C231">
        <v>3.3610000000000002</v>
      </c>
    </row>
    <row r="232" spans="1:3" x14ac:dyDescent="0.25">
      <c r="A232" t="s">
        <v>426</v>
      </c>
      <c r="B232">
        <v>7.6070000000000002</v>
      </c>
      <c r="C232">
        <v>3.6709999999999998</v>
      </c>
    </row>
    <row r="233" spans="1:3" x14ac:dyDescent="0.25">
      <c r="A233" t="s">
        <v>117</v>
      </c>
      <c r="B233">
        <v>8.2390000000000008</v>
      </c>
      <c r="C233">
        <v>3.8039999999999998</v>
      </c>
    </row>
    <row r="234" spans="1:3" x14ac:dyDescent="0.25">
      <c r="A234" t="s">
        <v>106</v>
      </c>
      <c r="B234">
        <v>6.83</v>
      </c>
      <c r="C234">
        <v>3.4910000000000001</v>
      </c>
    </row>
    <row r="235" spans="1:3" x14ac:dyDescent="0.25">
      <c r="A235" t="s">
        <v>427</v>
      </c>
      <c r="B235">
        <v>6.8840000000000003</v>
      </c>
      <c r="C235">
        <v>3.3639999999999999</v>
      </c>
    </row>
    <row r="236" spans="1:3" x14ac:dyDescent="0.25">
      <c r="A236" t="s">
        <v>428</v>
      </c>
      <c r="B236">
        <v>6.8840000000000003</v>
      </c>
      <c r="C236">
        <v>3.3639999999999999</v>
      </c>
    </row>
    <row r="237" spans="1:3" x14ac:dyDescent="0.25">
      <c r="A237" t="s">
        <v>429</v>
      </c>
      <c r="B237">
        <v>6.8220000000000001</v>
      </c>
      <c r="C237">
        <v>3.5009999999999999</v>
      </c>
    </row>
    <row r="238" spans="1:3" x14ac:dyDescent="0.25">
      <c r="A238" t="s">
        <v>118</v>
      </c>
      <c r="B238">
        <v>8.8439999999999994</v>
      </c>
      <c r="C238">
        <v>4.1219999999999999</v>
      </c>
    </row>
    <row r="239" spans="1:3" x14ac:dyDescent="0.25">
      <c r="A239" t="s">
        <v>107</v>
      </c>
      <c r="B239">
        <v>7.2519999999999998</v>
      </c>
      <c r="C239">
        <v>3.5529999999999999</v>
      </c>
    </row>
    <row r="240" spans="1:3" x14ac:dyDescent="0.25">
      <c r="A240" t="s">
        <v>430</v>
      </c>
      <c r="B240">
        <v>5.6890000000000001</v>
      </c>
      <c r="C240">
        <v>2.6030000000000002</v>
      </c>
    </row>
    <row r="241" spans="1:3" x14ac:dyDescent="0.25">
      <c r="A241" t="s">
        <v>431</v>
      </c>
      <c r="B241">
        <v>6.0919999999999996</v>
      </c>
      <c r="C241">
        <v>2.8439999999999999</v>
      </c>
    </row>
    <row r="242" spans="1:3" x14ac:dyDescent="0.25">
      <c r="A242" t="s">
        <v>432</v>
      </c>
      <c r="B242">
        <v>6.2240000000000002</v>
      </c>
      <c r="C242">
        <v>2.9209999999999998</v>
      </c>
    </row>
    <row r="243" spans="1:3" x14ac:dyDescent="0.25">
      <c r="A243" t="s">
        <v>88</v>
      </c>
      <c r="B243">
        <v>11.471</v>
      </c>
      <c r="C243">
        <v>5.3120000000000003</v>
      </c>
    </row>
    <row r="244" spans="1:3" x14ac:dyDescent="0.25">
      <c r="A244" t="s">
        <v>103</v>
      </c>
      <c r="B244">
        <v>10.628</v>
      </c>
      <c r="C244">
        <v>4.9779999999999998</v>
      </c>
    </row>
    <row r="245" spans="1:3" x14ac:dyDescent="0.25">
      <c r="A245" t="s">
        <v>433</v>
      </c>
      <c r="B245">
        <v>6.6429999999999998</v>
      </c>
      <c r="C245">
        <v>3.383</v>
      </c>
    </row>
    <row r="246" spans="1:3" x14ac:dyDescent="0.25">
      <c r="A246" t="s">
        <v>434</v>
      </c>
      <c r="B246">
        <v>7.4889999999999999</v>
      </c>
      <c r="C246">
        <v>3.8570000000000002</v>
      </c>
    </row>
    <row r="247" spans="1:3" x14ac:dyDescent="0.25">
      <c r="A247" t="s">
        <v>435</v>
      </c>
      <c r="B247">
        <v>7.4640000000000004</v>
      </c>
      <c r="C247">
        <v>3.8410000000000002</v>
      </c>
    </row>
    <row r="248" spans="1:3" x14ac:dyDescent="0.25">
      <c r="A248" t="s">
        <v>152</v>
      </c>
      <c r="B248">
        <v>6.6210000000000004</v>
      </c>
      <c r="C248">
        <v>3.0870000000000002</v>
      </c>
    </row>
    <row r="249" spans="1:3" x14ac:dyDescent="0.25">
      <c r="A249" t="s">
        <v>436</v>
      </c>
      <c r="B249">
        <v>10.48</v>
      </c>
      <c r="C249">
        <v>4.9669999999999996</v>
      </c>
    </row>
    <row r="250" spans="1:3" x14ac:dyDescent="0.25">
      <c r="A250" t="s">
        <v>437</v>
      </c>
      <c r="B250">
        <v>7.0369999999999999</v>
      </c>
      <c r="C250">
        <v>3.2669999999999999</v>
      </c>
    </row>
    <row r="251" spans="1:3" x14ac:dyDescent="0.25">
      <c r="A251" t="s">
        <v>122</v>
      </c>
      <c r="B251">
        <v>13.428000000000001</v>
      </c>
      <c r="C251">
        <v>6.2809999999999997</v>
      </c>
    </row>
    <row r="252" spans="1:3" x14ac:dyDescent="0.25">
      <c r="A252" t="s">
        <v>133</v>
      </c>
      <c r="B252">
        <v>5.0970000000000004</v>
      </c>
      <c r="C252">
        <v>2.37</v>
      </c>
    </row>
    <row r="253" spans="1:3" x14ac:dyDescent="0.25">
      <c r="A253" t="s">
        <v>438</v>
      </c>
      <c r="B253">
        <v>11.965999999999999</v>
      </c>
      <c r="C253">
        <v>5.4089999999999998</v>
      </c>
    </row>
    <row r="254" spans="1:3" x14ac:dyDescent="0.25">
      <c r="A254" t="s">
        <v>439</v>
      </c>
      <c r="B254">
        <v>12.278</v>
      </c>
      <c r="C254">
        <v>5.4249999999999998</v>
      </c>
    </row>
    <row r="255" spans="1:3" x14ac:dyDescent="0.25">
      <c r="A255" t="s">
        <v>140</v>
      </c>
      <c r="B255">
        <v>12.198</v>
      </c>
      <c r="C255">
        <v>5.5209999999999999</v>
      </c>
    </row>
    <row r="256" spans="1:3" x14ac:dyDescent="0.25">
      <c r="A256" t="s">
        <v>440</v>
      </c>
      <c r="B256">
        <v>12.435</v>
      </c>
      <c r="C256">
        <v>5.5389999999999997</v>
      </c>
    </row>
    <row r="257" spans="1:3" x14ac:dyDescent="0.25">
      <c r="A257" t="s">
        <v>441</v>
      </c>
      <c r="B257">
        <v>11.45</v>
      </c>
      <c r="C257">
        <v>4.9980000000000002</v>
      </c>
    </row>
    <row r="258" spans="1:3" x14ac:dyDescent="0.25">
      <c r="A258" t="s">
        <v>141</v>
      </c>
      <c r="B258">
        <v>11.009</v>
      </c>
      <c r="C258">
        <v>4.8090000000000002</v>
      </c>
    </row>
    <row r="259" spans="1:3" x14ac:dyDescent="0.25">
      <c r="A259" t="s">
        <v>442</v>
      </c>
      <c r="B259">
        <v>10.374000000000001</v>
      </c>
      <c r="C259">
        <v>4.524</v>
      </c>
    </row>
    <row r="260" spans="1:3" x14ac:dyDescent="0.25">
      <c r="A260" t="s">
        <v>443</v>
      </c>
      <c r="B260">
        <v>11.946</v>
      </c>
      <c r="C260">
        <v>5.2560000000000002</v>
      </c>
    </row>
    <row r="261" spans="1:3" x14ac:dyDescent="0.25">
      <c r="A261" t="s">
        <v>131</v>
      </c>
      <c r="B261">
        <v>12.218999999999999</v>
      </c>
      <c r="C261">
        <v>5.7809999999999997</v>
      </c>
    </row>
    <row r="262" spans="1:3" x14ac:dyDescent="0.25">
      <c r="A262" t="s">
        <v>444</v>
      </c>
      <c r="B262">
        <v>16.266999999999999</v>
      </c>
      <c r="C262">
        <v>7.7350000000000003</v>
      </c>
    </row>
    <row r="263" spans="1:3" x14ac:dyDescent="0.25">
      <c r="A263" t="s">
        <v>163</v>
      </c>
      <c r="B263">
        <v>10.268000000000001</v>
      </c>
      <c r="C263">
        <v>4.4809999999999999</v>
      </c>
    </row>
    <row r="264" spans="1:3" x14ac:dyDescent="0.25">
      <c r="A264" t="s">
        <v>445</v>
      </c>
      <c r="B264">
        <v>16.079999999999998</v>
      </c>
      <c r="C264">
        <v>7.7279999999999998</v>
      </c>
    </row>
    <row r="265" spans="1:3" x14ac:dyDescent="0.25">
      <c r="A265" t="s">
        <v>446</v>
      </c>
      <c r="B265">
        <v>8.2379999999999995</v>
      </c>
      <c r="C265">
        <v>3.92</v>
      </c>
    </row>
    <row r="266" spans="1:3" x14ac:dyDescent="0.25">
      <c r="A266" t="s">
        <v>161</v>
      </c>
      <c r="B266">
        <v>10.907999999999999</v>
      </c>
      <c r="C266">
        <v>4.7350000000000003</v>
      </c>
    </row>
    <row r="267" spans="1:3" x14ac:dyDescent="0.25">
      <c r="A267" t="s">
        <v>447</v>
      </c>
      <c r="B267">
        <v>8.2420000000000009</v>
      </c>
      <c r="C267">
        <v>3.9980000000000002</v>
      </c>
    </row>
    <row r="268" spans="1:3" x14ac:dyDescent="0.25">
      <c r="A268" t="s">
        <v>448</v>
      </c>
      <c r="B268">
        <v>10.481</v>
      </c>
      <c r="C268">
        <v>4.5819999999999999</v>
      </c>
    </row>
    <row r="269" spans="1:3" x14ac:dyDescent="0.25">
      <c r="A269" t="s">
        <v>449</v>
      </c>
      <c r="B269">
        <v>10.683</v>
      </c>
      <c r="C269">
        <v>5.0609999999999999</v>
      </c>
    </row>
    <row r="270" spans="1:3" x14ac:dyDescent="0.25">
      <c r="A270" t="s">
        <v>450</v>
      </c>
      <c r="B270">
        <v>11.811999999999999</v>
      </c>
      <c r="C270">
        <v>5.6040000000000001</v>
      </c>
    </row>
    <row r="271" spans="1:3" x14ac:dyDescent="0.25">
      <c r="A271" t="s">
        <v>451</v>
      </c>
      <c r="B271">
        <v>9.5890000000000004</v>
      </c>
      <c r="C271">
        <v>4.4729999999999999</v>
      </c>
    </row>
    <row r="272" spans="1:3" x14ac:dyDescent="0.25">
      <c r="A272" t="s">
        <v>149</v>
      </c>
      <c r="B272">
        <v>8.6660000000000004</v>
      </c>
      <c r="C272">
        <v>4.1289999999999996</v>
      </c>
    </row>
    <row r="273" spans="1:3" x14ac:dyDescent="0.25">
      <c r="A273" t="s">
        <v>144</v>
      </c>
      <c r="B273">
        <v>8.2759999999999998</v>
      </c>
      <c r="C273">
        <v>3.9889999999999999</v>
      </c>
    </row>
    <row r="274" spans="1:3" x14ac:dyDescent="0.25">
      <c r="A274" t="s">
        <v>162</v>
      </c>
      <c r="B274">
        <v>10.837</v>
      </c>
      <c r="C274">
        <v>5.1360000000000001</v>
      </c>
    </row>
    <row r="275" spans="1:3" x14ac:dyDescent="0.25">
      <c r="A275" t="s">
        <v>165</v>
      </c>
      <c r="B275">
        <v>9.734</v>
      </c>
      <c r="C275">
        <v>4.6680000000000001</v>
      </c>
    </row>
    <row r="276" spans="1:3" x14ac:dyDescent="0.25">
      <c r="A276" t="s">
        <v>452</v>
      </c>
      <c r="B276">
        <v>9.7309999999999999</v>
      </c>
      <c r="C276">
        <v>4.6120000000000001</v>
      </c>
    </row>
    <row r="277" spans="1:3" x14ac:dyDescent="0.25">
      <c r="A277" t="s">
        <v>453</v>
      </c>
      <c r="B277">
        <v>11.135999999999999</v>
      </c>
      <c r="C277">
        <v>5.2839999999999998</v>
      </c>
    </row>
    <row r="278" spans="1:3" x14ac:dyDescent="0.25">
      <c r="A278" t="s">
        <v>454</v>
      </c>
      <c r="B278">
        <v>11.629</v>
      </c>
      <c r="C278">
        <v>5.484</v>
      </c>
    </row>
    <row r="279" spans="1:3" x14ac:dyDescent="0.25">
      <c r="A279" t="s">
        <v>138</v>
      </c>
      <c r="B279">
        <v>12.641999999999999</v>
      </c>
      <c r="C279">
        <v>5.585</v>
      </c>
    </row>
    <row r="280" spans="1:3" x14ac:dyDescent="0.25">
      <c r="A280" t="s">
        <v>455</v>
      </c>
      <c r="B280">
        <v>10.723000000000001</v>
      </c>
      <c r="C280">
        <v>5.0570000000000004</v>
      </c>
    </row>
    <row r="281" spans="1:3" x14ac:dyDescent="0.25">
      <c r="A281" t="s">
        <v>172</v>
      </c>
      <c r="B281">
        <v>10.984999999999999</v>
      </c>
      <c r="C281">
        <v>5.22</v>
      </c>
    </row>
    <row r="282" spans="1:3" x14ac:dyDescent="0.25">
      <c r="A282" t="s">
        <v>160</v>
      </c>
      <c r="B282">
        <v>8.4819999999999993</v>
      </c>
      <c r="C282">
        <v>4.101</v>
      </c>
    </row>
    <row r="283" spans="1:3" x14ac:dyDescent="0.25">
      <c r="A283" t="s">
        <v>456</v>
      </c>
      <c r="B283">
        <v>8.8629999999999995</v>
      </c>
      <c r="C283">
        <v>4.2960000000000003</v>
      </c>
    </row>
    <row r="284" spans="1:3" x14ac:dyDescent="0.25">
      <c r="A284" t="s">
        <v>457</v>
      </c>
      <c r="B284">
        <v>8.9689999999999994</v>
      </c>
      <c r="C284">
        <v>4.2249999999999996</v>
      </c>
    </row>
    <row r="285" spans="1:3" x14ac:dyDescent="0.25">
      <c r="A285" t="s">
        <v>164</v>
      </c>
      <c r="B285">
        <v>11.143000000000001</v>
      </c>
      <c r="C285">
        <v>5.194</v>
      </c>
    </row>
    <row r="286" spans="1:3" x14ac:dyDescent="0.25">
      <c r="A286" t="s">
        <v>146</v>
      </c>
      <c r="B286">
        <v>10.016999999999999</v>
      </c>
      <c r="C286">
        <v>4.79</v>
      </c>
    </row>
    <row r="287" spans="1:3" x14ac:dyDescent="0.25">
      <c r="A287" t="s">
        <v>458</v>
      </c>
      <c r="B287">
        <v>10.163</v>
      </c>
      <c r="C287">
        <v>4.923</v>
      </c>
    </row>
    <row r="288" spans="1:3" x14ac:dyDescent="0.25">
      <c r="A288" t="s">
        <v>459</v>
      </c>
      <c r="B288">
        <v>10.09</v>
      </c>
      <c r="C288">
        <v>4.8319999999999999</v>
      </c>
    </row>
    <row r="289" spans="1:3" x14ac:dyDescent="0.25">
      <c r="A289" t="s">
        <v>159</v>
      </c>
      <c r="B289">
        <v>10.74</v>
      </c>
      <c r="C289">
        <v>5.1749999999999998</v>
      </c>
    </row>
    <row r="290" spans="1:3" x14ac:dyDescent="0.25">
      <c r="A290" t="s">
        <v>460</v>
      </c>
      <c r="B290">
        <v>12.909000000000001</v>
      </c>
      <c r="C290">
        <v>6.1059999999999999</v>
      </c>
    </row>
    <row r="291" spans="1:3" x14ac:dyDescent="0.25">
      <c r="A291" t="s">
        <v>132</v>
      </c>
      <c r="B291">
        <v>7.6079999999999997</v>
      </c>
      <c r="C291">
        <v>3.677</v>
      </c>
    </row>
    <row r="292" spans="1:3" x14ac:dyDescent="0.25">
      <c r="A292" t="s">
        <v>461</v>
      </c>
      <c r="B292">
        <v>8.5969999999999995</v>
      </c>
      <c r="C292">
        <v>4.0190000000000001</v>
      </c>
    </row>
    <row r="293" spans="1:3" x14ac:dyDescent="0.25">
      <c r="A293" t="s">
        <v>462</v>
      </c>
      <c r="B293">
        <v>7.0960000000000001</v>
      </c>
      <c r="C293">
        <v>3.42</v>
      </c>
    </row>
    <row r="294" spans="1:3" x14ac:dyDescent="0.25">
      <c r="A294" t="s">
        <v>463</v>
      </c>
      <c r="B294">
        <v>10.698</v>
      </c>
      <c r="C294">
        <v>5.0659999999999998</v>
      </c>
    </row>
    <row r="295" spans="1:3" x14ac:dyDescent="0.25">
      <c r="A295" t="s">
        <v>131</v>
      </c>
      <c r="B295">
        <v>12.087999999999999</v>
      </c>
      <c r="C295">
        <v>5.7110000000000003</v>
      </c>
    </row>
    <row r="296" spans="1:3" x14ac:dyDescent="0.25">
      <c r="A296" t="s">
        <v>464</v>
      </c>
      <c r="B296">
        <v>11.569000000000001</v>
      </c>
      <c r="C296">
        <v>5.15</v>
      </c>
    </row>
    <row r="297" spans="1:3" x14ac:dyDescent="0.25">
      <c r="A297" t="s">
        <v>140</v>
      </c>
      <c r="B297">
        <v>12.313000000000001</v>
      </c>
      <c r="C297">
        <v>5.5830000000000002</v>
      </c>
    </row>
    <row r="298" spans="1:3" x14ac:dyDescent="0.25">
      <c r="A298" t="s">
        <v>465</v>
      </c>
      <c r="B298">
        <v>10.419</v>
      </c>
      <c r="C298">
        <v>3.5760000000000001</v>
      </c>
    </row>
    <row r="299" spans="1:3" x14ac:dyDescent="0.25">
      <c r="A299" t="s">
        <v>466</v>
      </c>
      <c r="B299">
        <v>9.8629999999999995</v>
      </c>
      <c r="C299">
        <v>3.2930000000000001</v>
      </c>
    </row>
    <row r="300" spans="1:3" x14ac:dyDescent="0.25">
      <c r="A300" t="s">
        <v>467</v>
      </c>
      <c r="B300">
        <v>9.85</v>
      </c>
      <c r="C300">
        <v>3.4740000000000002</v>
      </c>
    </row>
    <row r="301" spans="1:3" x14ac:dyDescent="0.25">
      <c r="A301" t="s">
        <v>468</v>
      </c>
      <c r="B301">
        <v>10.1</v>
      </c>
      <c r="C301">
        <v>3.2879999999999998</v>
      </c>
    </row>
    <row r="302" spans="1:3" x14ac:dyDescent="0.25">
      <c r="A302" t="s">
        <v>170</v>
      </c>
      <c r="B302">
        <v>10.164</v>
      </c>
      <c r="C302">
        <v>4.7539999999999996</v>
      </c>
    </row>
    <row r="303" spans="1:3" x14ac:dyDescent="0.25">
      <c r="A303" t="s">
        <v>469</v>
      </c>
      <c r="B303">
        <v>9.9870000000000001</v>
      </c>
      <c r="C303">
        <v>4.7030000000000003</v>
      </c>
    </row>
    <row r="304" spans="1:3" x14ac:dyDescent="0.25">
      <c r="A304" t="s">
        <v>169</v>
      </c>
      <c r="B304">
        <v>10.704000000000001</v>
      </c>
      <c r="C304">
        <v>4.9470000000000001</v>
      </c>
    </row>
  </sheetData>
  <autoFilter ref="A2:C304" xr:uid="{667B35E7-C5F1-4D4B-9AD7-E69058295499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A023D-C56A-4B7F-8CF6-3618EDD49144}">
  <sheetPr codeName="Sheet5"/>
  <dimension ref="A1:I14"/>
  <sheetViews>
    <sheetView workbookViewId="0">
      <selection activeCell="B4" sqref="B4"/>
    </sheetView>
  </sheetViews>
  <sheetFormatPr defaultRowHeight="15" x14ac:dyDescent="0.25"/>
  <cols>
    <col min="1" max="1" width="10.7109375" customWidth="1"/>
    <col min="2" max="6" width="9.140625" customWidth="1"/>
    <col min="8" max="8" width="15.5703125" customWidth="1"/>
    <col min="9" max="9" width="24.28515625" customWidth="1"/>
  </cols>
  <sheetData>
    <row r="1" spans="1:9" x14ac:dyDescent="0.25">
      <c r="G1" t="s">
        <v>470</v>
      </c>
      <c r="H1" t="s">
        <v>5711</v>
      </c>
      <c r="I1" s="12">
        <f ca="1">+TODAY()</f>
        <v>45455</v>
      </c>
    </row>
    <row r="2" spans="1:9" x14ac:dyDescent="0.25">
      <c r="A2" t="s">
        <v>69</v>
      </c>
      <c r="B2">
        <f>+COUNTA('SAP data'!B:B)+1</f>
        <v>1926</v>
      </c>
      <c r="G2" t="s">
        <v>471</v>
      </c>
      <c r="H2" t="s">
        <v>5712</v>
      </c>
    </row>
    <row r="3" spans="1:9" x14ac:dyDescent="0.25">
      <c r="G3" t="s">
        <v>472</v>
      </c>
      <c r="H3" t="str">
        <f ca="1">+TEXT(IF(H4="12",YEAR(I1)-1,YEAR(I1)),"000#")</f>
        <v>2024</v>
      </c>
    </row>
    <row r="4" spans="1:9" x14ac:dyDescent="0.25">
      <c r="G4" t="s">
        <v>473</v>
      </c>
      <c r="H4" s="12" t="str">
        <f ca="1">+TEXT(IF(MONTH(I1)-1=0,12,MONTH(I1)-1),"#")</f>
        <v>5</v>
      </c>
    </row>
    <row r="14" spans="1:9" x14ac:dyDescent="0.25">
      <c r="F14" s="8"/>
    </row>
  </sheetData>
  <pageMargins left="0.7" right="0.7" top="0.75" bottom="0.75" header="0.3" footer="0.3"/>
  <pageSetup paperSize="9" orientation="portrait" r:id="rId1"/>
  <customProperties>
    <customPr name="_pios_id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5EBBAD-26A6-4D97-9CFF-FBC1F4D5D2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SAP data</vt:lpstr>
      <vt:lpstr>Billings data</vt:lpstr>
      <vt:lpstr>RRW</vt:lpstr>
      <vt:lpstr>Auto</vt:lpstr>
      <vt:lpstr>Bill</vt:lpstr>
      <vt:lpstr>Bill1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Pham Tran Nhat</dc:creator>
  <cp:lastModifiedBy>Do Duc Anh</cp:lastModifiedBy>
  <dcterms:created xsi:type="dcterms:W3CDTF">2018-03-13T06:59:56Z</dcterms:created>
  <dcterms:modified xsi:type="dcterms:W3CDTF">2024-06-12T07:26:04Z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