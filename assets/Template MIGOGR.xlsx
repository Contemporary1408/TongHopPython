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\\10.118.29.7\BTMV-Data\4-ACCOUNTING\99.Personal files\Duc Anh\TestVBA\test\MIGOGR\"/>
    </mc:Choice>
  </mc:AlternateContent>
  <xr:revisionPtr revIDLastSave="0" documentId="13_ncr:1_{1770517E-F401-41E2-A6AC-121F67AAAF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E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G2" i="1" s="1"/>
  <c r="N2" i="1"/>
  <c r="F2" i="1" s="1"/>
</calcChain>
</file>

<file path=xl/sharedStrings.xml><?xml version="1.0" encoding="utf-8"?>
<sst xmlns="http://schemas.openxmlformats.org/spreadsheetml/2006/main" count="147" uniqueCount="62">
  <si>
    <t>Date Index</t>
  </si>
  <si>
    <t>Frow</t>
  </si>
  <si>
    <t>Lrow</t>
  </si>
  <si>
    <t>Header Index</t>
  </si>
  <si>
    <t>Date</t>
  </si>
  <si>
    <t>Line</t>
  </si>
  <si>
    <t>Mat. Short Text</t>
  </si>
  <si>
    <t>Qty in UnE</t>
  </si>
  <si>
    <t>Doc.Header Text</t>
  </si>
  <si>
    <t>Index</t>
  </si>
  <si>
    <t>PSR0V01P3</t>
  </si>
  <si>
    <t>PSR0V05B3</t>
  </si>
  <si>
    <t>PSR0V1943</t>
  </si>
  <si>
    <t>PSR0V2273</t>
  </si>
  <si>
    <t>PSR0V2293</t>
  </si>
  <si>
    <t>PSR0V2343</t>
  </si>
  <si>
    <t>PSR0V2433</t>
  </si>
  <si>
    <t>PSR0V2473</t>
  </si>
  <si>
    <t>PSR0V2483</t>
  </si>
  <si>
    <t>PSR0V2503</t>
  </si>
  <si>
    <t>PSR0V2653</t>
  </si>
  <si>
    <t>PSR0V2663</t>
  </si>
  <si>
    <t>PSR0V29D3</t>
  </si>
  <si>
    <t>PSR0V51D3</t>
  </si>
  <si>
    <t>PSR0VH2F3</t>
  </si>
  <si>
    <t>PSR0VH4F3</t>
  </si>
  <si>
    <t>Btmv@2024</t>
  </si>
  <si>
    <t>&lt;&lt; User</t>
  </si>
  <si>
    <t>&lt;&lt; PW</t>
  </si>
  <si>
    <t>VHPUS14</t>
  </si>
  <si>
    <t>&lt;&lt; Mvmt</t>
  </si>
  <si>
    <t>BTMV Production Server</t>
  </si>
  <si>
    <t>&lt;&lt; Server</t>
  </si>
  <si>
    <t>FP-PN-24-06-006</t>
  </si>
  <si>
    <t>PSR0V02P3</t>
  </si>
  <si>
    <t>PSR0V1643</t>
  </si>
  <si>
    <t>PSR0V1693</t>
  </si>
  <si>
    <t>PSR0V1703</t>
  </si>
  <si>
    <t>PSR0V1743</t>
  </si>
  <si>
    <t>PSR0V1793</t>
  </si>
  <si>
    <t>PSR0V1843</t>
  </si>
  <si>
    <t>PSR0V1903</t>
  </si>
  <si>
    <t>PSR0V2083</t>
  </si>
  <si>
    <t>PSR0V21D3</t>
  </si>
  <si>
    <t>PSR0V22D3</t>
  </si>
  <si>
    <t>PSR0V2563</t>
  </si>
  <si>
    <t>PSR0V2693</t>
  </si>
  <si>
    <t>PSR0V27B3</t>
  </si>
  <si>
    <t>PSR0V46D3</t>
  </si>
  <si>
    <t>PSR0V50D3</t>
  </si>
  <si>
    <t>PSR0VF6F3</t>
  </si>
  <si>
    <t>PSR0VJ3F3</t>
  </si>
  <si>
    <t>PSR0V01B3</t>
  </si>
  <si>
    <t>FP-PN-24-06-007</t>
  </si>
  <si>
    <t>PSR0V01S3</t>
  </si>
  <si>
    <t>PSR0V11D3</t>
  </si>
  <si>
    <t>PSR0V1933</t>
  </si>
  <si>
    <t>PSR0V2493</t>
  </si>
  <si>
    <t>PSR0V25S3</t>
  </si>
  <si>
    <t>PSR0V2673</t>
  </si>
  <si>
    <t>PSR0V30B3</t>
  </si>
  <si>
    <t>PSR0V52D3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</si>
</sst>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.mm\.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CB844-F9FF-4201-847D-46A99412C4E1}" name="Table1" displayName="Table1" ref="I1:N66" totalsRowShown="0">
  <autoFilter ref="I1:N66" xr:uid="{0BDCB844-F9FF-4201-847D-46A99412C4E1}"/>
  <tableColumns count="6">
    <tableColumn id="1" xr3:uid="{5380675D-0920-4641-97DD-DCFF35A2AD85}" name="Date" dataDxfId="6"/>
    <tableColumn id="2" xr3:uid="{4E9D5EBA-1CE5-49C4-B728-841CB36A1540}" name="Line"/>
    <tableColumn id="3" xr3:uid="{4089BF9F-F7AF-4AD2-BC39-E85FC5D8BDAE}" name="Mat. Short Text"/>
    <tableColumn id="4" xr3:uid="{CE9E5DDC-8887-4D94-9541-31F436A6E5A2}" name="Qty in UnE"/>
    <tableColumn id="5" xr3:uid="{CD22F0A8-AC88-4921-97E6-41A01263C9DF}" name="Doc.Header Text"/>
    <tableColumn id="6" xr3:uid="{26F3704E-FA3B-476A-B59D-3E87B66701FD}" name="Index">
      <calculatedColumnFormula>ROW()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F50C6-6F7B-409D-A3DC-BE05C55BF8EA}" name="Table2" displayName="Table2" ref="D1:G3" totalsRowShown="0" headerRowDxfId="5" dataDxfId="4">
  <autoFilter ref="D1:G3" xr:uid="{F40F50C6-6F7B-409D-A3DC-BE05C55BF8EA}"/>
  <tableColumns count="4">
    <tableColumn id="1" xr3:uid="{D0F8F648-1211-40B7-B5AC-5973412640CE}" name="Date Index" dataDxfId="3"/>
    <tableColumn id="2" xr3:uid="{DA09C8A2-1973-4D75-98C6-7A4300AD7FA6}" name="Header Index" dataDxfId="2">
      <calculatedColumnFormula>VLOOKUP(D2,Table1[[Date]:[Doc.Header Text]],5,0)</calculatedColumnFormula>
    </tableColumn>
    <tableColumn id="3" xr3:uid="{9EF3E45A-6261-4599-8013-2A637FB824B0}" name="Frow" dataDxfId="1">
      <calculatedColumnFormula>VLOOKUP(D2,Table1[],6,0)</calculatedColumnFormula>
    </tableColumn>
    <tableColumn id="4" xr3:uid="{B5DF2318-2BCB-4885-ABA5-2FBD031794D6}" name="Lrow" dataDxfId="0">
      <calculatedColumnFormula>_xlfn.XLOOKUP(D2,Table1[Date],Table1[Index],,,-1)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6"/>
  <sheetViews>
    <sheetView tabSelected="1" workbookViewId="0">
      <selection activeCell="K2" sqref="K2"/>
    </sheetView>
  </sheetViews>
  <sheetFormatPr defaultRowHeight="15" x14ac:dyDescent="0.25"/>
  <cols>
    <col min="1" max="1" width="25.5703125" customWidth="1"/>
    <col min="4" max="4" width="12.7109375" customWidth="1"/>
    <col min="5" max="5" width="18.85546875" customWidth="1"/>
    <col min="9" max="9" width="13.140625" customWidth="1"/>
    <col min="11" max="11" width="16.7109375" customWidth="1"/>
    <col min="12" max="12" width="12.42578125" customWidth="1"/>
    <col min="13" max="13" width="17.7109375" customWidth="1"/>
  </cols>
  <sheetData>
    <row r="1" spans="1:14" x14ac:dyDescent="0.25">
      <c r="A1" s="5" t="s">
        <v>29</v>
      </c>
      <c r="B1" t="s">
        <v>27</v>
      </c>
      <c r="D1" s="4" t="s">
        <v>0</v>
      </c>
      <c r="E1" s="2" t="s">
        <v>3</v>
      </c>
      <c r="F1" s="2" t="s">
        <v>1</v>
      </c>
      <c r="G1" s="2" t="s">
        <v>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s="6" t="s">
        <v>9</v>
      </c>
    </row>
    <row r="2" spans="1:14" x14ac:dyDescent="0.25">
      <c r="A2" s="5" t="s">
        <v>26</v>
      </c>
      <c r="B2" t="s">
        <v>28</v>
      </c>
      <c r="D2" s="3">
        <v>45453</v>
      </c>
      <c r="E2" s="2" t="str">
        <f>VLOOKUP(D2,Table1[[Date]:[Doc.Header Text]],5,0)</f>
        <v>FP-PN-24-06-006</v>
      </c>
      <c r="F2" s="2">
        <f>VLOOKUP(D2,Table1[],6,0)</f>
        <v>2</v>
      </c>
      <c r="G2" s="2">
        <f>_xlfn.XLOOKUP(D2,Table1[Date],Table1[Index],,,-1)</f>
        <v>39</v>
      </c>
      <c r="I2" s="1">
        <v>45453</v>
      </c>
      <c r="J2">
        <v>1</v>
      </c>
      <c r="K2" t="s">
        <v>10</v>
      </c>
      <c r="L2">
        <v>5</v>
      </c>
      <c r="M2" t="s">
        <v>33</v>
      </c>
      <c r="N2">
        <f>ROW()</f>
        <v>2</v>
      </c>
    </row>
    <row r="3" spans="1:14" x14ac:dyDescent="0.25">
      <c r="A3" s="5">
        <v>521</v>
      </c>
      <c r="B3" t="s">
        <v>30</v>
      </c>
      <c r="D3" s="3">
        <v>45454</v>
      </c>
      <c r="E3" s="2" t="str">
        <f>VLOOKUP(D3,Table1[[Date]:[Doc.Header Text]],5,0)</f>
        <v>FP-PN-24-06-007</v>
      </c>
      <c r="F3" s="2">
        <f>VLOOKUP(D3,Table1[],6,0)</f>
        <v>40</v>
      </c>
      <c r="G3" s="2">
        <f>_xlfn.XLOOKUP(D3,Table1[Date],Table1[Index],,,-1)</f>
        <v>66</v>
      </c>
      <c r="I3" s="1">
        <v>45453</v>
      </c>
      <c r="J3">
        <v>2</v>
      </c>
      <c r="K3" t="s">
        <v>34</v>
      </c>
      <c r="L3">
        <v>2</v>
      </c>
      <c r="M3" t="s">
        <v>33</v>
      </c>
      <c r="N3">
        <f>ROW()</f>
        <v>3</v>
      </c>
    </row>
    <row r="4" spans="1:14" x14ac:dyDescent="0.25">
      <c r="A4" s="5" t="s">
        <v>31</v>
      </c>
      <c r="B4" t="s">
        <v>32</v>
      </c>
      <c r="I4" s="1">
        <v>45453</v>
      </c>
      <c r="J4">
        <v>3</v>
      </c>
      <c r="K4" t="s">
        <v>11</v>
      </c>
      <c r="L4">
        <v>392</v>
      </c>
      <c r="M4" t="s">
        <v>33</v>
      </c>
      <c r="N4">
        <f>ROW()</f>
        <v>4</v>
      </c>
    </row>
    <row r="5" spans="1:14" x14ac:dyDescent="0.25">
      <c r="I5" s="1">
        <v>45453</v>
      </c>
      <c r="J5">
        <v>4</v>
      </c>
      <c r="K5" t="s">
        <v>35</v>
      </c>
      <c r="L5">
        <v>1</v>
      </c>
      <c r="M5" t="s">
        <v>33</v>
      </c>
      <c r="N5">
        <f>ROW()</f>
        <v>5</v>
      </c>
    </row>
    <row r="6" spans="1:14" x14ac:dyDescent="0.25">
      <c r="I6" s="1">
        <v>45453</v>
      </c>
      <c r="J6">
        <v>5</v>
      </c>
      <c r="K6" t="s">
        <v>36</v>
      </c>
      <c r="L6">
        <v>2</v>
      </c>
      <c r="M6" t="s">
        <v>33</v>
      </c>
      <c r="N6">
        <f>ROW()</f>
        <v>6</v>
      </c>
    </row>
    <row r="7" spans="1:14" x14ac:dyDescent="0.25">
      <c r="I7" s="1">
        <v>45453</v>
      </c>
      <c r="J7">
        <v>6</v>
      </c>
      <c r="K7" t="s">
        <v>37</v>
      </c>
      <c r="L7">
        <v>26</v>
      </c>
      <c r="M7" t="s">
        <v>33</v>
      </c>
      <c r="N7">
        <f>ROW()</f>
        <v>7</v>
      </c>
    </row>
    <row r="8" spans="1:14" x14ac:dyDescent="0.25">
      <c r="I8" s="1">
        <v>45453</v>
      </c>
      <c r="J8">
        <v>7</v>
      </c>
      <c r="K8" t="s">
        <v>38</v>
      </c>
      <c r="L8">
        <v>3</v>
      </c>
      <c r="M8" t="s">
        <v>33</v>
      </c>
      <c r="N8">
        <f>ROW()</f>
        <v>8</v>
      </c>
    </row>
    <row r="9" spans="1:14" x14ac:dyDescent="0.25">
      <c r="I9" s="1">
        <v>45453</v>
      </c>
      <c r="J9">
        <v>8</v>
      </c>
      <c r="K9" t="s">
        <v>39</v>
      </c>
      <c r="L9">
        <v>2</v>
      </c>
      <c r="M9" t="s">
        <v>33</v>
      </c>
      <c r="N9">
        <f>ROW()</f>
        <v>9</v>
      </c>
    </row>
    <row r="10" spans="1:14" x14ac:dyDescent="0.25">
      <c r="I10" s="1">
        <v>45453</v>
      </c>
      <c r="J10">
        <v>9</v>
      </c>
      <c r="K10" t="s">
        <v>40</v>
      </c>
      <c r="L10">
        <v>30</v>
      </c>
      <c r="M10" t="s">
        <v>33</v>
      </c>
      <c r="N10">
        <f>ROW()</f>
        <v>10</v>
      </c>
    </row>
    <row r="11" spans="1:14" x14ac:dyDescent="0.25">
      <c r="I11" s="1">
        <v>45453</v>
      </c>
      <c r="J11">
        <v>10</v>
      </c>
      <c r="K11" t="s">
        <v>41</v>
      </c>
      <c r="L11">
        <v>1</v>
      </c>
      <c r="M11" t="s">
        <v>33</v>
      </c>
      <c r="N11">
        <f>ROW()</f>
        <v>11</v>
      </c>
    </row>
    <row r="12" spans="1:14" x14ac:dyDescent="0.25">
      <c r="I12" s="1">
        <v>45453</v>
      </c>
      <c r="J12">
        <v>11</v>
      </c>
      <c r="K12" t="s">
        <v>12</v>
      </c>
      <c r="L12">
        <v>42</v>
      </c>
      <c r="M12" t="s">
        <v>33</v>
      </c>
      <c r="N12">
        <f>ROW()</f>
        <v>12</v>
      </c>
    </row>
    <row r="13" spans="1:14" x14ac:dyDescent="0.25">
      <c r="I13" s="1">
        <v>45453</v>
      </c>
      <c r="J13">
        <v>12</v>
      </c>
      <c r="K13" t="s">
        <v>42</v>
      </c>
      <c r="L13">
        <v>1</v>
      </c>
      <c r="M13" t="s">
        <v>33</v>
      </c>
      <c r="N13">
        <f>ROW()</f>
        <v>13</v>
      </c>
    </row>
    <row r="14" spans="1:14" x14ac:dyDescent="0.25">
      <c r="I14" s="1">
        <v>45453</v>
      </c>
      <c r="J14">
        <v>13</v>
      </c>
      <c r="K14" t="s">
        <v>43</v>
      </c>
      <c r="L14">
        <v>3</v>
      </c>
      <c r="M14" t="s">
        <v>33</v>
      </c>
      <c r="N14">
        <f>ROW()</f>
        <v>14</v>
      </c>
    </row>
    <row r="15" spans="1:14" x14ac:dyDescent="0.25">
      <c r="I15" s="1">
        <v>45453</v>
      </c>
      <c r="J15">
        <v>14</v>
      </c>
      <c r="K15" t="s">
        <v>13</v>
      </c>
      <c r="L15">
        <v>108</v>
      </c>
      <c r="M15" t="s">
        <v>33</v>
      </c>
      <c r="N15">
        <f>ROW()</f>
        <v>15</v>
      </c>
    </row>
    <row r="16" spans="1:14" x14ac:dyDescent="0.25">
      <c r="I16" s="1">
        <v>45453</v>
      </c>
      <c r="J16">
        <v>15</v>
      </c>
      <c r="K16" t="s">
        <v>14</v>
      </c>
      <c r="L16">
        <v>288</v>
      </c>
      <c r="M16" t="s">
        <v>33</v>
      </c>
      <c r="N16">
        <f>ROW()</f>
        <v>16</v>
      </c>
    </row>
    <row r="17" spans="9:14" x14ac:dyDescent="0.25">
      <c r="I17" s="1">
        <v>45453</v>
      </c>
      <c r="J17">
        <v>16</v>
      </c>
      <c r="K17" t="s">
        <v>44</v>
      </c>
      <c r="L17">
        <v>6</v>
      </c>
      <c r="M17" t="s">
        <v>33</v>
      </c>
      <c r="N17">
        <f>ROW()</f>
        <v>17</v>
      </c>
    </row>
    <row r="18" spans="9:14" x14ac:dyDescent="0.25">
      <c r="I18" s="1">
        <v>45453</v>
      </c>
      <c r="J18">
        <v>17</v>
      </c>
      <c r="K18" t="s">
        <v>15</v>
      </c>
      <c r="L18">
        <v>768</v>
      </c>
      <c r="M18" t="s">
        <v>33</v>
      </c>
      <c r="N18">
        <f>ROW()</f>
        <v>18</v>
      </c>
    </row>
    <row r="19" spans="9:14" x14ac:dyDescent="0.25">
      <c r="I19" s="1">
        <v>45453</v>
      </c>
      <c r="J19">
        <v>18</v>
      </c>
      <c r="K19" t="s">
        <v>16</v>
      </c>
      <c r="L19">
        <v>60</v>
      </c>
      <c r="M19" t="s">
        <v>33</v>
      </c>
      <c r="N19">
        <f>ROW()</f>
        <v>19</v>
      </c>
    </row>
    <row r="20" spans="9:14" x14ac:dyDescent="0.25">
      <c r="I20" s="1">
        <v>45453</v>
      </c>
      <c r="J20">
        <v>19</v>
      </c>
      <c r="K20" t="s">
        <v>16</v>
      </c>
      <c r="L20">
        <v>30</v>
      </c>
      <c r="M20" t="s">
        <v>33</v>
      </c>
      <c r="N20">
        <f>ROW()</f>
        <v>20</v>
      </c>
    </row>
    <row r="21" spans="9:14" x14ac:dyDescent="0.25">
      <c r="I21" s="1">
        <v>45453</v>
      </c>
      <c r="J21">
        <v>20</v>
      </c>
      <c r="K21" t="s">
        <v>17</v>
      </c>
      <c r="L21">
        <v>36</v>
      </c>
      <c r="M21" t="s">
        <v>33</v>
      </c>
      <c r="N21">
        <f>ROW()</f>
        <v>21</v>
      </c>
    </row>
    <row r="22" spans="9:14" x14ac:dyDescent="0.25">
      <c r="I22" s="1">
        <v>45453</v>
      </c>
      <c r="J22">
        <v>21</v>
      </c>
      <c r="K22" t="s">
        <v>17</v>
      </c>
      <c r="L22">
        <v>20</v>
      </c>
      <c r="M22" t="s">
        <v>33</v>
      </c>
      <c r="N22">
        <f>ROW()</f>
        <v>22</v>
      </c>
    </row>
    <row r="23" spans="9:14" x14ac:dyDescent="0.25">
      <c r="I23" s="1">
        <v>45453</v>
      </c>
      <c r="J23">
        <v>22</v>
      </c>
      <c r="K23" t="s">
        <v>18</v>
      </c>
      <c r="L23">
        <v>252</v>
      </c>
      <c r="M23" t="s">
        <v>33</v>
      </c>
      <c r="N23">
        <f>ROW()</f>
        <v>23</v>
      </c>
    </row>
    <row r="24" spans="9:14" x14ac:dyDescent="0.25">
      <c r="I24" s="1">
        <v>45453</v>
      </c>
      <c r="J24">
        <v>23</v>
      </c>
      <c r="K24" t="s">
        <v>18</v>
      </c>
      <c r="L24">
        <v>45</v>
      </c>
      <c r="M24" t="s">
        <v>33</v>
      </c>
      <c r="N24">
        <f>ROW()</f>
        <v>24</v>
      </c>
    </row>
    <row r="25" spans="9:14" x14ac:dyDescent="0.25">
      <c r="I25" s="1">
        <v>45453</v>
      </c>
      <c r="J25">
        <v>24</v>
      </c>
      <c r="K25" t="s">
        <v>19</v>
      </c>
      <c r="L25">
        <v>20</v>
      </c>
      <c r="M25" t="s">
        <v>33</v>
      </c>
      <c r="N25">
        <f>ROW()</f>
        <v>25</v>
      </c>
    </row>
    <row r="26" spans="9:14" x14ac:dyDescent="0.25">
      <c r="I26" s="1">
        <v>45453</v>
      </c>
      <c r="J26">
        <v>25</v>
      </c>
      <c r="K26" t="s">
        <v>19</v>
      </c>
      <c r="L26">
        <v>10</v>
      </c>
      <c r="M26" t="s">
        <v>33</v>
      </c>
      <c r="N26">
        <f>ROW()</f>
        <v>26</v>
      </c>
    </row>
    <row r="27" spans="9:14" x14ac:dyDescent="0.25">
      <c r="I27" s="1">
        <v>45453</v>
      </c>
      <c r="J27">
        <v>26</v>
      </c>
      <c r="K27" t="s">
        <v>45</v>
      </c>
      <c r="L27">
        <v>81</v>
      </c>
      <c r="M27" t="s">
        <v>33</v>
      </c>
      <c r="N27">
        <f>ROW()</f>
        <v>27</v>
      </c>
    </row>
    <row r="28" spans="9:14" x14ac:dyDescent="0.25">
      <c r="I28" s="1">
        <v>45453</v>
      </c>
      <c r="J28">
        <v>27</v>
      </c>
      <c r="K28" t="s">
        <v>20</v>
      </c>
      <c r="L28">
        <v>192</v>
      </c>
      <c r="M28" t="s">
        <v>33</v>
      </c>
      <c r="N28">
        <f>ROW()</f>
        <v>28</v>
      </c>
    </row>
    <row r="29" spans="9:14" x14ac:dyDescent="0.25">
      <c r="I29" s="1">
        <v>45453</v>
      </c>
      <c r="J29">
        <v>28</v>
      </c>
      <c r="K29" t="s">
        <v>21</v>
      </c>
      <c r="L29">
        <v>72</v>
      </c>
      <c r="M29" t="s">
        <v>33</v>
      </c>
      <c r="N29">
        <f>ROW()</f>
        <v>29</v>
      </c>
    </row>
    <row r="30" spans="9:14" x14ac:dyDescent="0.25">
      <c r="I30" s="1">
        <v>45453</v>
      </c>
      <c r="J30">
        <v>29</v>
      </c>
      <c r="K30" t="s">
        <v>46</v>
      </c>
      <c r="L30">
        <v>10</v>
      </c>
      <c r="M30" t="s">
        <v>33</v>
      </c>
      <c r="N30">
        <f>ROW()</f>
        <v>30</v>
      </c>
    </row>
    <row r="31" spans="9:14" x14ac:dyDescent="0.25">
      <c r="I31" s="1">
        <v>45453</v>
      </c>
      <c r="J31">
        <v>30</v>
      </c>
      <c r="K31" t="s">
        <v>47</v>
      </c>
      <c r="L31">
        <v>4</v>
      </c>
      <c r="M31" t="s">
        <v>33</v>
      </c>
      <c r="N31">
        <f>ROW()</f>
        <v>31</v>
      </c>
    </row>
    <row r="32" spans="9:14" x14ac:dyDescent="0.25">
      <c r="I32" s="1">
        <v>45453</v>
      </c>
      <c r="J32">
        <v>31</v>
      </c>
      <c r="K32" t="s">
        <v>22</v>
      </c>
      <c r="L32">
        <v>4</v>
      </c>
      <c r="M32" t="s">
        <v>33</v>
      </c>
      <c r="N32">
        <f>ROW()</f>
        <v>32</v>
      </c>
    </row>
    <row r="33" spans="9:14" x14ac:dyDescent="0.25">
      <c r="I33" s="1">
        <v>45453</v>
      </c>
      <c r="J33">
        <v>32</v>
      </c>
      <c r="K33" t="s">
        <v>48</v>
      </c>
      <c r="L33">
        <v>3</v>
      </c>
      <c r="M33" t="s">
        <v>33</v>
      </c>
      <c r="N33">
        <f>ROW()</f>
        <v>33</v>
      </c>
    </row>
    <row r="34" spans="9:14" x14ac:dyDescent="0.25">
      <c r="I34" s="1">
        <v>45453</v>
      </c>
      <c r="J34">
        <v>33</v>
      </c>
      <c r="K34" t="s">
        <v>49</v>
      </c>
      <c r="L34">
        <v>72</v>
      </c>
      <c r="M34" t="s">
        <v>33</v>
      </c>
      <c r="N34">
        <f>ROW()</f>
        <v>34</v>
      </c>
    </row>
    <row r="35" spans="9:14" x14ac:dyDescent="0.25">
      <c r="I35" s="1">
        <v>45453</v>
      </c>
      <c r="J35">
        <v>34</v>
      </c>
      <c r="K35" t="s">
        <v>23</v>
      </c>
      <c r="L35">
        <v>3</v>
      </c>
      <c r="M35" t="s">
        <v>33</v>
      </c>
      <c r="N35">
        <f>ROW()</f>
        <v>35</v>
      </c>
    </row>
    <row r="36" spans="9:14" x14ac:dyDescent="0.25">
      <c r="I36" s="1">
        <v>45453</v>
      </c>
      <c r="J36">
        <v>35</v>
      </c>
      <c r="K36" t="s">
        <v>50</v>
      </c>
      <c r="L36">
        <v>108</v>
      </c>
      <c r="M36" t="s">
        <v>33</v>
      </c>
      <c r="N36">
        <f>ROW()</f>
        <v>36</v>
      </c>
    </row>
    <row r="37" spans="9:14" x14ac:dyDescent="0.25">
      <c r="I37" s="1">
        <v>45453</v>
      </c>
      <c r="J37">
        <v>36</v>
      </c>
      <c r="K37" t="s">
        <v>24</v>
      </c>
      <c r="L37">
        <v>28</v>
      </c>
      <c r="M37" t="s">
        <v>33</v>
      </c>
      <c r="N37">
        <f>ROW()</f>
        <v>37</v>
      </c>
    </row>
    <row r="38" spans="9:14" x14ac:dyDescent="0.25">
      <c r="I38" s="1">
        <v>45453</v>
      </c>
      <c r="J38">
        <v>37</v>
      </c>
      <c r="K38" t="s">
        <v>25</v>
      </c>
      <c r="L38">
        <v>840</v>
      </c>
      <c r="M38" t="s">
        <v>33</v>
      </c>
      <c r="N38">
        <f>ROW()</f>
        <v>38</v>
      </c>
    </row>
    <row r="39" spans="9:14" x14ac:dyDescent="0.25">
      <c r="I39" s="1">
        <v>45453</v>
      </c>
      <c r="J39">
        <v>38</v>
      </c>
      <c r="K39" t="s">
        <v>51</v>
      </c>
      <c r="L39">
        <v>264</v>
      </c>
      <c r="M39" t="s">
        <v>33</v>
      </c>
      <c r="N39">
        <f>ROW()</f>
        <v>39</v>
      </c>
    </row>
    <row r="40" spans="9:14" x14ac:dyDescent="0.25">
      <c r="I40" s="1">
        <v>45454</v>
      </c>
      <c r="J40">
        <v>1</v>
      </c>
      <c r="K40" t="s">
        <v>52</v>
      </c>
      <c r="L40">
        <v>36</v>
      </c>
      <c r="M40" t="s">
        <v>53</v>
      </c>
      <c r="N40">
        <f>ROW()</f>
        <v>40</v>
      </c>
    </row>
    <row r="41" spans="9:14" x14ac:dyDescent="0.25">
      <c r="I41" s="1">
        <v>45454</v>
      </c>
      <c r="J41">
        <v>2</v>
      </c>
      <c r="K41" t="s">
        <v>54</v>
      </c>
      <c r="L41">
        <v>56</v>
      </c>
      <c r="M41" t="s">
        <v>53</v>
      </c>
      <c r="N41">
        <f>ROW()</f>
        <v>41</v>
      </c>
    </row>
    <row r="42" spans="9:14" x14ac:dyDescent="0.25">
      <c r="I42" s="1">
        <v>45454</v>
      </c>
      <c r="J42">
        <v>3</v>
      </c>
      <c r="K42" t="s">
        <v>11</v>
      </c>
      <c r="L42">
        <v>192</v>
      </c>
      <c r="M42" t="s">
        <v>53</v>
      </c>
      <c r="N42">
        <f>ROW()</f>
        <v>42</v>
      </c>
    </row>
    <row r="43" spans="9:14" x14ac:dyDescent="0.25">
      <c r="I43" s="1">
        <v>45454</v>
      </c>
      <c r="J43">
        <v>4</v>
      </c>
      <c r="K43" t="s">
        <v>55</v>
      </c>
      <c r="L43">
        <v>90</v>
      </c>
      <c r="M43" t="s">
        <v>53</v>
      </c>
      <c r="N43">
        <f>ROW()</f>
        <v>43</v>
      </c>
    </row>
    <row r="44" spans="9:14" x14ac:dyDescent="0.25">
      <c r="I44" s="1">
        <v>45454</v>
      </c>
      <c r="J44">
        <v>5</v>
      </c>
      <c r="K44" t="s">
        <v>37</v>
      </c>
      <c r="L44">
        <v>168</v>
      </c>
      <c r="M44" t="s">
        <v>53</v>
      </c>
      <c r="N44">
        <f>ROW()</f>
        <v>44</v>
      </c>
    </row>
    <row r="45" spans="9:14" x14ac:dyDescent="0.25">
      <c r="I45" s="1">
        <v>45454</v>
      </c>
      <c r="J45">
        <v>6</v>
      </c>
      <c r="K45" t="s">
        <v>40</v>
      </c>
      <c r="L45">
        <v>105</v>
      </c>
      <c r="M45" t="s">
        <v>53</v>
      </c>
      <c r="N45">
        <f>ROW()</f>
        <v>45</v>
      </c>
    </row>
    <row r="46" spans="9:14" x14ac:dyDescent="0.25">
      <c r="I46" s="1">
        <v>45454</v>
      </c>
      <c r="J46">
        <v>7</v>
      </c>
      <c r="K46" t="s">
        <v>56</v>
      </c>
      <c r="L46">
        <v>80</v>
      </c>
      <c r="M46" t="s">
        <v>53</v>
      </c>
      <c r="N46">
        <f>ROW()</f>
        <v>46</v>
      </c>
    </row>
    <row r="47" spans="9:14" x14ac:dyDescent="0.25">
      <c r="I47" s="1">
        <v>45454</v>
      </c>
      <c r="J47">
        <v>8</v>
      </c>
      <c r="K47" t="s">
        <v>12</v>
      </c>
      <c r="L47">
        <v>233</v>
      </c>
      <c r="M47" t="s">
        <v>53</v>
      </c>
      <c r="N47">
        <f>ROW()</f>
        <v>47</v>
      </c>
    </row>
    <row r="48" spans="9:14" x14ac:dyDescent="0.25">
      <c r="I48" s="1">
        <v>45454</v>
      </c>
      <c r="J48">
        <v>9</v>
      </c>
      <c r="K48" t="s">
        <v>13</v>
      </c>
      <c r="L48">
        <v>102</v>
      </c>
      <c r="M48" t="s">
        <v>53</v>
      </c>
      <c r="N48">
        <f>ROW()</f>
        <v>48</v>
      </c>
    </row>
    <row r="49" spans="9:14" x14ac:dyDescent="0.25">
      <c r="I49" s="1">
        <v>45454</v>
      </c>
      <c r="J49">
        <v>10</v>
      </c>
      <c r="K49" t="s">
        <v>14</v>
      </c>
      <c r="L49">
        <v>672</v>
      </c>
      <c r="M49" t="s">
        <v>53</v>
      </c>
      <c r="N49">
        <f>ROW()</f>
        <v>49</v>
      </c>
    </row>
    <row r="50" spans="9:14" x14ac:dyDescent="0.25">
      <c r="I50" s="1">
        <v>45454</v>
      </c>
      <c r="J50">
        <v>11</v>
      </c>
      <c r="K50" t="s">
        <v>15</v>
      </c>
      <c r="L50">
        <v>2080</v>
      </c>
      <c r="M50" t="s">
        <v>53</v>
      </c>
      <c r="N50">
        <f>ROW()</f>
        <v>50</v>
      </c>
    </row>
    <row r="51" spans="9:14" x14ac:dyDescent="0.25">
      <c r="I51" s="1">
        <v>45454</v>
      </c>
      <c r="J51">
        <v>12</v>
      </c>
      <c r="K51" t="s">
        <v>16</v>
      </c>
      <c r="L51">
        <v>120</v>
      </c>
      <c r="M51" t="s">
        <v>53</v>
      </c>
      <c r="N51">
        <f>ROW()</f>
        <v>51</v>
      </c>
    </row>
    <row r="52" spans="9:14" x14ac:dyDescent="0.25">
      <c r="I52" s="1">
        <v>45454</v>
      </c>
      <c r="J52">
        <v>13</v>
      </c>
      <c r="K52" t="s">
        <v>17</v>
      </c>
      <c r="L52">
        <v>60</v>
      </c>
      <c r="M52" t="s">
        <v>53</v>
      </c>
      <c r="N52">
        <f>ROW()</f>
        <v>52</v>
      </c>
    </row>
    <row r="53" spans="9:14" x14ac:dyDescent="0.25">
      <c r="I53" s="1">
        <v>45454</v>
      </c>
      <c r="J53">
        <v>14</v>
      </c>
      <c r="K53" t="s">
        <v>18</v>
      </c>
      <c r="L53">
        <v>214</v>
      </c>
      <c r="M53" t="s">
        <v>53</v>
      </c>
      <c r="N53">
        <f>ROW()</f>
        <v>53</v>
      </c>
    </row>
    <row r="54" spans="9:14" x14ac:dyDescent="0.25">
      <c r="I54" s="1">
        <v>45454</v>
      </c>
      <c r="J54">
        <v>15</v>
      </c>
      <c r="K54" t="s">
        <v>57</v>
      </c>
      <c r="L54">
        <v>29</v>
      </c>
      <c r="M54" t="s">
        <v>53</v>
      </c>
      <c r="N54">
        <f>ROW()</f>
        <v>54</v>
      </c>
    </row>
    <row r="55" spans="9:14" x14ac:dyDescent="0.25">
      <c r="I55" s="1">
        <v>45454</v>
      </c>
      <c r="J55">
        <v>16</v>
      </c>
      <c r="K55" t="s">
        <v>45</v>
      </c>
      <c r="L55">
        <v>220</v>
      </c>
      <c r="M55" t="s">
        <v>53</v>
      </c>
      <c r="N55">
        <f>ROW()</f>
        <v>55</v>
      </c>
    </row>
    <row r="56" spans="9:14" x14ac:dyDescent="0.25">
      <c r="I56" s="1">
        <v>45454</v>
      </c>
      <c r="J56">
        <v>17</v>
      </c>
      <c r="K56" t="s">
        <v>58</v>
      </c>
      <c r="L56">
        <v>32</v>
      </c>
      <c r="M56" t="s">
        <v>53</v>
      </c>
      <c r="N56">
        <f>ROW()</f>
        <v>56</v>
      </c>
    </row>
    <row r="57" spans="9:14" x14ac:dyDescent="0.25">
      <c r="I57" s="1">
        <v>45454</v>
      </c>
      <c r="J57">
        <v>18</v>
      </c>
      <c r="K57" t="s">
        <v>20</v>
      </c>
      <c r="L57">
        <v>472</v>
      </c>
      <c r="M57" t="s">
        <v>53</v>
      </c>
      <c r="N57">
        <f>ROW()</f>
        <v>57</v>
      </c>
    </row>
    <row r="58" spans="9:14" x14ac:dyDescent="0.25">
      <c r="I58" s="1">
        <v>45454</v>
      </c>
      <c r="J58">
        <v>19</v>
      </c>
      <c r="K58" t="s">
        <v>21</v>
      </c>
      <c r="L58">
        <v>404</v>
      </c>
      <c r="M58" t="s">
        <v>53</v>
      </c>
      <c r="N58">
        <f>ROW()</f>
        <v>58</v>
      </c>
    </row>
    <row r="59" spans="9:14" x14ac:dyDescent="0.25">
      <c r="I59" s="1">
        <v>45454</v>
      </c>
      <c r="J59">
        <v>20</v>
      </c>
      <c r="K59" t="s">
        <v>59</v>
      </c>
      <c r="L59">
        <v>67</v>
      </c>
      <c r="M59" t="s">
        <v>53</v>
      </c>
      <c r="N59">
        <f>ROW()</f>
        <v>59</v>
      </c>
    </row>
    <row r="60" spans="9:14" x14ac:dyDescent="0.25">
      <c r="I60" s="1">
        <v>45454</v>
      </c>
      <c r="J60">
        <v>21</v>
      </c>
      <c r="K60" t="s">
        <v>60</v>
      </c>
      <c r="L60">
        <v>120</v>
      </c>
      <c r="M60" t="s">
        <v>53</v>
      </c>
      <c r="N60">
        <f>ROW()</f>
        <v>60</v>
      </c>
    </row>
    <row r="61" spans="9:14" x14ac:dyDescent="0.25">
      <c r="I61" s="1">
        <v>45454</v>
      </c>
      <c r="J61">
        <v>22</v>
      </c>
      <c r="K61" t="s">
        <v>49</v>
      </c>
      <c r="L61">
        <v>240</v>
      </c>
      <c r="M61" t="s">
        <v>53</v>
      </c>
      <c r="N61">
        <f>ROW()</f>
        <v>61</v>
      </c>
    </row>
    <row r="62" spans="9:14" x14ac:dyDescent="0.25">
      <c r="I62" s="1">
        <v>45454</v>
      </c>
      <c r="J62">
        <v>23</v>
      </c>
      <c r="K62" t="s">
        <v>61</v>
      </c>
      <c r="L62">
        <v>72</v>
      </c>
      <c r="M62" t="s">
        <v>53</v>
      </c>
      <c r="N62">
        <f>ROW()</f>
        <v>62</v>
      </c>
    </row>
    <row r="63" spans="9:14" x14ac:dyDescent="0.25">
      <c r="I63" s="1">
        <v>45454</v>
      </c>
      <c r="J63">
        <v>24</v>
      </c>
      <c r="K63" t="s">
        <v>50</v>
      </c>
      <c r="L63">
        <v>414</v>
      </c>
      <c r="M63" t="s">
        <v>53</v>
      </c>
      <c r="N63">
        <f>ROW()</f>
        <v>63</v>
      </c>
    </row>
    <row r="64" spans="9:14" x14ac:dyDescent="0.25">
      <c r="I64" s="1">
        <v>45454</v>
      </c>
      <c r="J64">
        <v>25</v>
      </c>
      <c r="K64" t="s">
        <v>24</v>
      </c>
      <c r="L64">
        <v>280</v>
      </c>
      <c r="M64" t="s">
        <v>53</v>
      </c>
      <c r="N64">
        <f>ROW()</f>
        <v>64</v>
      </c>
    </row>
    <row r="65" spans="9:14" x14ac:dyDescent="0.25">
      <c r="I65" s="1">
        <v>45454</v>
      </c>
      <c r="J65">
        <v>26</v>
      </c>
      <c r="K65" t="s">
        <v>25</v>
      </c>
      <c r="L65">
        <v>768</v>
      </c>
      <c r="M65" t="s">
        <v>53</v>
      </c>
      <c r="N65">
        <f>ROW()</f>
        <v>65</v>
      </c>
    </row>
    <row r="66" spans="9:14" x14ac:dyDescent="0.25">
      <c r="I66" s="1">
        <v>45454</v>
      </c>
      <c r="J66">
        <v>27</v>
      </c>
      <c r="K66" t="s">
        <v>51</v>
      </c>
      <c r="L66">
        <v>187</v>
      </c>
      <c r="M66" t="s">
        <v>53</v>
      </c>
      <c r="N66">
        <f>ROW()</f>
        <v>66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Do Duc Anh</cp:lastModifiedBy>
  <dcterms:created xsi:type="dcterms:W3CDTF">2015-06-05T18:17:20Z</dcterms:created>
  <dcterms:modified xsi:type="dcterms:W3CDTF">2024-07-02T06:04:49Z</dcterms:modified>
</cp:coreProperties>
</file>